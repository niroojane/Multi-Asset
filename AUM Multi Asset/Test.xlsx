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undi_Multi-Asset\Multi-Asset_Fund_Solutions\Portfolio_Management\Dublin\MAP\Victoria\AUM\"/>
    </mc:Choice>
  </mc:AlternateContent>
  <xr:revisionPtr revIDLastSave="0" documentId="13_ncr:1_{F81E3431-628D-4CC1-85D1-8FF43CF0288C}" xr6:coauthVersionLast="47" xr6:coauthVersionMax="47" xr10:uidLastSave="{00000000-0000-0000-0000-000000000000}"/>
  <bookViews>
    <workbookView xWindow="-120" yWindow="-120" windowWidth="29040" windowHeight="15720" activeTab="1" xr2:uid="{2FB35023-7012-4E1B-B66B-B9C85E9687BE}"/>
  </bookViews>
  <sheets>
    <sheet name="Startegy Changes Mod or Fun (QT" sheetId="3" r:id="rId1"/>
    <sheet name="AUM Data Sheet Dublin" sheetId="1" r:id="rId2"/>
  </sheets>
  <externalReferences>
    <externalReference r:id="rId3"/>
    <externalReference r:id="rId4"/>
    <externalReference r:id="rId5"/>
  </externalReferences>
  <calcPr calcId="191029"/>
  <pivotCaches>
    <pivotCache cacheId="4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2" i="1" l="1"/>
  <c r="N22" i="1"/>
  <c r="N23" i="1"/>
  <c r="N25" i="1"/>
  <c r="N26" i="1"/>
  <c r="N27" i="1"/>
  <c r="N108" i="1"/>
  <c r="N119" i="1"/>
  <c r="N120" i="1"/>
  <c r="N121" i="1"/>
  <c r="J5" i="1"/>
  <c r="J6" i="1"/>
  <c r="J7" i="1"/>
  <c r="J22" i="1"/>
  <c r="K22" i="1" s="1"/>
  <c r="M22" i="1" s="1"/>
  <c r="J23" i="1"/>
  <c r="J25" i="1"/>
  <c r="J26" i="1"/>
  <c r="J27" i="1"/>
  <c r="J107" i="1"/>
  <c r="J108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L5" i="1"/>
  <c r="L6" i="1"/>
  <c r="L7" i="1"/>
  <c r="L22" i="1"/>
  <c r="L23" i="1"/>
  <c r="L25" i="1"/>
  <c r="L26" i="1"/>
  <c r="L27" i="1"/>
  <c r="L100" i="1"/>
  <c r="L101" i="1"/>
  <c r="L102" i="1"/>
  <c r="L107" i="1"/>
  <c r="L108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K5" i="1"/>
  <c r="M5" i="1" s="1"/>
  <c r="K6" i="1"/>
  <c r="M6" i="1" s="1"/>
  <c r="K7" i="1"/>
  <c r="M7" i="1" s="1"/>
  <c r="K25" i="1"/>
  <c r="M25" i="1" s="1"/>
  <c r="K26" i="1"/>
  <c r="M26" i="1" s="1"/>
  <c r="K27" i="1"/>
  <c r="M27" i="1" s="1"/>
  <c r="K107" i="1"/>
  <c r="M107" i="1" s="1"/>
  <c r="K108" i="1"/>
  <c r="M108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I3" i="1"/>
  <c r="I5" i="1"/>
  <c r="I6" i="1"/>
  <c r="I7" i="1"/>
  <c r="I10" i="1"/>
  <c r="I14" i="1"/>
  <c r="I15" i="1"/>
  <c r="I18" i="1"/>
  <c r="I19" i="1"/>
  <c r="I22" i="1"/>
  <c r="I23" i="1"/>
  <c r="I25" i="1"/>
  <c r="I26" i="1"/>
  <c r="I27" i="1"/>
  <c r="I107" i="1"/>
  <c r="I108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H24" i="1"/>
  <c r="I24" i="1" s="1"/>
  <c r="H3" i="1"/>
  <c r="H4" i="1"/>
  <c r="I4" i="1" s="1"/>
  <c r="H8" i="1"/>
  <c r="I8" i="1" s="1"/>
  <c r="H9" i="1"/>
  <c r="I9" i="1" s="1"/>
  <c r="H10" i="1"/>
  <c r="H11" i="1"/>
  <c r="I11" i="1" s="1"/>
  <c r="H12" i="1"/>
  <c r="I12" i="1" s="1"/>
  <c r="H13" i="1"/>
  <c r="I13" i="1" s="1"/>
  <c r="H15" i="1"/>
  <c r="H16" i="1"/>
  <c r="I16" i="1" s="1"/>
  <c r="H17" i="1"/>
  <c r="I17" i="1" s="1"/>
  <c r="H18" i="1"/>
  <c r="H19" i="1"/>
  <c r="H20" i="1"/>
  <c r="I20" i="1" s="1"/>
  <c r="H21" i="1"/>
  <c r="I21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J100" i="1" s="1"/>
  <c r="K100" i="1" s="1"/>
  <c r="M100" i="1" s="1"/>
  <c r="H101" i="1"/>
  <c r="J101" i="1" s="1"/>
  <c r="K101" i="1" s="1"/>
  <c r="M101" i="1" s="1"/>
  <c r="H102" i="1"/>
  <c r="J102" i="1" s="1"/>
  <c r="K102" i="1" s="1"/>
  <c r="M102" i="1" s="1"/>
  <c r="H103" i="1"/>
  <c r="I103" i="1" s="1"/>
  <c r="H104" i="1"/>
  <c r="I104" i="1" s="1"/>
  <c r="H105" i="1"/>
  <c r="I105" i="1" s="1"/>
  <c r="H106" i="1"/>
  <c r="I106" i="1" s="1"/>
  <c r="H109" i="1"/>
  <c r="I109" i="1" s="1"/>
  <c r="H2" i="1"/>
  <c r="I2" i="1" s="1"/>
  <c r="K23" i="1" l="1"/>
  <c r="I122" i="1"/>
  <c r="I102" i="1"/>
  <c r="I101" i="1"/>
  <c r="I100" i="1"/>
  <c r="H122" i="1"/>
  <c r="M23" i="1" l="1"/>
  <c r="G3" i="1"/>
  <c r="N3" i="1" s="1"/>
  <c r="G4" i="1"/>
  <c r="N4" i="1" s="1"/>
  <c r="G5" i="1"/>
  <c r="N5" i="1" s="1"/>
  <c r="G6" i="1"/>
  <c r="N6" i="1" s="1"/>
  <c r="G7" i="1"/>
  <c r="N7" i="1" s="1"/>
  <c r="G8" i="1"/>
  <c r="N8" i="1" s="1"/>
  <c r="G9" i="1"/>
  <c r="N9" i="1" s="1"/>
  <c r="G10" i="1"/>
  <c r="N10" i="1" s="1"/>
  <c r="G11" i="1"/>
  <c r="N11" i="1" s="1"/>
  <c r="G12" i="1"/>
  <c r="N12" i="1" s="1"/>
  <c r="G13" i="1"/>
  <c r="N13" i="1" s="1"/>
  <c r="G14" i="1"/>
  <c r="N14" i="1" s="1"/>
  <c r="G15" i="1"/>
  <c r="N15" i="1" s="1"/>
  <c r="G16" i="1"/>
  <c r="N16" i="1" s="1"/>
  <c r="G17" i="1"/>
  <c r="N17" i="1" s="1"/>
  <c r="G18" i="1"/>
  <c r="N18" i="1" s="1"/>
  <c r="G19" i="1"/>
  <c r="N19" i="1" s="1"/>
  <c r="G20" i="1"/>
  <c r="N20" i="1" s="1"/>
  <c r="G21" i="1"/>
  <c r="N21" i="1" s="1"/>
  <c r="G24" i="1"/>
  <c r="N24" i="1" s="1"/>
  <c r="G28" i="1"/>
  <c r="N28" i="1" s="1"/>
  <c r="G29" i="1"/>
  <c r="N29" i="1" s="1"/>
  <c r="G30" i="1"/>
  <c r="N30" i="1" s="1"/>
  <c r="G31" i="1"/>
  <c r="N31" i="1" s="1"/>
  <c r="G32" i="1"/>
  <c r="N32" i="1" s="1"/>
  <c r="G34" i="1"/>
  <c r="N34" i="1" s="1"/>
  <c r="G35" i="1"/>
  <c r="N35" i="1" s="1"/>
  <c r="G36" i="1"/>
  <c r="N36" i="1" s="1"/>
  <c r="G37" i="1"/>
  <c r="N37" i="1" s="1"/>
  <c r="G38" i="1"/>
  <c r="N38" i="1" s="1"/>
  <c r="G39" i="1"/>
  <c r="N39" i="1" s="1"/>
  <c r="G40" i="1"/>
  <c r="N40" i="1" s="1"/>
  <c r="G41" i="1"/>
  <c r="N41" i="1" s="1"/>
  <c r="G42" i="1"/>
  <c r="N42" i="1" s="1"/>
  <c r="G43" i="1"/>
  <c r="N43" i="1" s="1"/>
  <c r="G44" i="1"/>
  <c r="N44" i="1" s="1"/>
  <c r="G45" i="1"/>
  <c r="N45" i="1" s="1"/>
  <c r="G46" i="1"/>
  <c r="N46" i="1" s="1"/>
  <c r="G47" i="1"/>
  <c r="N47" i="1" s="1"/>
  <c r="G48" i="1"/>
  <c r="N48" i="1" s="1"/>
  <c r="G49" i="1"/>
  <c r="N49" i="1" s="1"/>
  <c r="G50" i="1"/>
  <c r="N50" i="1" s="1"/>
  <c r="G51" i="1"/>
  <c r="N51" i="1" s="1"/>
  <c r="G52" i="1"/>
  <c r="N52" i="1" s="1"/>
  <c r="G53" i="1"/>
  <c r="N53" i="1" s="1"/>
  <c r="G54" i="1"/>
  <c r="N54" i="1" s="1"/>
  <c r="G55" i="1"/>
  <c r="N55" i="1" s="1"/>
  <c r="G56" i="1"/>
  <c r="N56" i="1" s="1"/>
  <c r="G57" i="1"/>
  <c r="N57" i="1" s="1"/>
  <c r="G58" i="1"/>
  <c r="N58" i="1" s="1"/>
  <c r="G59" i="1"/>
  <c r="N59" i="1" s="1"/>
  <c r="G60" i="1"/>
  <c r="N60" i="1" s="1"/>
  <c r="G61" i="1"/>
  <c r="N61" i="1" s="1"/>
  <c r="G62" i="1"/>
  <c r="N62" i="1" s="1"/>
  <c r="G63" i="1"/>
  <c r="N63" i="1" s="1"/>
  <c r="G64" i="1"/>
  <c r="N64" i="1" s="1"/>
  <c r="G65" i="1"/>
  <c r="N65" i="1" s="1"/>
  <c r="G66" i="1"/>
  <c r="N66" i="1" s="1"/>
  <c r="G67" i="1"/>
  <c r="N67" i="1" s="1"/>
  <c r="G68" i="1"/>
  <c r="N68" i="1" s="1"/>
  <c r="G69" i="1"/>
  <c r="N69" i="1" s="1"/>
  <c r="G70" i="1"/>
  <c r="N70" i="1" s="1"/>
  <c r="G71" i="1"/>
  <c r="N71" i="1" s="1"/>
  <c r="G72" i="1"/>
  <c r="N72" i="1" s="1"/>
  <c r="G73" i="1"/>
  <c r="N73" i="1" s="1"/>
  <c r="G74" i="1"/>
  <c r="N74" i="1" s="1"/>
  <c r="G75" i="1"/>
  <c r="N75" i="1" s="1"/>
  <c r="G76" i="1"/>
  <c r="N76" i="1" s="1"/>
  <c r="G77" i="1"/>
  <c r="N77" i="1" s="1"/>
  <c r="G78" i="1"/>
  <c r="N78" i="1" s="1"/>
  <c r="G79" i="1"/>
  <c r="N79" i="1" s="1"/>
  <c r="G80" i="1"/>
  <c r="N80" i="1" s="1"/>
  <c r="G81" i="1"/>
  <c r="N81" i="1" s="1"/>
  <c r="G82" i="1"/>
  <c r="N82" i="1" s="1"/>
  <c r="G83" i="1"/>
  <c r="N83" i="1" s="1"/>
  <c r="G84" i="1"/>
  <c r="N84" i="1" s="1"/>
  <c r="G85" i="1"/>
  <c r="N85" i="1" s="1"/>
  <c r="G86" i="1"/>
  <c r="N86" i="1" s="1"/>
  <c r="G87" i="1"/>
  <c r="N87" i="1" s="1"/>
  <c r="G88" i="1"/>
  <c r="N88" i="1" s="1"/>
  <c r="G89" i="1"/>
  <c r="N89" i="1" s="1"/>
  <c r="G90" i="1"/>
  <c r="N90" i="1" s="1"/>
  <c r="G91" i="1"/>
  <c r="N91" i="1" s="1"/>
  <c r="G92" i="1"/>
  <c r="N92" i="1" s="1"/>
  <c r="G93" i="1"/>
  <c r="N93" i="1" s="1"/>
  <c r="G94" i="1"/>
  <c r="N94" i="1" s="1"/>
  <c r="G95" i="1"/>
  <c r="N95" i="1" s="1"/>
  <c r="G96" i="1"/>
  <c r="N96" i="1" s="1"/>
  <c r="G97" i="1"/>
  <c r="N97" i="1" s="1"/>
  <c r="G98" i="1"/>
  <c r="N98" i="1" s="1"/>
  <c r="G99" i="1"/>
  <c r="N99" i="1" s="1"/>
  <c r="G100" i="1"/>
  <c r="N100" i="1" s="1"/>
  <c r="G101" i="1"/>
  <c r="N101" i="1" s="1"/>
  <c r="G102" i="1"/>
  <c r="N102" i="1" s="1"/>
  <c r="G103" i="1"/>
  <c r="N103" i="1" s="1"/>
  <c r="G104" i="1"/>
  <c r="N104" i="1" s="1"/>
  <c r="G105" i="1"/>
  <c r="N105" i="1" s="1"/>
  <c r="G106" i="1"/>
  <c r="N106" i="1" s="1"/>
  <c r="G107" i="1"/>
  <c r="N107" i="1" s="1"/>
  <c r="G109" i="1"/>
  <c r="N109" i="1" s="1"/>
  <c r="G110" i="1"/>
  <c r="N110" i="1" s="1"/>
  <c r="G111" i="1"/>
  <c r="N111" i="1" s="1"/>
  <c r="G112" i="1"/>
  <c r="N112" i="1" s="1"/>
  <c r="G113" i="1"/>
  <c r="N113" i="1" s="1"/>
  <c r="G114" i="1"/>
  <c r="N114" i="1" s="1"/>
  <c r="G115" i="1"/>
  <c r="N115" i="1" s="1"/>
  <c r="G116" i="1"/>
  <c r="N116" i="1" s="1"/>
  <c r="G117" i="1"/>
  <c r="N117" i="1" s="1"/>
  <c r="G118" i="1"/>
  <c r="N118" i="1" s="1"/>
  <c r="G2" i="1"/>
  <c r="N2" i="1" s="1"/>
  <c r="F99" i="1" l="1"/>
  <c r="F24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03" i="1"/>
  <c r="F104" i="1"/>
  <c r="F105" i="1"/>
  <c r="F106" i="1"/>
  <c r="F109" i="1"/>
  <c r="F3" i="1"/>
  <c r="F4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J21" i="1" l="1"/>
  <c r="K21" i="1" s="1"/>
  <c r="M21" i="1" s="1"/>
  <c r="L21" i="1"/>
  <c r="J13" i="1"/>
  <c r="K13" i="1" s="1"/>
  <c r="M13" i="1" s="1"/>
  <c r="L13" i="1"/>
  <c r="J109" i="1"/>
  <c r="K109" i="1" s="1"/>
  <c r="M109" i="1" s="1"/>
  <c r="L109" i="1"/>
  <c r="J95" i="1"/>
  <c r="K95" i="1" s="1"/>
  <c r="M95" i="1" s="1"/>
  <c r="L95" i="1"/>
  <c r="J87" i="1"/>
  <c r="K87" i="1" s="1"/>
  <c r="M87" i="1" s="1"/>
  <c r="L87" i="1"/>
  <c r="J79" i="1"/>
  <c r="K79" i="1" s="1"/>
  <c r="M79" i="1" s="1"/>
  <c r="L79" i="1"/>
  <c r="J71" i="1"/>
  <c r="K71" i="1" s="1"/>
  <c r="M71" i="1" s="1"/>
  <c r="L71" i="1"/>
  <c r="J63" i="1"/>
  <c r="K63" i="1" s="1"/>
  <c r="M63" i="1" s="1"/>
  <c r="L63" i="1"/>
  <c r="J55" i="1"/>
  <c r="K55" i="1" s="1"/>
  <c r="M55" i="1" s="1"/>
  <c r="L55" i="1"/>
  <c r="J47" i="1"/>
  <c r="K47" i="1" s="1"/>
  <c r="M47" i="1" s="1"/>
  <c r="L47" i="1"/>
  <c r="J39" i="1"/>
  <c r="K39" i="1" s="1"/>
  <c r="M39" i="1" s="1"/>
  <c r="L39" i="1"/>
  <c r="J31" i="1"/>
  <c r="K31" i="1" s="1"/>
  <c r="M31" i="1" s="1"/>
  <c r="L31" i="1"/>
  <c r="J20" i="1"/>
  <c r="K20" i="1" s="1"/>
  <c r="M20" i="1" s="1"/>
  <c r="L20" i="1"/>
  <c r="J12" i="1"/>
  <c r="K12" i="1" s="1"/>
  <c r="M12" i="1" s="1"/>
  <c r="L12" i="1"/>
  <c r="J106" i="1"/>
  <c r="K106" i="1" s="1"/>
  <c r="M106" i="1" s="1"/>
  <c r="L106" i="1"/>
  <c r="J94" i="1"/>
  <c r="K94" i="1" s="1"/>
  <c r="M94" i="1" s="1"/>
  <c r="L94" i="1"/>
  <c r="J86" i="1"/>
  <c r="K86" i="1" s="1"/>
  <c r="M86" i="1" s="1"/>
  <c r="L86" i="1"/>
  <c r="J78" i="1"/>
  <c r="K78" i="1" s="1"/>
  <c r="M78" i="1" s="1"/>
  <c r="L78" i="1"/>
  <c r="J70" i="1"/>
  <c r="K70" i="1" s="1"/>
  <c r="M70" i="1" s="1"/>
  <c r="L70" i="1"/>
  <c r="J62" i="1"/>
  <c r="K62" i="1" s="1"/>
  <c r="M62" i="1" s="1"/>
  <c r="L62" i="1"/>
  <c r="J54" i="1"/>
  <c r="K54" i="1" s="1"/>
  <c r="M54" i="1" s="1"/>
  <c r="L54" i="1"/>
  <c r="J46" i="1"/>
  <c r="K46" i="1" s="1"/>
  <c r="M46" i="1" s="1"/>
  <c r="L46" i="1"/>
  <c r="J38" i="1"/>
  <c r="K38" i="1" s="1"/>
  <c r="M38" i="1" s="1"/>
  <c r="L38" i="1"/>
  <c r="J30" i="1"/>
  <c r="K30" i="1" s="1"/>
  <c r="M30" i="1" s="1"/>
  <c r="L30" i="1"/>
  <c r="J105" i="1"/>
  <c r="K105" i="1" s="1"/>
  <c r="M105" i="1" s="1"/>
  <c r="L105" i="1"/>
  <c r="J85" i="1"/>
  <c r="K85" i="1" s="1"/>
  <c r="M85" i="1" s="1"/>
  <c r="L85" i="1"/>
  <c r="J69" i="1"/>
  <c r="K69" i="1" s="1"/>
  <c r="M69" i="1" s="1"/>
  <c r="L69" i="1"/>
  <c r="J61" i="1"/>
  <c r="K61" i="1" s="1"/>
  <c r="M61" i="1" s="1"/>
  <c r="L61" i="1"/>
  <c r="J45" i="1"/>
  <c r="K45" i="1" s="1"/>
  <c r="M45" i="1" s="1"/>
  <c r="L45" i="1"/>
  <c r="J37" i="1"/>
  <c r="K37" i="1" s="1"/>
  <c r="M37" i="1" s="1"/>
  <c r="L37" i="1"/>
  <c r="J18" i="1"/>
  <c r="K18" i="1" s="1"/>
  <c r="M18" i="1" s="1"/>
  <c r="L18" i="1"/>
  <c r="J10" i="1"/>
  <c r="K10" i="1" s="1"/>
  <c r="M10" i="1" s="1"/>
  <c r="L10" i="1"/>
  <c r="J104" i="1"/>
  <c r="K104" i="1" s="1"/>
  <c r="M104" i="1" s="1"/>
  <c r="L104" i="1"/>
  <c r="J92" i="1"/>
  <c r="K92" i="1" s="1"/>
  <c r="M92" i="1" s="1"/>
  <c r="L92" i="1"/>
  <c r="J84" i="1"/>
  <c r="K84" i="1" s="1"/>
  <c r="M84" i="1" s="1"/>
  <c r="L84" i="1"/>
  <c r="J76" i="1"/>
  <c r="K76" i="1" s="1"/>
  <c r="M76" i="1" s="1"/>
  <c r="L76" i="1"/>
  <c r="J68" i="1"/>
  <c r="K68" i="1" s="1"/>
  <c r="M68" i="1" s="1"/>
  <c r="L68" i="1"/>
  <c r="J60" i="1"/>
  <c r="K60" i="1" s="1"/>
  <c r="M60" i="1" s="1"/>
  <c r="L60" i="1"/>
  <c r="J52" i="1"/>
  <c r="K52" i="1" s="1"/>
  <c r="M52" i="1" s="1"/>
  <c r="L52" i="1"/>
  <c r="J44" i="1"/>
  <c r="K44" i="1" s="1"/>
  <c r="M44" i="1" s="1"/>
  <c r="L44" i="1"/>
  <c r="J36" i="1"/>
  <c r="K36" i="1" s="1"/>
  <c r="M36" i="1" s="1"/>
  <c r="L36" i="1"/>
  <c r="J28" i="1"/>
  <c r="K28" i="1" s="1"/>
  <c r="M28" i="1" s="1"/>
  <c r="L28" i="1"/>
  <c r="J19" i="1"/>
  <c r="K19" i="1" s="1"/>
  <c r="M19" i="1" s="1"/>
  <c r="L19" i="1"/>
  <c r="J11" i="1"/>
  <c r="K11" i="1" s="1"/>
  <c r="M11" i="1" s="1"/>
  <c r="L11" i="1"/>
  <c r="J93" i="1"/>
  <c r="K93" i="1" s="1"/>
  <c r="M93" i="1" s="1"/>
  <c r="L93" i="1"/>
  <c r="J77" i="1"/>
  <c r="K77" i="1" s="1"/>
  <c r="M77" i="1" s="1"/>
  <c r="L77" i="1"/>
  <c r="J53" i="1"/>
  <c r="K53" i="1" s="1"/>
  <c r="M53" i="1" s="1"/>
  <c r="L53" i="1"/>
  <c r="J29" i="1"/>
  <c r="K29" i="1" s="1"/>
  <c r="M29" i="1" s="1"/>
  <c r="L29" i="1"/>
  <c r="J17" i="1"/>
  <c r="K17" i="1" s="1"/>
  <c r="M17" i="1" s="1"/>
  <c r="L17" i="1"/>
  <c r="J9" i="1"/>
  <c r="K9" i="1" s="1"/>
  <c r="M9" i="1" s="1"/>
  <c r="L9" i="1"/>
  <c r="J103" i="1"/>
  <c r="K103" i="1" s="1"/>
  <c r="M103" i="1" s="1"/>
  <c r="L103" i="1"/>
  <c r="J91" i="1"/>
  <c r="K91" i="1" s="1"/>
  <c r="M91" i="1" s="1"/>
  <c r="L91" i="1"/>
  <c r="J83" i="1"/>
  <c r="K83" i="1" s="1"/>
  <c r="M83" i="1" s="1"/>
  <c r="L83" i="1"/>
  <c r="J75" i="1"/>
  <c r="K75" i="1" s="1"/>
  <c r="M75" i="1" s="1"/>
  <c r="L75" i="1"/>
  <c r="J67" i="1"/>
  <c r="K67" i="1" s="1"/>
  <c r="M67" i="1" s="1"/>
  <c r="L67" i="1"/>
  <c r="J59" i="1"/>
  <c r="K59" i="1" s="1"/>
  <c r="M59" i="1" s="1"/>
  <c r="L59" i="1"/>
  <c r="J51" i="1"/>
  <c r="K51" i="1" s="1"/>
  <c r="M51" i="1" s="1"/>
  <c r="L51" i="1"/>
  <c r="J43" i="1"/>
  <c r="K43" i="1" s="1"/>
  <c r="M43" i="1" s="1"/>
  <c r="L43" i="1"/>
  <c r="J35" i="1"/>
  <c r="K35" i="1" s="1"/>
  <c r="M35" i="1" s="1"/>
  <c r="L35" i="1"/>
  <c r="J16" i="1"/>
  <c r="K16" i="1" s="1"/>
  <c r="M16" i="1" s="1"/>
  <c r="L16" i="1"/>
  <c r="J8" i="1"/>
  <c r="K8" i="1" s="1"/>
  <c r="M8" i="1" s="1"/>
  <c r="L8" i="1"/>
  <c r="J98" i="1"/>
  <c r="K98" i="1" s="1"/>
  <c r="M98" i="1" s="1"/>
  <c r="L98" i="1"/>
  <c r="J90" i="1"/>
  <c r="K90" i="1" s="1"/>
  <c r="M90" i="1" s="1"/>
  <c r="L90" i="1"/>
  <c r="J82" i="1"/>
  <c r="K82" i="1" s="1"/>
  <c r="M82" i="1" s="1"/>
  <c r="L82" i="1"/>
  <c r="J74" i="1"/>
  <c r="K74" i="1" s="1"/>
  <c r="M74" i="1" s="1"/>
  <c r="L74" i="1"/>
  <c r="J66" i="1"/>
  <c r="K66" i="1" s="1"/>
  <c r="M66" i="1" s="1"/>
  <c r="L66" i="1"/>
  <c r="J58" i="1"/>
  <c r="K58" i="1" s="1"/>
  <c r="M58" i="1" s="1"/>
  <c r="L58" i="1"/>
  <c r="J50" i="1"/>
  <c r="K50" i="1" s="1"/>
  <c r="M50" i="1" s="1"/>
  <c r="L50" i="1"/>
  <c r="J42" i="1"/>
  <c r="K42" i="1" s="1"/>
  <c r="M42" i="1" s="1"/>
  <c r="L42" i="1"/>
  <c r="J34" i="1"/>
  <c r="K34" i="1" s="1"/>
  <c r="M34" i="1" s="1"/>
  <c r="L34" i="1"/>
  <c r="L24" i="1"/>
  <c r="L122" i="1" s="1"/>
  <c r="J24" i="1"/>
  <c r="J15" i="1"/>
  <c r="K15" i="1" s="1"/>
  <c r="M15" i="1" s="1"/>
  <c r="L15" i="1"/>
  <c r="J4" i="1"/>
  <c r="K4" i="1" s="1"/>
  <c r="M4" i="1" s="1"/>
  <c r="L4" i="1"/>
  <c r="J97" i="1"/>
  <c r="K97" i="1" s="1"/>
  <c r="M97" i="1" s="1"/>
  <c r="L97" i="1"/>
  <c r="J89" i="1"/>
  <c r="K89" i="1" s="1"/>
  <c r="M89" i="1" s="1"/>
  <c r="L89" i="1"/>
  <c r="J81" i="1"/>
  <c r="K81" i="1" s="1"/>
  <c r="M81" i="1" s="1"/>
  <c r="L81" i="1"/>
  <c r="J73" i="1"/>
  <c r="K73" i="1" s="1"/>
  <c r="M73" i="1" s="1"/>
  <c r="L73" i="1"/>
  <c r="J65" i="1"/>
  <c r="K65" i="1" s="1"/>
  <c r="M65" i="1" s="1"/>
  <c r="L65" i="1"/>
  <c r="J57" i="1"/>
  <c r="K57" i="1" s="1"/>
  <c r="M57" i="1" s="1"/>
  <c r="L57" i="1"/>
  <c r="J49" i="1"/>
  <c r="K49" i="1" s="1"/>
  <c r="M49" i="1" s="1"/>
  <c r="L49" i="1"/>
  <c r="J41" i="1"/>
  <c r="K41" i="1" s="1"/>
  <c r="M41" i="1" s="1"/>
  <c r="L41" i="1"/>
  <c r="G33" i="1"/>
  <c r="J33" i="1"/>
  <c r="K33" i="1" s="1"/>
  <c r="M33" i="1" s="1"/>
  <c r="L33" i="1"/>
  <c r="J99" i="1"/>
  <c r="K99" i="1" s="1"/>
  <c r="M99" i="1" s="1"/>
  <c r="L99" i="1"/>
  <c r="F122" i="1"/>
  <c r="J2" i="1"/>
  <c r="K2" i="1" s="1"/>
  <c r="M2" i="1" s="1"/>
  <c r="L2" i="1"/>
  <c r="J14" i="1"/>
  <c r="K14" i="1" s="1"/>
  <c r="M14" i="1" s="1"/>
  <c r="L14" i="1"/>
  <c r="J3" i="1"/>
  <c r="K3" i="1" s="1"/>
  <c r="M3" i="1" s="1"/>
  <c r="L3" i="1"/>
  <c r="L96" i="1"/>
  <c r="J96" i="1"/>
  <c r="K96" i="1" s="1"/>
  <c r="M96" i="1" s="1"/>
  <c r="J88" i="1"/>
  <c r="K88" i="1" s="1"/>
  <c r="M88" i="1" s="1"/>
  <c r="L88" i="1"/>
  <c r="L80" i="1"/>
  <c r="J80" i="1"/>
  <c r="K80" i="1" s="1"/>
  <c r="M80" i="1" s="1"/>
  <c r="L72" i="1"/>
  <c r="J72" i="1"/>
  <c r="K72" i="1" s="1"/>
  <c r="M72" i="1" s="1"/>
  <c r="J64" i="1"/>
  <c r="K64" i="1" s="1"/>
  <c r="M64" i="1" s="1"/>
  <c r="L64" i="1"/>
  <c r="J56" i="1"/>
  <c r="K56" i="1" s="1"/>
  <c r="M56" i="1" s="1"/>
  <c r="L56" i="1"/>
  <c r="J48" i="1"/>
  <c r="K48" i="1" s="1"/>
  <c r="M48" i="1" s="1"/>
  <c r="L48" i="1"/>
  <c r="L40" i="1"/>
  <c r="J40" i="1"/>
  <c r="K40" i="1" s="1"/>
  <c r="M40" i="1" s="1"/>
  <c r="J32" i="1"/>
  <c r="K32" i="1" s="1"/>
  <c r="M32" i="1" s="1"/>
  <c r="L32" i="1"/>
  <c r="K24" i="1" l="1"/>
  <c r="J122" i="1"/>
  <c r="N33" i="1"/>
  <c r="G122" i="1"/>
  <c r="M24" i="1" l="1"/>
  <c r="M122" i="1" s="1"/>
  <c r="K122" i="1"/>
  <c r="B109" i="1" l="1"/>
  <c r="B103" i="1"/>
  <c r="B38" i="1"/>
</calcChain>
</file>

<file path=xl/sharedStrings.xml><?xml version="1.0" encoding="utf-8"?>
<sst xmlns="http://schemas.openxmlformats.org/spreadsheetml/2006/main" count="598" uniqueCount="271">
  <si>
    <t>Decalog ID</t>
  </si>
  <si>
    <t>Portfolios name</t>
  </si>
  <si>
    <t>Fund or Model</t>
  </si>
  <si>
    <t>Strategy Type</t>
  </si>
  <si>
    <t>Strategy Detail</t>
  </si>
  <si>
    <t>Difference</t>
  </si>
  <si>
    <t>Difference final</t>
  </si>
  <si>
    <t>Flows April mln</t>
  </si>
  <si>
    <t>E142</t>
  </si>
  <si>
    <t>AMUNDI FUND SOLUTIONS - BALANCED</t>
  </si>
  <si>
    <t>Fund</t>
  </si>
  <si>
    <t>E143</t>
  </si>
  <si>
    <t>AMUNDI FUND SOLUTIONS - CONSERVATIVE</t>
  </si>
  <si>
    <t>E144</t>
  </si>
  <si>
    <t>AMUNDI FUND SOLUTIONS - DIVERSIFIED GROWTH - A</t>
  </si>
  <si>
    <t>PF101376</t>
  </si>
  <si>
    <t>AFS ICAV Planet ESG Balanced</t>
  </si>
  <si>
    <t>PF101372</t>
  </si>
  <si>
    <t xml:space="preserve">AFS ICAV Planet ESG Conservative </t>
  </si>
  <si>
    <t>PF101380</t>
  </si>
  <si>
    <t xml:space="preserve">AFS ICAV Planet ESG Dynamic </t>
  </si>
  <si>
    <t>PF78195</t>
  </si>
  <si>
    <t>AMUNDI SOLUZIONI ITALIA - PROGETTO AZIONE CAMBIAMENTO CLIMATICO - E</t>
  </si>
  <si>
    <t>PF103025</t>
  </si>
  <si>
    <t>ASI - PROGETTO AZIONE FUTURO GREEN</t>
  </si>
  <si>
    <t>E118</t>
  </si>
  <si>
    <t>AMUNDI UNICREDIT PREM PORT- PRUDENTIAL</t>
  </si>
  <si>
    <t>E119</t>
  </si>
  <si>
    <t>AMUNDI UNICREDIT PREMIUM PORT - DYNAMIC</t>
  </si>
  <si>
    <t>E120</t>
  </si>
  <si>
    <t>AMUNDI UNICREDIT PREM PORT- MULTI ASSET</t>
  </si>
  <si>
    <t>PF115036</t>
  </si>
  <si>
    <t>THE TRUSTHOUSE FDN CPI+4% MULTI-AST PTF</t>
  </si>
  <si>
    <t>PF204806</t>
  </si>
  <si>
    <t>AMUNDI-FUNDACION CAJA NAVARRA DYNAMIC</t>
  </si>
  <si>
    <t>PF88524</t>
  </si>
  <si>
    <t>AMUNDI ELITE THEMATIC MULTI ASSET</t>
  </si>
  <si>
    <t>E209</t>
  </si>
  <si>
    <t>PI INVESTMENT FUNDS - DYNAMIC ALLOCATION FUND - E</t>
  </si>
  <si>
    <t>PF87100</t>
  </si>
  <si>
    <t>AMUNDI FUND SOLUTIONS - SABADELL URQUIJO ACUMULACION</t>
  </si>
  <si>
    <t>PF87115</t>
  </si>
  <si>
    <t>AMUNDI FUND SOLUTIONS - SABADELL URQUIJO CRECIMIENTO</t>
  </si>
  <si>
    <t>PF92127</t>
  </si>
  <si>
    <t>AMUNDI SOLUZIONI ITALIA - PROGETTO AZIONE INFRASTRUTTURE SOSTENIBILI</t>
  </si>
  <si>
    <t>PF95239</t>
  </si>
  <si>
    <t>AMUNDI SOLUZIONI ITALIA - PROGETTO AZIONE INFRASTRUTTURE SOSTENIBILI (II)</t>
  </si>
  <si>
    <t>PF201311</t>
  </si>
  <si>
    <t>AMUNDI SENTIERO SOSTENIBILE</t>
  </si>
  <si>
    <t>SAXO</t>
  </si>
  <si>
    <t>SAXO EUROPE</t>
  </si>
  <si>
    <t>Model</t>
  </si>
  <si>
    <t>PSUKLD1</t>
  </si>
  <si>
    <t>Amundi Invensys Broad Bond Portfolio</t>
  </si>
  <si>
    <t>PF79139</t>
  </si>
  <si>
    <t>AMUNDI SOLUZIONI ITALIA - PROGETTO AZIONE CAMBIAMENTO CLIMATICO (II) - E</t>
  </si>
  <si>
    <t>PF71664</t>
  </si>
  <si>
    <t>AMUNDI SOLUZIONI ITALIA - PROGETTO AZIONE MEGATREND - E</t>
  </si>
  <si>
    <t>PF76580</t>
  </si>
  <si>
    <t>AMUNDI SOLUZIONI ITALIA - PROGETTO AZIONE MEGATREND (II) - E</t>
  </si>
  <si>
    <t>PF88300</t>
  </si>
  <si>
    <t>ASI - PROGETTO AZIONE ENERGY TRANSITION</t>
  </si>
  <si>
    <t>PF89408</t>
  </si>
  <si>
    <t>ASI - PROGETTO AZIONE ENERGY TRANSITION (II)</t>
  </si>
  <si>
    <t>E224</t>
  </si>
  <si>
    <t>PI INVESTMENT FUNDS - TACTICAL ALLOCATION PILLAR - E</t>
  </si>
  <si>
    <t>E208</t>
  </si>
  <si>
    <t>PI INVESTMENT FUNDS - TACTICAL ALLOCATION BOND FUND - H</t>
  </si>
  <si>
    <t>ULECSTARS</t>
  </si>
  <si>
    <t>UL Global Equity Dividend &amp; Subordinated</t>
  </si>
  <si>
    <t>F100123</t>
  </si>
  <si>
    <t>Amundi Env and Climate Change Sol Fund</t>
  </si>
  <si>
    <t>UDM6</t>
  </si>
  <si>
    <t>Unidiamond + Azionaria America</t>
  </si>
  <si>
    <t>UDM7</t>
  </si>
  <si>
    <t>Life Program Azionario Pacifico</t>
  </si>
  <si>
    <t>UDM9</t>
  </si>
  <si>
    <t>Unidiamond + Azionaria Intl</t>
  </si>
  <si>
    <t>E207</t>
  </si>
  <si>
    <t>PI INVESTMENT FUNDS - TACTICAL ALLOCATION FUND - H</t>
  </si>
  <si>
    <t>E193</t>
  </si>
  <si>
    <t>1PM</t>
  </si>
  <si>
    <t>CAM ARES RISPARMIO ATTIVO M</t>
  </si>
  <si>
    <t>1QM</t>
  </si>
  <si>
    <t>CAM ARES RISPARMIO BILANCIATO M</t>
  </si>
  <si>
    <t>1RM</t>
  </si>
  <si>
    <t>CAM ARES RISPARMIO OBBLIGAZ. M</t>
  </si>
  <si>
    <t>R1M</t>
  </si>
  <si>
    <t>CAM CNP - LINEA  DINAMICA</t>
  </si>
  <si>
    <t>CCRESCITA</t>
  </si>
  <si>
    <t>CAM CRESCITA</t>
  </si>
  <si>
    <t>CMEDIUM</t>
  </si>
  <si>
    <t>CAM MEDIUM</t>
  </si>
  <si>
    <t>COBBLEURO</t>
  </si>
  <si>
    <t>CAM OBBLIGAZIONARIA EURO</t>
  </si>
  <si>
    <t>CREDDITO</t>
  </si>
  <si>
    <t>CAM REDDITO</t>
  </si>
  <si>
    <t>STEPONE</t>
  </si>
  <si>
    <t>CAM STEP ONE</t>
  </si>
  <si>
    <t>CSVILUPPO</t>
  </si>
  <si>
    <t>CAM SVILUPPO</t>
  </si>
  <si>
    <t>CTREND_20</t>
  </si>
  <si>
    <t>CAM TREND 20</t>
  </si>
  <si>
    <t>MLIFEBND</t>
  </si>
  <si>
    <t>Life Program Bond</t>
  </si>
  <si>
    <t>MLPFLEX</t>
  </si>
  <si>
    <t>Life Program Flessibile</t>
  </si>
  <si>
    <t>PP1-3Y</t>
  </si>
  <si>
    <t>PL Euro Bond 1 to 3 years</t>
  </si>
  <si>
    <t>PLIC</t>
  </si>
  <si>
    <t>PL Income Clock</t>
  </si>
  <si>
    <t>ULBIL</t>
  </si>
  <si>
    <t>UL BILANCIATA</t>
  </si>
  <si>
    <t>ULBILPIU</t>
  </si>
  <si>
    <t>UL BILANCIATA PIU</t>
  </si>
  <si>
    <t>ULDIN</t>
  </si>
  <si>
    <t>UL DINAMICA</t>
  </si>
  <si>
    <t>ULP</t>
  </si>
  <si>
    <t>UL PRUDENTE</t>
  </si>
  <si>
    <t>ULPRUD</t>
  </si>
  <si>
    <t>UL PRUDENTE PIU</t>
  </si>
  <si>
    <t>DINAR1TF</t>
  </si>
  <si>
    <t>UNIFLEX ACTIVE 1</t>
  </si>
  <si>
    <t>DINAR2TF</t>
  </si>
  <si>
    <t>UNIFLEX ACTIVE 2</t>
  </si>
  <si>
    <t>DINAR3TF</t>
  </si>
  <si>
    <t>UNIFLEX ACTIVE 3</t>
  </si>
  <si>
    <t>MATRUNIP</t>
  </si>
  <si>
    <t>Unit Linked A TR UNIPLAN</t>
  </si>
  <si>
    <t>MUNIP</t>
  </si>
  <si>
    <t>Unit Linked AMix UNIPLAN</t>
  </si>
  <si>
    <t>MEPF2N</t>
  </si>
  <si>
    <t>UNIT LINKED E2 NEW</t>
  </si>
  <si>
    <t>MEPF5</t>
  </si>
  <si>
    <t>UNIT LINKED E3 NEW</t>
  </si>
  <si>
    <t>MEPF6</t>
  </si>
  <si>
    <t>UNIT LINKED E4 NEW</t>
  </si>
  <si>
    <t>MEPF8</t>
  </si>
  <si>
    <t>UNIT LINKED E6 NEW</t>
  </si>
  <si>
    <t>ULG4NEW</t>
  </si>
  <si>
    <t>UNIT LINKED G4 NEW</t>
  </si>
  <si>
    <t>MEPF10</t>
  </si>
  <si>
    <t>UNIT LINKED G5 NEW</t>
  </si>
  <si>
    <t>MEPF4</t>
  </si>
  <si>
    <t>Unit Linked OLD 4</t>
  </si>
  <si>
    <t>UES20</t>
  </si>
  <si>
    <t>Univalore E Strategia 20</t>
  </si>
  <si>
    <t>UES30</t>
  </si>
  <si>
    <t>Univalore E Strategia 30</t>
  </si>
  <si>
    <t>UES40</t>
  </si>
  <si>
    <t>Univalore E Strategia 40</t>
  </si>
  <si>
    <t>UES70</t>
  </si>
  <si>
    <t>Univalore E Strategia 70</t>
  </si>
  <si>
    <t>UES50</t>
  </si>
  <si>
    <t>Univalore Stars Balanced</t>
  </si>
  <si>
    <t>PP3Y</t>
  </si>
  <si>
    <t>PL Euro Bond over 3 years</t>
  </si>
  <si>
    <t>MAL</t>
  </si>
  <si>
    <t>CAM Agosto</t>
  </si>
  <si>
    <t>MAF</t>
  </si>
  <si>
    <t>CAM Aprile</t>
  </si>
  <si>
    <t>MAB</t>
  </si>
  <si>
    <t>CAM Dicembre</t>
  </si>
  <si>
    <t>MAD</t>
  </si>
  <si>
    <t>CAM Febbraio</t>
  </si>
  <si>
    <t>MAC</t>
  </si>
  <si>
    <t>CAM Gennaio</t>
  </si>
  <si>
    <t>MAH</t>
  </si>
  <si>
    <t>CAM Giugno</t>
  </si>
  <si>
    <t>MAG</t>
  </si>
  <si>
    <t>CAM Maggio</t>
  </si>
  <si>
    <t>MAE</t>
  </si>
  <si>
    <t>CAM Marzo</t>
  </si>
  <si>
    <t>MAA</t>
  </si>
  <si>
    <t>CAM Novembre</t>
  </si>
  <si>
    <t>MAN</t>
  </si>
  <si>
    <t>CAM Ottobre</t>
  </si>
  <si>
    <t>MAM</t>
  </si>
  <si>
    <t>CAM Settembre</t>
  </si>
  <si>
    <t>CNPTHEMPROT</t>
  </si>
  <si>
    <t>CNP THEMATIC PROTECTION 80</t>
  </si>
  <si>
    <t>CRVTHEMPROT</t>
  </si>
  <si>
    <t>CRV THEMATIC PROTECTION 80</t>
  </si>
  <si>
    <t>CNPDYNPR80</t>
  </si>
  <si>
    <t>CNP Dynamic Protection 80</t>
  </si>
  <si>
    <t>CRVDYNPR80</t>
  </si>
  <si>
    <t>CRV Dynamic Protection 80</t>
  </si>
  <si>
    <t>CNPPROT80</t>
  </si>
  <si>
    <t>CNP Protection 80</t>
  </si>
  <si>
    <t>CRVPROT80</t>
  </si>
  <si>
    <t>CRV Protection 80</t>
  </si>
  <si>
    <t>MLINC</t>
  </si>
  <si>
    <t>UL Life Income</t>
  </si>
  <si>
    <t>MULLI360</t>
  </si>
  <si>
    <t>UL Life Income 360</t>
  </si>
  <si>
    <t>ULACCO</t>
  </si>
  <si>
    <t>Unit Linked Multi Equity Accumulation</t>
  </si>
  <si>
    <t>MUSI</t>
  </si>
  <si>
    <t>Univalore Stars Income</t>
  </si>
  <si>
    <t>PMAI</t>
  </si>
  <si>
    <t>CAM Luglio</t>
  </si>
  <si>
    <t>ULBER-</t>
  </si>
  <si>
    <t>UL_Bilanciata_+ERGO</t>
  </si>
  <si>
    <t>ULDER</t>
  </si>
  <si>
    <t>UL_Dinamica ERGO</t>
  </si>
  <si>
    <t>ULPER</t>
  </si>
  <si>
    <t>UL_Prudente ERGO</t>
  </si>
  <si>
    <t>ULP-ER</t>
  </si>
  <si>
    <t>UL_Prudente_+ ERGO</t>
  </si>
  <si>
    <t>R2M</t>
  </si>
  <si>
    <t>ULC</t>
  </si>
  <si>
    <t>UL CAUTA</t>
  </si>
  <si>
    <t>UNGOALS</t>
  </si>
  <si>
    <t>Unit Linked UN GOALS</t>
  </si>
  <si>
    <t>ULMATREND</t>
  </si>
  <si>
    <t>Unit Linked Multi Asset Trend</t>
  </si>
  <si>
    <t xml:space="preserve">ULFTREND </t>
  </si>
  <si>
    <t>Unit Linked Future Trend</t>
  </si>
  <si>
    <t>Multhem</t>
  </si>
  <si>
    <t>Unit Linked Multi Thematic Global Eq</t>
  </si>
  <si>
    <t>AAPROT80</t>
  </si>
  <si>
    <t>MULSTEP</t>
  </si>
  <si>
    <t>STEP CRESCITA</t>
  </si>
  <si>
    <t>DIOP3</t>
  </si>
  <si>
    <t>DISCRETIONARY INCOME ORIENTED PRODUCTS 3</t>
  </si>
  <si>
    <t>DIOP4</t>
  </si>
  <si>
    <t>DISCRETIONARY INCOME ORIENTED PRODUCTS 4</t>
  </si>
  <si>
    <t>BBSECCORE</t>
  </si>
  <si>
    <t>BB SECURITIES EURO GOVT CORE</t>
  </si>
  <si>
    <t>BBSECPERIPH</t>
  </si>
  <si>
    <t>BB SECURITIES EURO GOVT PERIPHERAL</t>
  </si>
  <si>
    <t>BBSECEURIG</t>
  </si>
  <si>
    <t>BB SECURITIES EURO IG CREDIT</t>
  </si>
  <si>
    <t>BBSECUSTBOND</t>
  </si>
  <si>
    <t>BB SECURITIES US TREASURY BOND</t>
  </si>
  <si>
    <t>DIOP 1</t>
  </si>
  <si>
    <t>DISCRETIONARY INCOME ORIENTED PRODUCTS 1</t>
  </si>
  <si>
    <t>DIOP 2</t>
  </si>
  <si>
    <t>DISCRETIONARY INCOME ORIENTED PRODUCTS 2</t>
  </si>
  <si>
    <t>PF82304</t>
  </si>
  <si>
    <t>ASI - PROGETTO AZION MILLENNIALS II</t>
  </si>
  <si>
    <t>PF80513</t>
  </si>
  <si>
    <t>ASI - PROGETTO AZION MILLENNIALS</t>
  </si>
  <si>
    <t>MUSG</t>
  </si>
  <si>
    <t>Univalore Stars Growth - Comanaged with Fund Selection -</t>
  </si>
  <si>
    <t>Allocation Driven Strategies</t>
  </si>
  <si>
    <t>Outcome Oriented Strategies</t>
  </si>
  <si>
    <t>Service Fund</t>
  </si>
  <si>
    <t>Moderate</t>
  </si>
  <si>
    <t>Conservative</t>
  </si>
  <si>
    <t>Growth</t>
  </si>
  <si>
    <t>Risk Accumulation</t>
  </si>
  <si>
    <t>Income</t>
  </si>
  <si>
    <t>Thematic</t>
  </si>
  <si>
    <t>Equity</t>
  </si>
  <si>
    <t>Capital Guaranteed</t>
  </si>
  <si>
    <t>AUM</t>
  </si>
  <si>
    <t>Flows</t>
  </si>
  <si>
    <t>Last AUM</t>
  </si>
  <si>
    <t>AUM in mln*</t>
  </si>
  <si>
    <t>Last AUM in mln *</t>
  </si>
  <si>
    <t>Difference In AUM in mIn*</t>
  </si>
  <si>
    <t>Flexible</t>
  </si>
  <si>
    <t>Bond</t>
  </si>
  <si>
    <t>Capital Protection</t>
  </si>
  <si>
    <t>Row Labels</t>
  </si>
  <si>
    <t>(blank)</t>
  </si>
  <si>
    <t>Grand Total</t>
  </si>
  <si>
    <t>Sum of Difference In AUM in mIn*</t>
  </si>
  <si>
    <t>Sum of Flows</t>
  </si>
  <si>
    <t>% Change Flows 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</si>
</sst>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center" wrapText="1"/>
    </xf>
    <xf numFmtId="164" fontId="2" fillId="2" borderId="0" xfId="1" applyNumberFormat="1" applyFont="1" applyFill="1" applyAlignment="1">
      <alignment horizont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9" borderId="0" xfId="0" applyFill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mundi_Multi-Asset/Multi-Asset_Fund_Solutions/Portfolio_Management/Dublin/MAP/Salvatore/From%20Risk%20-%20Fund%20Responsibility%20List%20-%20New%20vers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mundi_Multi-Asset/Multi-Asset_Fund_Solutions/Portfolio_Management/Dublin/MAP/Salvatore/Models%20AU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UM%20File%20Victo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blin funds"/>
      <sheetName val="Model portfolios"/>
      <sheetName val="London funds"/>
      <sheetName val="Migrations in progress"/>
      <sheetName val="Launches"/>
      <sheetName val="Migrated"/>
      <sheetName val="Liquidated-Terminated"/>
    </sheetNames>
    <sheetDataSet>
      <sheetData sheetId="0">
        <row r="1">
          <cell r="B1" t="str">
            <v>Fund code</v>
          </cell>
          <cell r="C1"/>
          <cell r="D1" t="str">
            <v>Macro Process</v>
          </cell>
          <cell r="E1" t="str">
            <v>Micro Process</v>
          </cell>
          <cell r="F1" t="str">
            <v>In the Master List?</v>
          </cell>
          <cell r="G1" t="str">
            <v>BIP Code</v>
          </cell>
          <cell r="H1" t="str">
            <v>Portfolio Name</v>
          </cell>
          <cell r="I1" t="str">
            <v>Location</v>
          </cell>
          <cell r="J1" t="str">
            <v>System</v>
          </cell>
          <cell r="K1" t="str">
            <v>Notes</v>
          </cell>
          <cell r="L1" t="str">
            <v>Risk Manager</v>
          </cell>
          <cell r="M1" t="str">
            <v>Risk Manager - Internal Characteristic (Armoni)</v>
          </cell>
          <cell r="N1" t="str">
            <v>Risk Manager - Person in Charge  (Armoni)</v>
          </cell>
          <cell r="O1" t="str">
            <v>Legal Structure</v>
          </cell>
          <cell r="P1" t="str">
            <v>PIML Activity</v>
          </cell>
          <cell r="Q1" t="str">
            <v>Management Co / Client</v>
          </cell>
          <cell r="R1" t="str">
            <v>Domicile</v>
          </cell>
          <cell r="S1" t="str">
            <v>Custodian</v>
          </cell>
          <cell r="T1" t="str">
            <v>Head of Function</v>
          </cell>
          <cell r="U1" t="str">
            <v>Head of Desk</v>
          </cell>
          <cell r="V1" t="str">
            <v>Portfolio Manager</v>
          </cell>
          <cell r="W1" t="str">
            <v>Additional Recipient</v>
          </cell>
          <cell r="X1" t="str">
            <v>Additional Recipient</v>
          </cell>
          <cell r="Y1" t="str">
            <v>Additional Recipient</v>
          </cell>
          <cell r="Z1" t="str">
            <v>Additional Recipient</v>
          </cell>
          <cell r="AA1" t="str">
            <v>Flagship</v>
          </cell>
          <cell r="AB1" t="str">
            <v>BIP Code</v>
          </cell>
          <cell r="AC1" t="str">
            <v>Macro Process</v>
          </cell>
          <cell r="AD1" t="str">
            <v>Micro Process</v>
          </cell>
          <cell r="AE1" t="str">
            <v>Micro process code</v>
          </cell>
          <cell r="AN1" t="str">
            <v>Site</v>
          </cell>
          <cell r="AO1" t="str">
            <v>Desk</v>
          </cell>
          <cell r="AP1" t="str">
            <v>Code Decalog</v>
          </cell>
          <cell r="AQ1" t="str">
            <v>Code BIP</v>
          </cell>
          <cell r="AR1" t="str">
            <v>Style de gestion</v>
          </cell>
          <cell r="AS1" t="str">
            <v>Thématique</v>
          </cell>
        </row>
        <row r="2">
          <cell r="B2" t="str">
            <v>PF72360</v>
          </cell>
          <cell r="C2" t="str">
            <v>From Risk - Fund Responsibility - Dublin Funds</v>
          </cell>
          <cell r="D2" t="str">
            <v>Under discussion with PM</v>
          </cell>
          <cell r="E2" t="str">
            <v>Under discussion with PM</v>
          </cell>
          <cell r="F2" t="str">
            <v>Yes</v>
          </cell>
          <cell r="G2">
            <v>145832</v>
          </cell>
          <cell r="H2" t="str">
            <v>AMUNDI FUNDS Global Multi-Asset</v>
          </cell>
          <cell r="I2" t="str">
            <v>Milan - Co managed</v>
          </cell>
          <cell r="J2" t="str">
            <v>Media+</v>
          </cell>
          <cell r="K2"/>
          <cell r="L2" t="str">
            <v>Sarah D'Rosario</v>
          </cell>
          <cell r="M2" t="str">
            <v>Luca Mascolo</v>
          </cell>
          <cell r="N2" t="str">
            <v>Luca Mascolo</v>
          </cell>
          <cell r="O2" t="str">
            <v>UCITS</v>
          </cell>
          <cell r="P2" t="str">
            <v>Discretionary</v>
          </cell>
          <cell r="Q2" t="str">
            <v>ALSA</v>
          </cell>
          <cell r="R2" t="str">
            <v>Luxembourg</v>
          </cell>
          <cell r="S2" t="str">
            <v xml:space="preserve">Société Générale </v>
          </cell>
          <cell r="T2" t="str">
            <v>John O'Toole</v>
          </cell>
          <cell r="U2" t="str">
            <v>John O'Toole</v>
          </cell>
          <cell r="V2" t="str">
            <v>Marco Sorgassi</v>
          </cell>
          <cell r="W2" t="str">
            <v xml:space="preserve">Enrico Bovalini </v>
          </cell>
          <cell r="X2" t="str">
            <v>Francesco Sandrini</v>
          </cell>
          <cell r="Y2" t="str">
            <v>CC: DL.MIL.INV.MA-MODERATE&amp;CONSERVATIVE</v>
          </cell>
          <cell r="AB2">
            <v>123172</v>
          </cell>
          <cell r="AC2" t="str">
            <v>Under discussion with PM</v>
          </cell>
          <cell r="AD2" t="str">
            <v>Under discussion with PM</v>
          </cell>
          <cell r="AE2" t="str">
            <v>Under discussion with PM</v>
          </cell>
        </row>
        <row r="3">
          <cell r="B3" t="str">
            <v>E142</v>
          </cell>
          <cell r="C3" t="str">
            <v>From Risk - Fund Responsibility - Dublin Funds</v>
          </cell>
          <cell r="D3" t="str">
            <v>BAL Multimanagement</v>
          </cell>
          <cell r="E3" t="str">
            <v>DUB BAL Multimanagement SDA Fds de Fds</v>
          </cell>
          <cell r="F3" t="str">
            <v>Yes</v>
          </cell>
          <cell r="G3">
            <v>123133</v>
          </cell>
          <cell r="H3" t="str">
            <v xml:space="preserve">Amundi Fund Solutions - Balanced </v>
          </cell>
          <cell r="I3" t="str">
            <v>Dublin</v>
          </cell>
          <cell r="J3" t="str">
            <v>Media+</v>
          </cell>
          <cell r="K3"/>
          <cell r="L3" t="str">
            <v>Sarah D'Rosario</v>
          </cell>
          <cell r="M3" t="str">
            <v>Luca Mascolo</v>
          </cell>
          <cell r="N3" t="str">
            <v>Luca Mascolo</v>
          </cell>
          <cell r="O3" t="str">
            <v>UCITS</v>
          </cell>
          <cell r="P3" t="str">
            <v>Discretionary</v>
          </cell>
          <cell r="Q3" t="str">
            <v>ALSA</v>
          </cell>
          <cell r="R3" t="str">
            <v>Luxembourg</v>
          </cell>
          <cell r="S3" t="str">
            <v xml:space="preserve">Société Générale </v>
          </cell>
          <cell r="T3" t="str">
            <v xml:space="preserve">John O'Toole </v>
          </cell>
          <cell r="U3" t="str">
            <v xml:space="preserve">John O'Toole </v>
          </cell>
          <cell r="V3" t="str">
            <v>Salvatore Buono</v>
          </cell>
          <cell r="W3" t="str">
            <v>Alan Butterly</v>
          </cell>
          <cell r="X3" t="str">
            <v>CC: DL.DUB.Inv-MAPM</v>
          </cell>
          <cell r="AB3">
            <v>123133</v>
          </cell>
          <cell r="AC3" t="str">
            <v>BAL Multimanagement</v>
          </cell>
          <cell r="AD3" t="str">
            <v>DUB BAL Multimanagement SDA Fds de Fds</v>
          </cell>
          <cell r="AE3" t="str">
            <v>006043000001</v>
          </cell>
        </row>
        <row r="4">
          <cell r="B4" t="str">
            <v>E143</v>
          </cell>
          <cell r="C4" t="str">
            <v>From Risk - Fund Responsibility - Dublin Funds</v>
          </cell>
          <cell r="D4" t="str">
            <v>BAL Multimanagement</v>
          </cell>
          <cell r="E4" t="str">
            <v>DUB BAL Multimanagement SDA Fds de Fds</v>
          </cell>
          <cell r="F4" t="str">
            <v>Yes</v>
          </cell>
          <cell r="G4">
            <v>124727</v>
          </cell>
          <cell r="H4" t="str">
            <v>Amundi Fund Solutions - Allocation Conservative</v>
          </cell>
          <cell r="I4" t="str">
            <v>Dublin</v>
          </cell>
          <cell r="J4" t="str">
            <v>Media+</v>
          </cell>
          <cell r="K4"/>
          <cell r="L4" t="str">
            <v>Sarah D'Rosario</v>
          </cell>
          <cell r="M4" t="str">
            <v>Luca Mascolo</v>
          </cell>
          <cell r="N4" t="str">
            <v>Luca Mascolo</v>
          </cell>
          <cell r="O4" t="str">
            <v>UCITS</v>
          </cell>
          <cell r="P4" t="str">
            <v>Discretionary</v>
          </cell>
          <cell r="Q4" t="str">
            <v>ALSA</v>
          </cell>
          <cell r="R4" t="str">
            <v>Luxembourg</v>
          </cell>
          <cell r="S4" t="str">
            <v xml:space="preserve">Société Générale </v>
          </cell>
          <cell r="T4" t="str">
            <v xml:space="preserve">John O'Toole </v>
          </cell>
          <cell r="U4" t="str">
            <v xml:space="preserve">John O'Toole </v>
          </cell>
          <cell r="V4" t="str">
            <v>Salvatore Buono</v>
          </cell>
          <cell r="W4" t="str">
            <v>Alan Butterly</v>
          </cell>
          <cell r="X4" t="str">
            <v>CC: DL.DUB.Inv-MAPM</v>
          </cell>
          <cell r="AB4">
            <v>124724</v>
          </cell>
          <cell r="AC4" t="str">
            <v>BAL Multimanagement</v>
          </cell>
          <cell r="AD4" t="str">
            <v>DUB BAL Multimanagement SDA Fds de Fds</v>
          </cell>
          <cell r="AE4" t="str">
            <v>006043000001</v>
          </cell>
        </row>
        <row r="5">
          <cell r="B5" t="str">
            <v>E144</v>
          </cell>
          <cell r="C5" t="str">
            <v>From Risk - Fund Responsibility - Dublin Funds</v>
          </cell>
          <cell r="D5" t="str">
            <v>BAL Multimanagement</v>
          </cell>
          <cell r="E5" t="str">
            <v>AMU BAL SDA Fds de Fds (used some absolute limits with High Rik with Equity exposure 0/120% and currency exposure up to 100%</v>
          </cell>
          <cell r="F5" t="str">
            <v>Yes</v>
          </cell>
          <cell r="G5">
            <v>124739</v>
          </cell>
          <cell r="H5" t="str">
            <v xml:space="preserve">Amundi Fund Solutions - Diversified Growth </v>
          </cell>
          <cell r="I5" t="str">
            <v>Dublin</v>
          </cell>
          <cell r="J5" t="str">
            <v>Media+</v>
          </cell>
          <cell r="K5"/>
          <cell r="L5" t="str">
            <v>Sarah D'Rosario</v>
          </cell>
          <cell r="M5" t="str">
            <v>Luca Mascolo</v>
          </cell>
          <cell r="N5" t="str">
            <v>Luca Mascolo</v>
          </cell>
          <cell r="O5" t="str">
            <v>UCITS</v>
          </cell>
          <cell r="P5" t="str">
            <v>Discretionary</v>
          </cell>
          <cell r="Q5" t="str">
            <v>ALSA</v>
          </cell>
          <cell r="R5" t="str">
            <v>Luxembourg</v>
          </cell>
          <cell r="S5" t="str">
            <v xml:space="preserve">Société Générale </v>
          </cell>
          <cell r="T5" t="str">
            <v xml:space="preserve">John O'Toole </v>
          </cell>
          <cell r="U5" t="str">
            <v xml:space="preserve">John O'Toole </v>
          </cell>
          <cell r="V5" t="str">
            <v>Bertrand Paquot</v>
          </cell>
          <cell r="W5" t="str">
            <v>CC: DL.DUB.Inv-MAPM</v>
          </cell>
          <cell r="X5" t="str">
            <v>CC: DL.DUB.Inv-MAPM</v>
          </cell>
          <cell r="AB5">
            <v>124736</v>
          </cell>
          <cell r="AC5" t="str">
            <v>BAL Multimanagement</v>
          </cell>
          <cell r="AD5" t="str">
            <v>AMU BAL SDA Fds de Fds (used some absolute limits with High Rik with Equity exposure 0/120% and currency exposure up to 100%</v>
          </cell>
          <cell r="AE5" t="str">
            <v>006043000001</v>
          </cell>
        </row>
        <row r="6">
          <cell r="B6" t="str">
            <v>E118</v>
          </cell>
          <cell r="C6" t="str">
            <v>From Risk - Fund Responsibility - Dublin Funds</v>
          </cell>
          <cell r="D6" t="str">
            <v>BAL Multimanagement</v>
          </cell>
          <cell r="E6" t="str">
            <v>DUB BAL Multimanagement SDA Fds de Fds</v>
          </cell>
          <cell r="F6" t="str">
            <v>Yes</v>
          </cell>
          <cell r="G6">
            <v>122223</v>
          </cell>
          <cell r="H6" t="str">
            <v>Amundi UniCredit Premium Portfolio – Prudential</v>
          </cell>
          <cell r="I6" t="str">
            <v>Dublin</v>
          </cell>
          <cell r="J6" t="str">
            <v>Media+</v>
          </cell>
          <cell r="K6"/>
          <cell r="L6" t="str">
            <v>Sarah D'Rosario</v>
          </cell>
          <cell r="M6" t="str">
            <v>Luca Mascolo</v>
          </cell>
          <cell r="N6" t="str">
            <v>Luca Mascolo</v>
          </cell>
          <cell r="O6" t="str">
            <v>UCITS</v>
          </cell>
          <cell r="P6" t="str">
            <v>Discretionary</v>
          </cell>
          <cell r="Q6" t="str">
            <v>ALSA</v>
          </cell>
          <cell r="R6" t="str">
            <v>Luxembourg</v>
          </cell>
          <cell r="S6" t="str">
            <v xml:space="preserve">Société Générale </v>
          </cell>
          <cell r="T6" t="str">
            <v xml:space="preserve">John O'Toole </v>
          </cell>
          <cell r="U6" t="str">
            <v xml:space="preserve">John O'Toole </v>
          </cell>
          <cell r="V6" t="str">
            <v>Alan Butterly</v>
          </cell>
          <cell r="W6" t="str">
            <v>CC: DL.DUB.Inv-MAPM</v>
          </cell>
          <cell r="AB6">
            <v>122223</v>
          </cell>
          <cell r="AC6" t="str">
            <v>BAL Multimanagement</v>
          </cell>
          <cell r="AD6" t="str">
            <v>DUB BAL Multimanagement SDA Fds de Fds</v>
          </cell>
          <cell r="AE6" t="str">
            <v>006043000001</v>
          </cell>
        </row>
        <row r="7">
          <cell r="B7" t="str">
            <v>E119</v>
          </cell>
          <cell r="C7" t="str">
            <v>From Risk - Fund Responsibility - Dublin Funds</v>
          </cell>
          <cell r="D7" t="str">
            <v>BAL Multimanagement</v>
          </cell>
          <cell r="E7" t="str">
            <v>DUB BAL Multimanagement SDA Fds de Fds</v>
          </cell>
          <cell r="F7" t="str">
            <v>Yes</v>
          </cell>
          <cell r="G7">
            <v>122224</v>
          </cell>
          <cell r="H7" t="str">
            <v>Amundi UniCredit Premium Portfolio – Dynamic</v>
          </cell>
          <cell r="I7" t="str">
            <v>Dublin</v>
          </cell>
          <cell r="J7" t="str">
            <v>Media+</v>
          </cell>
          <cell r="K7"/>
          <cell r="L7" t="str">
            <v>Sarah D'Rosario</v>
          </cell>
          <cell r="M7" t="str">
            <v>Luca Mascolo</v>
          </cell>
          <cell r="N7" t="str">
            <v>Luca Mascolo</v>
          </cell>
          <cell r="O7" t="str">
            <v>UCITS</v>
          </cell>
          <cell r="P7" t="str">
            <v>Discretionary</v>
          </cell>
          <cell r="Q7" t="str">
            <v>ALSA</v>
          </cell>
          <cell r="R7" t="str">
            <v>Luxembourg</v>
          </cell>
          <cell r="S7" t="str">
            <v xml:space="preserve">Société Générale </v>
          </cell>
          <cell r="T7" t="str">
            <v xml:space="preserve">John O'Toole </v>
          </cell>
          <cell r="U7" t="str">
            <v xml:space="preserve">John O'Toole </v>
          </cell>
          <cell r="V7" t="str">
            <v>Bertrand Paquot</v>
          </cell>
          <cell r="W7" t="str">
            <v>CC: DL.DUB.Inv-MAPM</v>
          </cell>
          <cell r="AB7">
            <v>122224</v>
          </cell>
          <cell r="AC7" t="str">
            <v>BAL Multimanagement</v>
          </cell>
          <cell r="AD7" t="str">
            <v>DUB BAL Multimanagement SDA Fds de Fds</v>
          </cell>
          <cell r="AE7" t="str">
            <v>006043000001</v>
          </cell>
        </row>
        <row r="8">
          <cell r="B8" t="str">
            <v>E120</v>
          </cell>
          <cell r="C8" t="str">
            <v>From Risk - Fund Responsibility - Dublin Funds</v>
          </cell>
          <cell r="D8" t="str">
            <v>BAL Multimanagement</v>
          </cell>
          <cell r="E8" t="str">
            <v>DUB BAL Multimanagement SDA Fds de Fds</v>
          </cell>
          <cell r="F8" t="str">
            <v>Yes</v>
          </cell>
          <cell r="G8">
            <v>122225</v>
          </cell>
          <cell r="H8" t="str">
            <v>Amundi UniCredit Premium Portfolio – Multi-Asset</v>
          </cell>
          <cell r="I8" t="str">
            <v>Dublin</v>
          </cell>
          <cell r="J8" t="str">
            <v>Media+</v>
          </cell>
          <cell r="K8"/>
          <cell r="L8" t="str">
            <v>Sarah D'Rosario</v>
          </cell>
          <cell r="M8" t="str">
            <v>Luca Mascolo</v>
          </cell>
          <cell r="N8" t="str">
            <v>Luca Mascolo</v>
          </cell>
          <cell r="O8" t="str">
            <v>UCITS</v>
          </cell>
          <cell r="P8" t="str">
            <v>Discretionary</v>
          </cell>
          <cell r="Q8" t="str">
            <v>ALSA</v>
          </cell>
          <cell r="R8" t="str">
            <v>Luxembourg</v>
          </cell>
          <cell r="S8" t="str">
            <v xml:space="preserve">Société Générale </v>
          </cell>
          <cell r="T8" t="str">
            <v xml:space="preserve">John O'Toole </v>
          </cell>
          <cell r="U8" t="str">
            <v xml:space="preserve">John O'Toole </v>
          </cell>
          <cell r="V8" t="str">
            <v>Alan Butterly</v>
          </cell>
          <cell r="W8" t="str">
            <v>CC: DL.DUB.Inv-MAPM</v>
          </cell>
          <cell r="AB8">
            <v>122225</v>
          </cell>
          <cell r="AC8" t="str">
            <v>BAL Multimanagement</v>
          </cell>
          <cell r="AD8" t="str">
            <v>DUB BAL Multimanagement SDA Fds de Fds</v>
          </cell>
          <cell r="AE8" t="str">
            <v>006043000001</v>
          </cell>
        </row>
        <row r="9">
          <cell r="B9" t="str">
            <v>E169</v>
          </cell>
          <cell r="C9" t="str">
            <v>From Risk - Fund Responsibility - Dublin Funds</v>
          </cell>
          <cell r="D9" t="str">
            <v>BAL Multimanagement</v>
          </cell>
          <cell r="E9" t="str">
            <v>DUB BAL Multimanagement SDA Fds de Fds</v>
          </cell>
          <cell r="F9" t="str">
            <v>Yes</v>
          </cell>
          <cell r="G9">
            <v>122226</v>
          </cell>
          <cell r="H9" t="str">
            <v>Amundi UniCredit Premium Portfolio – Plan</v>
          </cell>
          <cell r="I9" t="str">
            <v>Dublin</v>
          </cell>
          <cell r="J9" t="str">
            <v>Media+</v>
          </cell>
          <cell r="K9"/>
          <cell r="L9" t="str">
            <v>Sarah D'Rosario</v>
          </cell>
          <cell r="M9" t="str">
            <v>Luca Mascolo</v>
          </cell>
          <cell r="N9" t="str">
            <v>Luca Mascolo</v>
          </cell>
          <cell r="O9" t="str">
            <v>UCITS</v>
          </cell>
          <cell r="P9" t="str">
            <v>Discretionary</v>
          </cell>
          <cell r="Q9" t="str">
            <v>ALSA</v>
          </cell>
          <cell r="R9" t="str">
            <v>Luxembourg</v>
          </cell>
          <cell r="S9" t="str">
            <v xml:space="preserve">Société Générale </v>
          </cell>
          <cell r="T9" t="str">
            <v xml:space="preserve">John O'Toole </v>
          </cell>
          <cell r="U9" t="str">
            <v xml:space="preserve">John O'Toole </v>
          </cell>
          <cell r="V9" t="str">
            <v>Bertrand Paquot</v>
          </cell>
          <cell r="W9" t="str">
            <v>CC: DL.DUB.Inv-MAPM</v>
          </cell>
          <cell r="X9" t="str">
            <v>CC: DL.DUB.Inv-MAPM</v>
          </cell>
          <cell r="AB9">
            <v>122226</v>
          </cell>
          <cell r="AC9" t="str">
            <v>BAL Multimanagement</v>
          </cell>
          <cell r="AD9" t="str">
            <v>DUB BAL Multimanagement SDA Fds de Fds</v>
          </cell>
          <cell r="AE9" t="str">
            <v>006043000001</v>
          </cell>
        </row>
        <row r="10">
          <cell r="B10" t="str">
            <v>E207</v>
          </cell>
          <cell r="C10" t="str">
            <v>From Risk - Fund Responsibility - Dublin Funds</v>
          </cell>
          <cell r="D10" t="str">
            <v>TBD</v>
          </cell>
          <cell r="E10" t="str">
            <v>Agreed a light touch with VaR and Leverage limits</v>
          </cell>
          <cell r="F10" t="str">
            <v>Yes</v>
          </cell>
          <cell r="G10">
            <v>123114</v>
          </cell>
          <cell r="H10" t="str">
            <v>PI Investment Funds - Tactical Allocation Fund</v>
          </cell>
          <cell r="I10" t="str">
            <v>Dublin</v>
          </cell>
          <cell r="J10" t="str">
            <v>Media+</v>
          </cell>
          <cell r="K10"/>
          <cell r="L10" t="str">
            <v>Sarah D'Rosario</v>
          </cell>
          <cell r="M10" t="str">
            <v>Luca Mascolo</v>
          </cell>
          <cell r="N10" t="str">
            <v>Luca Mascolo</v>
          </cell>
          <cell r="O10" t="str">
            <v>UCITS</v>
          </cell>
          <cell r="P10" t="str">
            <v>Discretionary</v>
          </cell>
          <cell r="Q10" t="str">
            <v>ALSA</v>
          </cell>
          <cell r="R10" t="str">
            <v>Luxembourg</v>
          </cell>
          <cell r="S10" t="str">
            <v xml:space="preserve">Société Générale </v>
          </cell>
          <cell r="T10" t="str">
            <v xml:space="preserve">John O'Toole </v>
          </cell>
          <cell r="U10" t="str">
            <v xml:space="preserve">John O'Toole </v>
          </cell>
          <cell r="V10" t="str">
            <v>Salvatore Buono</v>
          </cell>
          <cell r="W10" t="str">
            <v>CC: DL.DUB.Inv-MAPM</v>
          </cell>
          <cell r="X10" t="str">
            <v>CC: DL.DUB.Inv-MAPM</v>
          </cell>
          <cell r="AA10"/>
          <cell r="AB10">
            <v>123114</v>
          </cell>
          <cell r="AC10" t="str">
            <v>TBD</v>
          </cell>
          <cell r="AD10" t="str">
            <v>Agreed a light touch with VaR and Leverage limits</v>
          </cell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</row>
        <row r="11">
          <cell r="B11" t="str">
            <v>E208</v>
          </cell>
          <cell r="C11" t="str">
            <v>From Risk - Fund Responsibility - Dublin Funds</v>
          </cell>
          <cell r="D11" t="str">
            <v>TBD</v>
          </cell>
          <cell r="E11" t="str">
            <v>Agreed a light touch with VaR and Leverage limits</v>
          </cell>
          <cell r="F11" t="str">
            <v>Yes</v>
          </cell>
          <cell r="G11">
            <v>123112</v>
          </cell>
          <cell r="H11" t="str">
            <v>PI Investment Funds - Tactical Allocation Bond Fund</v>
          </cell>
          <cell r="I11" t="str">
            <v>Dublin</v>
          </cell>
          <cell r="J11" t="str">
            <v>Media+</v>
          </cell>
          <cell r="K11"/>
          <cell r="L11" t="str">
            <v>Sarah D'Rosario</v>
          </cell>
          <cell r="M11" t="str">
            <v>Luca Mascolo</v>
          </cell>
          <cell r="N11" t="str">
            <v>Luca Mascolo</v>
          </cell>
          <cell r="O11" t="str">
            <v>UCITS</v>
          </cell>
          <cell r="P11" t="str">
            <v>Discretionary</v>
          </cell>
          <cell r="Q11" t="str">
            <v>ALSA</v>
          </cell>
          <cell r="R11" t="str">
            <v>Luxembourg</v>
          </cell>
          <cell r="S11" t="str">
            <v xml:space="preserve">Société Générale </v>
          </cell>
          <cell r="T11" t="str">
            <v xml:space="preserve">John O'Toole </v>
          </cell>
          <cell r="U11" t="str">
            <v xml:space="preserve">John O'Toole </v>
          </cell>
          <cell r="V11" t="str">
            <v>Salvatore Buono</v>
          </cell>
          <cell r="W11" t="str">
            <v>CC: DL.DUB.Inv-MAPM</v>
          </cell>
          <cell r="X11"/>
          <cell r="AA11"/>
          <cell r="AB11">
            <v>123112</v>
          </cell>
          <cell r="AC11" t="str">
            <v>TBD</v>
          </cell>
          <cell r="AD11" t="str">
            <v>Agreed a light touch with VaR and Leverage limits</v>
          </cell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</row>
        <row r="12">
          <cell r="B12" t="str">
            <v>E209</v>
          </cell>
          <cell r="C12" t="str">
            <v>From Risk - Fund Responsibility - Dublin Funds</v>
          </cell>
          <cell r="D12" t="str">
            <v>TBD</v>
          </cell>
          <cell r="E12" t="str">
            <v>Agreed a light touch with VaR and Leverage limits</v>
          </cell>
          <cell r="F12" t="str">
            <v>Yes</v>
          </cell>
          <cell r="G12">
            <v>124673</v>
          </cell>
          <cell r="H12" t="str">
            <v>PI Investment Funds - Dynamic Allocation Fund</v>
          </cell>
          <cell r="I12" t="str">
            <v>Dublin</v>
          </cell>
          <cell r="J12" t="str">
            <v>Media+</v>
          </cell>
          <cell r="K12"/>
          <cell r="L12" t="str">
            <v>Sarah D'Rosario</v>
          </cell>
          <cell r="M12" t="str">
            <v>Luca Mascolo</v>
          </cell>
          <cell r="N12" t="str">
            <v>Luca Mascolo</v>
          </cell>
          <cell r="O12" t="str">
            <v>UCITS</v>
          </cell>
          <cell r="P12" t="str">
            <v>Discretionary</v>
          </cell>
          <cell r="Q12" t="str">
            <v>ALSA</v>
          </cell>
          <cell r="R12" t="str">
            <v>Luxembourg</v>
          </cell>
          <cell r="S12" t="str">
            <v xml:space="preserve">Société Générale </v>
          </cell>
          <cell r="T12" t="str">
            <v xml:space="preserve">John O'Toole </v>
          </cell>
          <cell r="U12" t="str">
            <v xml:space="preserve">John O'Toole </v>
          </cell>
          <cell r="V12" t="str">
            <v>Salvatore Buono</v>
          </cell>
          <cell r="W12" t="str">
            <v>CC: DL.DUB.Inv-MAPM</v>
          </cell>
          <cell r="X12"/>
          <cell r="AA12"/>
          <cell r="AB12">
            <v>124673</v>
          </cell>
          <cell r="AC12" t="str">
            <v>TBD</v>
          </cell>
          <cell r="AD12" t="str">
            <v>Agreed a light touch with VaR and Leverage limits</v>
          </cell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</row>
        <row r="13">
          <cell r="B13" t="str">
            <v>E224</v>
          </cell>
          <cell r="C13" t="str">
            <v>From Risk - Fund Responsibility - Dublin Funds</v>
          </cell>
          <cell r="D13" t="str">
            <v>TBD</v>
          </cell>
          <cell r="E13" t="str">
            <v>Agreed a light touch with VaR and Leverage limits</v>
          </cell>
          <cell r="F13" t="str">
            <v>Yes</v>
          </cell>
          <cell r="G13">
            <v>124667</v>
          </cell>
          <cell r="H13" t="str">
            <v>PI Investment Funds - Tactical Allocation Pillar</v>
          </cell>
          <cell r="I13" t="str">
            <v>Dublin</v>
          </cell>
          <cell r="J13" t="str">
            <v>Media+</v>
          </cell>
          <cell r="K13"/>
          <cell r="L13" t="str">
            <v>Sarah D'Rosario</v>
          </cell>
          <cell r="M13" t="str">
            <v>Luca Mascolo</v>
          </cell>
          <cell r="N13" t="str">
            <v>Luca Mascolo</v>
          </cell>
          <cell r="O13" t="str">
            <v>UCITS</v>
          </cell>
          <cell r="P13" t="str">
            <v>Discretionary</v>
          </cell>
          <cell r="Q13" t="str">
            <v>ALSA</v>
          </cell>
          <cell r="R13" t="str">
            <v>Luxembourg</v>
          </cell>
          <cell r="S13" t="str">
            <v xml:space="preserve">Société Générale </v>
          </cell>
          <cell r="T13" t="str">
            <v xml:space="preserve">John O'Toole </v>
          </cell>
          <cell r="U13" t="str">
            <v xml:space="preserve">John O'Toole </v>
          </cell>
          <cell r="V13" t="str">
            <v>Salvatore Buono</v>
          </cell>
          <cell r="W13" t="str">
            <v>CC: DL.DUB.Inv-MAPM</v>
          </cell>
          <cell r="AA13"/>
          <cell r="AB13">
            <v>124667</v>
          </cell>
          <cell r="AC13" t="str">
            <v>TBD</v>
          </cell>
          <cell r="AD13" t="str">
            <v>Agreed a light touch with VaR and Leverage limits</v>
          </cell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</row>
        <row r="14">
          <cell r="B14" t="str">
            <v>PF71664</v>
          </cell>
          <cell r="C14" t="str">
            <v>From Risk - Fund Responsibility - Dublin Funds</v>
          </cell>
          <cell r="D14" t="str">
            <v>EFI Absolute Return</v>
          </cell>
          <cell r="E14" t="str">
            <v>DUB EFI Absolute Return Aggregate</v>
          </cell>
          <cell r="F14" t="str">
            <v>Yes</v>
          </cell>
          <cell r="G14">
            <v>132429</v>
          </cell>
          <cell r="H14" t="str">
            <v>Amundi Soluzioni Italia - Progetto Azione Megatrend 2023</v>
          </cell>
          <cell r="I14" t="str">
            <v>Dublin</v>
          </cell>
          <cell r="J14" t="str">
            <v>Media+</v>
          </cell>
          <cell r="K14" t="str">
            <v>Launched 28 Sept 2018</v>
          </cell>
          <cell r="L14" t="str">
            <v>Sarah D'Rosario</v>
          </cell>
          <cell r="M14" t="str">
            <v>Luca Mascolo</v>
          </cell>
          <cell r="N14" t="str">
            <v>Luca Mascolo</v>
          </cell>
          <cell r="O14" t="str">
            <v>UCITS</v>
          </cell>
          <cell r="P14" t="str">
            <v>Discretionary</v>
          </cell>
          <cell r="Q14" t="str">
            <v>Amundi Sgr</v>
          </cell>
          <cell r="R14" t="str">
            <v>Luxembourg</v>
          </cell>
          <cell r="S14" t="str">
            <v xml:space="preserve">Société Générale </v>
          </cell>
          <cell r="T14" t="str">
            <v xml:space="preserve">John O'Toole </v>
          </cell>
          <cell r="U14" t="str">
            <v xml:space="preserve">John O'Toole </v>
          </cell>
          <cell r="V14" t="str">
            <v>Salvatore Buono</v>
          </cell>
          <cell r="W14" t="str">
            <v>Richard Casey/Nicholas Pothier</v>
          </cell>
          <cell r="AB14">
            <v>132429</v>
          </cell>
          <cell r="AC14" t="str">
            <v>EFI Absolute Return</v>
          </cell>
          <cell r="AD14" t="str">
            <v>DUB EFI Absolute Return Aggregate</v>
          </cell>
          <cell r="AE14" t="str">
            <v>007021000001</v>
          </cell>
        </row>
        <row r="15">
          <cell r="B15" t="str">
            <v>PF76580</v>
          </cell>
          <cell r="C15" t="str">
            <v>From Risk - Fund Responsibility - Dublin Funds</v>
          </cell>
          <cell r="D15" t="str">
            <v>EFI Absolute Return</v>
          </cell>
          <cell r="E15" t="str">
            <v>DUB EFI Absolute Return Aggregate</v>
          </cell>
          <cell r="F15" t="str">
            <v>Yes</v>
          </cell>
          <cell r="G15">
            <v>140446</v>
          </cell>
          <cell r="H15" t="str">
            <v>Amundi Soluzioni Italia - Progetto Azione Megatrend II</v>
          </cell>
          <cell r="I15" t="str">
            <v>Dublin</v>
          </cell>
          <cell r="J15" t="str">
            <v>Media+</v>
          </cell>
          <cell r="K15"/>
          <cell r="L15" t="str">
            <v>Sarah D'Rosario</v>
          </cell>
          <cell r="M15" t="str">
            <v>Luca Mascolo</v>
          </cell>
          <cell r="N15" t="str">
            <v>Luca Mascolo</v>
          </cell>
          <cell r="O15" t="str">
            <v>UCITS</v>
          </cell>
          <cell r="P15" t="str">
            <v>Discretionary</v>
          </cell>
          <cell r="Q15" t="str">
            <v>Amundi Sgr</v>
          </cell>
          <cell r="R15" t="str">
            <v>Luxembourg</v>
          </cell>
          <cell r="S15" t="str">
            <v xml:space="preserve">Société Générale </v>
          </cell>
          <cell r="T15" t="str">
            <v xml:space="preserve">John O'Toole </v>
          </cell>
          <cell r="U15" t="str">
            <v xml:space="preserve">John O'Toole </v>
          </cell>
          <cell r="V15" t="str">
            <v>Salvatore Buono</v>
          </cell>
          <cell r="W15" t="str">
            <v>Richard Casey/Nicholas Pothier</v>
          </cell>
          <cell r="AB15">
            <v>132429</v>
          </cell>
          <cell r="AC15" t="str">
            <v>EFI Absolute Return</v>
          </cell>
          <cell r="AD15" t="str">
            <v>DUB EFI Absolute Return Aggregate</v>
          </cell>
          <cell r="AE15" t="str">
            <v>007021000001</v>
          </cell>
        </row>
        <row r="16">
          <cell r="B16" t="str">
            <v>PF78195</v>
          </cell>
          <cell r="C16" t="str">
            <v>From Risk - Fund Responsibility - Dublin Funds</v>
          </cell>
          <cell r="D16" t="str">
            <v>EFI Absolute Return</v>
          </cell>
          <cell r="E16" t="str">
            <v>DUB EFI Absolute Return Aggregate</v>
          </cell>
          <cell r="F16" t="str">
            <v>Yes</v>
          </cell>
          <cell r="G16">
            <v>148821</v>
          </cell>
          <cell r="H16" t="str">
            <v>Amundi Soluzioni Italia - Progetto Azione Cambiamento Climatico</v>
          </cell>
          <cell r="I16" t="str">
            <v>Dublin</v>
          </cell>
          <cell r="J16" t="str">
            <v>Media+</v>
          </cell>
          <cell r="K16" t="str">
            <v>Fund launch date 30th April 2019</v>
          </cell>
          <cell r="L16" t="str">
            <v>Luca Mascolo</v>
          </cell>
          <cell r="M16" t="str">
            <v>Luca Mascolo</v>
          </cell>
          <cell r="N16" t="str">
            <v>Luca Mascolo</v>
          </cell>
          <cell r="O16" t="str">
            <v>UCITS</v>
          </cell>
          <cell r="P16" t="str">
            <v>Discretionary</v>
          </cell>
          <cell r="Q16" t="str">
            <v>Amundi Sgr</v>
          </cell>
          <cell r="R16" t="str">
            <v>Luxembourg</v>
          </cell>
          <cell r="S16" t="str">
            <v xml:space="preserve">Société Générale </v>
          </cell>
          <cell r="T16" t="str">
            <v xml:space="preserve">John O'Toole </v>
          </cell>
          <cell r="U16" t="str">
            <v xml:space="preserve">John O'Toole </v>
          </cell>
          <cell r="V16" t="str">
            <v>Salvatore Buono</v>
          </cell>
          <cell r="W16" t="str">
            <v>Richard Casey/Nicholas Pothier</v>
          </cell>
          <cell r="AB16">
            <v>132429</v>
          </cell>
          <cell r="AC16" t="str">
            <v>EFI Absolute Return</v>
          </cell>
          <cell r="AD16" t="str">
            <v>DUB EFI Absolute Return Aggregate</v>
          </cell>
          <cell r="AE16" t="str">
            <v>007021000001</v>
          </cell>
        </row>
        <row r="17">
          <cell r="B17" t="str">
            <v>PF79139</v>
          </cell>
          <cell r="C17" t="str">
            <v>From Risk - Fund Responsibility - Dublin Funds</v>
          </cell>
          <cell r="F17" t="str">
            <v>Yes</v>
          </cell>
          <cell r="G17">
            <v>154937</v>
          </cell>
          <cell r="H17" t="str">
            <v>Amundi Soluzioni Italia - Progetto Azione Cambiamento Climatico II</v>
          </cell>
          <cell r="I17" t="str">
            <v>Dublin</v>
          </cell>
          <cell r="J17" t="str">
            <v>Media+</v>
          </cell>
          <cell r="K17" t="str">
            <v>Fund launch date 31st July 2019</v>
          </cell>
          <cell r="L17" t="str">
            <v>Luca Mascolo</v>
          </cell>
          <cell r="M17" t="str">
            <v>Luca Mascolo</v>
          </cell>
          <cell r="N17" t="str">
            <v>Luca Mascolo</v>
          </cell>
          <cell r="O17" t="str">
            <v>UCITS</v>
          </cell>
          <cell r="P17" t="str">
            <v>Discretionary</v>
          </cell>
          <cell r="Q17" t="str">
            <v>Amundi Sgr</v>
          </cell>
          <cell r="R17" t="str">
            <v>Luxembourg</v>
          </cell>
          <cell r="S17" t="str">
            <v xml:space="preserve">Société Générale </v>
          </cell>
          <cell r="T17" t="str">
            <v xml:space="preserve">John O'Toole </v>
          </cell>
          <cell r="U17" t="str">
            <v xml:space="preserve">John O'Toole </v>
          </cell>
          <cell r="V17" t="str">
            <v>Salvatore Buono</v>
          </cell>
          <cell r="W17" t="str">
            <v>Richard Casey/Nicholas Pothier</v>
          </cell>
        </row>
        <row r="18">
          <cell r="B18" t="str">
            <v>PSUKLD1</v>
          </cell>
          <cell r="C18" t="str">
            <v>From Risk - Fund Responsibility - Dublin Funds</v>
          </cell>
          <cell r="D18" t="str">
            <v>BAL Multimanagement</v>
          </cell>
          <cell r="E18" t="str">
            <v>AMU BAL SDA Fds de Fds (used some absolute limits with Low Rik)</v>
          </cell>
          <cell r="F18" t="str">
            <v>Yes</v>
          </cell>
          <cell r="G18">
            <v>153328</v>
          </cell>
          <cell r="H18" t="str">
            <v>Pioneer Institutional Solutions- UK Libor Diversified</v>
          </cell>
          <cell r="I18" t="str">
            <v>Dublin</v>
          </cell>
          <cell r="J18" t="str">
            <v>Media+</v>
          </cell>
          <cell r="K18"/>
          <cell r="L18" t="str">
            <v>Eduardo Monzon</v>
          </cell>
          <cell r="M18" t="str">
            <v>Luca Mascolo</v>
          </cell>
          <cell r="N18" t="str">
            <v>Luca Mascolo</v>
          </cell>
          <cell r="O18" t="str">
            <v>Non UCITS</v>
          </cell>
          <cell r="P18" t="str">
            <v>Discretionary</v>
          </cell>
          <cell r="Q18" t="str">
            <v>ALSA</v>
          </cell>
          <cell r="R18" t="str">
            <v>Luxembourg</v>
          </cell>
          <cell r="S18" t="str">
            <v xml:space="preserve">Société Générale </v>
          </cell>
          <cell r="T18" t="str">
            <v>John O'Toole</v>
          </cell>
          <cell r="U18" t="str">
            <v>John O'Toole</v>
          </cell>
          <cell r="V18" t="str">
            <v>Richard Casey</v>
          </cell>
          <cell r="W18" t="str">
            <v>Alan Butterly</v>
          </cell>
          <cell r="AB18">
            <v>124713</v>
          </cell>
          <cell r="AC18" t="str">
            <v>BAL Multimanagement</v>
          </cell>
          <cell r="AD18" t="str">
            <v>AMU BAL SDA Fds de Fds (used some absolute limits with Low Rik)</v>
          </cell>
          <cell r="AE18" t="str">
            <v>006043000001</v>
          </cell>
        </row>
        <row r="19">
          <cell r="B19" t="str">
            <v>U1</v>
          </cell>
          <cell r="C19" t="str">
            <v>From Risk - Fund Responsibility - Dublin Funds</v>
          </cell>
          <cell r="D19" t="str">
            <v>BAL Multimanagement</v>
          </cell>
          <cell r="E19" t="str">
            <v>DUB BAL Multimanagement SDA Fds de Fds</v>
          </cell>
          <cell r="F19" t="str">
            <v>Yes</v>
          </cell>
          <cell r="G19">
            <v>123116</v>
          </cell>
          <cell r="H19" t="str">
            <v>Pioneer UniCredit Soluzione 20</v>
          </cell>
          <cell r="I19" t="str">
            <v>Dublin</v>
          </cell>
          <cell r="J19" t="str">
            <v>Media+</v>
          </cell>
          <cell r="K19"/>
          <cell r="L19" t="str">
            <v>Sarah D'Rosario</v>
          </cell>
          <cell r="M19" t="str">
            <v>Luca Mascolo</v>
          </cell>
          <cell r="N19" t="str">
            <v>Luca Mascolo</v>
          </cell>
          <cell r="O19" t="str">
            <v>UCITS</v>
          </cell>
          <cell r="P19" t="str">
            <v>Discretionary</v>
          </cell>
          <cell r="Q19" t="str">
            <v>Amundi Sgr</v>
          </cell>
          <cell r="R19" t="str">
            <v>Italy</v>
          </cell>
          <cell r="S19" t="str">
            <v>Société Générale Securities Services S.p.A.</v>
          </cell>
          <cell r="T19" t="str">
            <v>John O'Toole</v>
          </cell>
          <cell r="U19" t="str">
            <v>John O'Toole</v>
          </cell>
          <cell r="V19" t="str">
            <v>Salvatore Buono</v>
          </cell>
          <cell r="W19" t="str">
            <v>CC: DL.DUB.Inv-MAPM</v>
          </cell>
          <cell r="AA19"/>
          <cell r="AB19">
            <v>123116</v>
          </cell>
          <cell r="AC19" t="str">
            <v>BAL Multimanagement</v>
          </cell>
          <cell r="AD19" t="str">
            <v>DUB BAL Multimanagement SDA Fds de Fds</v>
          </cell>
          <cell r="AE19" t="str">
            <v>006043000001</v>
          </cell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</row>
        <row r="20">
          <cell r="B20" t="str">
            <v>U2</v>
          </cell>
          <cell r="C20" t="str">
            <v>From Risk - Fund Responsibility - Dublin Funds</v>
          </cell>
          <cell r="D20" t="str">
            <v>BAL Multimanagement</v>
          </cell>
          <cell r="E20" t="str">
            <v>DUB BAL Multimanagement SDA Fds de Fds</v>
          </cell>
          <cell r="F20" t="str">
            <v>Yes</v>
          </cell>
          <cell r="G20">
            <v>123118</v>
          </cell>
          <cell r="H20" t="str">
            <v>Pioneer UniCredit Soluzione 40</v>
          </cell>
          <cell r="I20" t="str">
            <v>Dublin</v>
          </cell>
          <cell r="J20" t="str">
            <v>Media+</v>
          </cell>
          <cell r="K20"/>
          <cell r="L20" t="str">
            <v>Sarah D'Rosario</v>
          </cell>
          <cell r="M20" t="str">
            <v>Luca Mascolo</v>
          </cell>
          <cell r="N20" t="str">
            <v>Luca Mascolo</v>
          </cell>
          <cell r="O20" t="str">
            <v>UCITS</v>
          </cell>
          <cell r="P20" t="str">
            <v>Discretionary</v>
          </cell>
          <cell r="Q20" t="str">
            <v>Amundi Sgr</v>
          </cell>
          <cell r="R20" t="str">
            <v>Italy</v>
          </cell>
          <cell r="S20" t="str">
            <v>Société Générale Securities Services S.p.A.</v>
          </cell>
          <cell r="T20" t="str">
            <v>John O'Toole</v>
          </cell>
          <cell r="U20" t="str">
            <v>John O'Toole</v>
          </cell>
          <cell r="V20" t="str">
            <v>Salvatore Buono</v>
          </cell>
          <cell r="W20" t="str">
            <v>CC: DL.DUB.Inv-MAPM</v>
          </cell>
          <cell r="AA20"/>
          <cell r="AB20">
            <v>123118</v>
          </cell>
          <cell r="AC20" t="str">
            <v>BAL Multimanagement</v>
          </cell>
          <cell r="AD20" t="str">
            <v>DUB BAL Multimanagement SDA Fds de Fds</v>
          </cell>
          <cell r="AE20" t="str">
            <v>006043000001</v>
          </cell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</row>
        <row r="21">
          <cell r="B21" t="str">
            <v>PU3</v>
          </cell>
          <cell r="C21" t="str">
            <v>From Risk - Fund Responsibility - Dublin Funds</v>
          </cell>
          <cell r="D21" t="str">
            <v>BAL Multimanagement</v>
          </cell>
          <cell r="E21" t="str">
            <v>DUB BAL Multimanagement SDA Fds de Fds</v>
          </cell>
          <cell r="F21" t="str">
            <v>Yes</v>
          </cell>
          <cell r="G21">
            <v>124756</v>
          </cell>
          <cell r="H21" t="str">
            <v>Pioneer UniCredit Soluzione 70</v>
          </cell>
          <cell r="I21" t="str">
            <v>Dublin</v>
          </cell>
          <cell r="J21" t="str">
            <v>Media+</v>
          </cell>
          <cell r="K21"/>
          <cell r="L21" t="str">
            <v>Sarah D'Rosario</v>
          </cell>
          <cell r="M21" t="str">
            <v>Luca Mascolo</v>
          </cell>
          <cell r="N21" t="str">
            <v>Luca Mascolo</v>
          </cell>
          <cell r="O21" t="str">
            <v>UCITS</v>
          </cell>
          <cell r="P21" t="str">
            <v>Discretionary</v>
          </cell>
          <cell r="Q21" t="str">
            <v>Amundi Sgr</v>
          </cell>
          <cell r="R21" t="str">
            <v>Italy</v>
          </cell>
          <cell r="S21" t="str">
            <v>Société Générale Securities Services S.p.A.</v>
          </cell>
          <cell r="T21" t="str">
            <v>John O'Toole</v>
          </cell>
          <cell r="U21" t="str">
            <v>John O'Toole</v>
          </cell>
          <cell r="V21" t="str">
            <v>Salvatore Buono</v>
          </cell>
          <cell r="W21" t="str">
            <v>CC: DL.DUB.Inv-MAPM</v>
          </cell>
          <cell r="X21" t="str">
            <v>CC: DL.DUB.Inv-MAPM</v>
          </cell>
          <cell r="AA21"/>
          <cell r="AB21">
            <v>124756</v>
          </cell>
          <cell r="AC21" t="str">
            <v>BAL Multimanagement</v>
          </cell>
          <cell r="AD21" t="str">
            <v>DUB BAL Multimanagement SDA Fds de Fds</v>
          </cell>
          <cell r="AE21" t="str">
            <v>006043000001</v>
          </cell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</row>
        <row r="22">
          <cell r="B22" t="str">
            <v>U6</v>
          </cell>
          <cell r="C22" t="str">
            <v>From Risk - Fund Responsibility - Dublin Funds</v>
          </cell>
          <cell r="D22" t="str">
            <v>BAL Multimanagement</v>
          </cell>
          <cell r="E22" t="str">
            <v>AMU BAL SDA Fds de Fds (used absolute limits with medium risk)</v>
          </cell>
          <cell r="F22" t="str">
            <v>Yes</v>
          </cell>
          <cell r="G22">
            <v>124760</v>
          </cell>
          <cell r="H22" t="str">
            <v>Pioneer UniCredit Soluzione Paesi Emergenti</v>
          </cell>
          <cell r="I22" t="str">
            <v>Dublin</v>
          </cell>
          <cell r="J22" t="str">
            <v>Media+</v>
          </cell>
          <cell r="K22"/>
          <cell r="L22" t="str">
            <v>Sarah D'Rosario</v>
          </cell>
          <cell r="M22" t="str">
            <v>Luca Mascolo</v>
          </cell>
          <cell r="N22" t="str">
            <v>Luca Mascolo</v>
          </cell>
          <cell r="O22" t="str">
            <v>UCITS</v>
          </cell>
          <cell r="P22" t="str">
            <v>Discretionary</v>
          </cell>
          <cell r="Q22" t="str">
            <v>Amundi Sgr</v>
          </cell>
          <cell r="R22" t="str">
            <v>Italy</v>
          </cell>
          <cell r="S22" t="str">
            <v>Société Générale Securities Services S.p.A.</v>
          </cell>
          <cell r="T22" t="str">
            <v>John O'Toole</v>
          </cell>
          <cell r="U22" t="str">
            <v>John O'Toole</v>
          </cell>
          <cell r="V22" t="str">
            <v>Salvatore Buono</v>
          </cell>
          <cell r="W22" t="str">
            <v>Nicholas Pothier</v>
          </cell>
          <cell r="X22" t="str">
            <v>CC: DL.DUB.Inv-MAPM</v>
          </cell>
          <cell r="AB22">
            <v>124760</v>
          </cell>
          <cell r="AC22" t="str">
            <v>BAL Multimanagement</v>
          </cell>
          <cell r="AD22" t="str">
            <v>AMU BAL SDA Fds de Fds (used absolute limits with medium risk)</v>
          </cell>
          <cell r="AE22" t="str">
            <v>006043000001</v>
          </cell>
        </row>
        <row r="23">
          <cell r="B23" t="str">
            <v>U13</v>
          </cell>
          <cell r="C23" t="str">
            <v>From Risk - Fund Responsibility - Dublin Funds</v>
          </cell>
          <cell r="D23" t="str">
            <v>BAL Multimanagement</v>
          </cell>
          <cell r="E23" t="str">
            <v>AMU BAL SDA Fds de Fds (used some absolute limits with Low Rik)</v>
          </cell>
          <cell r="F23" t="str">
            <v>Yes</v>
          </cell>
          <cell r="G23">
            <v>124767</v>
          </cell>
          <cell r="H23" t="str">
            <v xml:space="preserve">Fondo UniCredit Evoluzione Reddito </v>
          </cell>
          <cell r="I23" t="str">
            <v>Dublin</v>
          </cell>
          <cell r="J23" t="str">
            <v>Media+</v>
          </cell>
          <cell r="K23"/>
          <cell r="L23" t="str">
            <v>Sarah D'Rosario</v>
          </cell>
          <cell r="M23" t="str">
            <v>Luca Mascolo</v>
          </cell>
          <cell r="N23" t="str">
            <v>Luca Mascolo</v>
          </cell>
          <cell r="O23" t="str">
            <v>UCITS</v>
          </cell>
          <cell r="P23" t="str">
            <v>Discretionary</v>
          </cell>
          <cell r="Q23" t="str">
            <v>Amundi Sgr</v>
          </cell>
          <cell r="R23" t="str">
            <v>Italy</v>
          </cell>
          <cell r="S23" t="str">
            <v>Société Générale Securities Services S.p.A.</v>
          </cell>
          <cell r="T23" t="str">
            <v>John O'Toole</v>
          </cell>
          <cell r="U23" t="str">
            <v>John O'Toole</v>
          </cell>
          <cell r="V23" t="str">
            <v>Salvatore Buono</v>
          </cell>
          <cell r="W23" t="str">
            <v>Richard Casey</v>
          </cell>
          <cell r="X23" t="str">
            <v>CC: DL.DUB.Inv-MAPM</v>
          </cell>
          <cell r="Y23"/>
          <cell r="Z23"/>
          <cell r="AB23">
            <v>124767</v>
          </cell>
          <cell r="AC23" t="str">
            <v>BAL Multimanagement</v>
          </cell>
          <cell r="AD23" t="str">
            <v>AMU BAL SDA Fds de Fds (used some absolute limits with Low Rik)</v>
          </cell>
          <cell r="AE23" t="str">
            <v>006043000001</v>
          </cell>
        </row>
        <row r="24">
          <cell r="B24" t="str">
            <v>U14</v>
          </cell>
          <cell r="C24" t="str">
            <v>From Risk - Fund Responsibility - Dublin Funds</v>
          </cell>
          <cell r="D24" t="str">
            <v>BAL Multimanagement</v>
          </cell>
          <cell r="E24" t="str">
            <v>AMU BAL SDA Fds de Fds (used absolute limits High risk)</v>
          </cell>
          <cell r="F24" t="str">
            <v>Yes</v>
          </cell>
          <cell r="G24">
            <v>124772</v>
          </cell>
          <cell r="H24" t="str">
            <v>Fondo UniCredit Evoluzione Trend</v>
          </cell>
          <cell r="I24" t="str">
            <v>Dublin</v>
          </cell>
          <cell r="J24" t="str">
            <v>Media+</v>
          </cell>
          <cell r="K24"/>
          <cell r="L24" t="str">
            <v>Sarah D'Rosario</v>
          </cell>
          <cell r="M24" t="str">
            <v>Luca Mascolo</v>
          </cell>
          <cell r="N24" t="str">
            <v>Luca Mascolo</v>
          </cell>
          <cell r="O24" t="str">
            <v>UCITS</v>
          </cell>
          <cell r="P24" t="str">
            <v>Discretionary</v>
          </cell>
          <cell r="Q24" t="str">
            <v>Amundi Sgr</v>
          </cell>
          <cell r="R24" t="str">
            <v>Italy</v>
          </cell>
          <cell r="S24" t="str">
            <v>Société Générale Securities Services S.p.A.</v>
          </cell>
          <cell r="T24" t="str">
            <v>John O'Toole</v>
          </cell>
          <cell r="U24" t="str">
            <v>John O'Toole</v>
          </cell>
          <cell r="V24" t="str">
            <v>Salvatore Buono</v>
          </cell>
          <cell r="W24" t="str">
            <v>Nicholas Pothier</v>
          </cell>
          <cell r="X24" t="str">
            <v>CC: DL.DUB.Inv-MAPM</v>
          </cell>
          <cell r="Y24"/>
          <cell r="Z24"/>
          <cell r="AB24">
            <v>124772</v>
          </cell>
          <cell r="AC24" t="str">
            <v>BAL Multimanagement</v>
          </cell>
          <cell r="AD24" t="str">
            <v>AMU BAL SDA Fds de Fds (used absolute limits High risk)</v>
          </cell>
          <cell r="AE24" t="str">
            <v>006043000001</v>
          </cell>
        </row>
        <row r="25">
          <cell r="B25" t="str">
            <v>U15</v>
          </cell>
          <cell r="C25" t="str">
            <v>From Risk - Fund Responsibility - Dublin Funds</v>
          </cell>
          <cell r="D25" t="str">
            <v>BAL Multimanagement</v>
          </cell>
          <cell r="E25" t="str">
            <v>AMU BAL SDA Fds de Fds (used absolute limits High risk)</v>
          </cell>
          <cell r="F25" t="str">
            <v>Yes</v>
          </cell>
          <cell r="G25">
            <v>124770</v>
          </cell>
          <cell r="H25" t="str">
            <v>Fondo UniCredit Evoluzione Economia Reale</v>
          </cell>
          <cell r="I25" t="str">
            <v>Dublin</v>
          </cell>
          <cell r="J25" t="str">
            <v>Media+</v>
          </cell>
          <cell r="K25"/>
          <cell r="L25" t="str">
            <v>Sarah D'Rosario</v>
          </cell>
          <cell r="M25" t="str">
            <v>Luca Mascolo</v>
          </cell>
          <cell r="N25" t="str">
            <v>Luca Mascolo</v>
          </cell>
          <cell r="O25" t="str">
            <v>UCITS</v>
          </cell>
          <cell r="P25" t="str">
            <v>Discretionary</v>
          </cell>
          <cell r="Q25" t="str">
            <v>Amundi Sgr</v>
          </cell>
          <cell r="R25" t="str">
            <v>Italy</v>
          </cell>
          <cell r="S25" t="str">
            <v>Société Générale Securities Services S.p.A.</v>
          </cell>
          <cell r="T25" t="str">
            <v>John O'Toole</v>
          </cell>
          <cell r="U25" t="str">
            <v>John O'Toole</v>
          </cell>
          <cell r="V25" t="str">
            <v>Salvatore Buono</v>
          </cell>
          <cell r="W25" t="str">
            <v>Nicholas Pothier</v>
          </cell>
          <cell r="X25" t="str">
            <v>CC: DL.DUB.Inv-MAPM</v>
          </cell>
          <cell r="AB25">
            <v>124770</v>
          </cell>
          <cell r="AC25" t="str">
            <v>BAL Multimanagement</v>
          </cell>
          <cell r="AD25" t="str">
            <v>AMU BAL SDA Fds de Fds (used absolute limits High risk)</v>
          </cell>
          <cell r="AE25" t="str">
            <v>006043000001</v>
          </cell>
        </row>
        <row r="26">
          <cell r="B26" t="str">
            <v>U17</v>
          </cell>
          <cell r="C26" t="str">
            <v>From Risk - Fund Responsibility - Dublin Funds</v>
          </cell>
          <cell r="D26" t="str">
            <v>BAL Multimanagement</v>
          </cell>
          <cell r="E26" t="str">
            <v>Dub BAL Multimanagement SDA Fds de Fds Attiva</v>
          </cell>
          <cell r="F26" t="str">
            <v>Yes</v>
          </cell>
          <cell r="G26">
            <v>122516</v>
          </cell>
          <cell r="H26" t="str">
            <v>Pioneer Innovazione Attiva</v>
          </cell>
          <cell r="I26" t="str">
            <v>Dublin</v>
          </cell>
          <cell r="J26" t="str">
            <v>Media+</v>
          </cell>
          <cell r="K26" t="str">
            <v>Open question on whether this is migrating</v>
          </cell>
          <cell r="L26" t="str">
            <v>Sarah D'Rosario</v>
          </cell>
          <cell r="M26" t="str">
            <v>Luca Mascolo</v>
          </cell>
          <cell r="N26" t="str">
            <v>Luca Mascolo</v>
          </cell>
          <cell r="O26" t="str">
            <v>UCITS</v>
          </cell>
          <cell r="P26" t="str">
            <v>Discretionary</v>
          </cell>
          <cell r="Q26" t="str">
            <v>Amundi Sgr</v>
          </cell>
          <cell r="R26" t="str">
            <v>Italy</v>
          </cell>
          <cell r="S26" t="str">
            <v>Société Générale Securities Services S.p.A.</v>
          </cell>
          <cell r="T26" t="str">
            <v xml:space="preserve">John O'Toole </v>
          </cell>
          <cell r="U26" t="str">
            <v xml:space="preserve">John O'Toole </v>
          </cell>
          <cell r="V26" t="str">
            <v>Alan Butterly</v>
          </cell>
          <cell r="W26" t="str">
            <v>Ryan Connolly</v>
          </cell>
          <cell r="X26" t="str">
            <v>Lucy Dimtcheva</v>
          </cell>
          <cell r="Y26"/>
          <cell r="Z26"/>
          <cell r="AB26">
            <v>122516</v>
          </cell>
          <cell r="AC26" t="str">
            <v>BAL Multimanagement</v>
          </cell>
          <cell r="AD26" t="str">
            <v>Dub BAL Multimanagement SDA Fds de Fds Attiva</v>
          </cell>
          <cell r="AE26" t="str">
            <v>006049000001</v>
          </cell>
        </row>
        <row r="27">
          <cell r="B27" t="str">
            <v>GW013</v>
          </cell>
          <cell r="C27" t="str">
            <v>From Risk - Fund Responsibility - Dublin Funds</v>
          </cell>
          <cell r="D27" t="str">
            <v>BAL Multimanagement</v>
          </cell>
          <cell r="E27" t="str">
            <v>DUB BAL Multimanagement Alt Greenway</v>
          </cell>
          <cell r="F27" t="str">
            <v>Yes</v>
          </cell>
          <cell r="G27">
            <v>67007</v>
          </cell>
          <cell r="H27" t="str">
            <v>GREEN WAY MARKET NEUTRAL WEEKLY FUND</v>
          </cell>
          <cell r="I27" t="str">
            <v>Dublin</v>
          </cell>
          <cell r="J27" t="str">
            <v>Media+</v>
          </cell>
          <cell r="K27"/>
          <cell r="L27" t="str">
            <v>Sarah D'Rosario</v>
          </cell>
          <cell r="M27" t="str">
            <v>Luca Mascolo</v>
          </cell>
          <cell r="N27" t="str">
            <v>Luca Mascolo</v>
          </cell>
          <cell r="O27" t="str">
            <v>AIF - Feeder</v>
          </cell>
          <cell r="P27" t="str">
            <v>Discretionary</v>
          </cell>
          <cell r="Q27" t="str">
            <v>Amundi Asset Management</v>
          </cell>
          <cell r="R27" t="str">
            <v>Ireland</v>
          </cell>
          <cell r="S27" t="str">
            <v>CACEIS BANK IRELAND</v>
          </cell>
          <cell r="T27" t="str">
            <v>John O'Toole</v>
          </cell>
          <cell r="U27" t="str">
            <v>David Allen</v>
          </cell>
          <cell r="V27" t="str">
            <v>Alan Butterly</v>
          </cell>
          <cell r="W27" t="str">
            <v>Ryan Connolly</v>
          </cell>
          <cell r="AB27">
            <v>67007</v>
          </cell>
          <cell r="AC27" t="str">
            <v>BAL Multimanagement</v>
          </cell>
          <cell r="AD27" t="str">
            <v>DUB BAL Multimanagement Alt Greenway</v>
          </cell>
          <cell r="AE27" t="str">
            <v xml:space="preserve">006051000001 </v>
          </cell>
        </row>
        <row r="28">
          <cell r="B28" t="str">
            <v>HF11</v>
          </cell>
          <cell r="C28" t="str">
            <v>From Risk - Fund Responsibility - Dublin Funds</v>
          </cell>
          <cell r="D28" t="str">
            <v>BAL Multimanagement</v>
          </cell>
          <cell r="E28" t="str">
            <v>DUB BAL Multimanagement Alt Greenway</v>
          </cell>
          <cell r="F28" t="str">
            <v>Yes</v>
          </cell>
          <cell r="G28">
            <v>113434</v>
          </cell>
          <cell r="H28" t="str">
            <v>GREEN WAY MKT NEUTRAL MASTER FD</v>
          </cell>
          <cell r="I28" t="str">
            <v>Dublin</v>
          </cell>
          <cell r="J28" t="str">
            <v>Media+</v>
          </cell>
          <cell r="K28"/>
          <cell r="L28" t="str">
            <v>Sarah D'Rosario</v>
          </cell>
          <cell r="M28" t="str">
            <v>Luca Mascolo</v>
          </cell>
          <cell r="N28" t="str">
            <v>Luca Mascolo</v>
          </cell>
          <cell r="O28" t="str">
            <v>AIF - Master</v>
          </cell>
          <cell r="P28" t="str">
            <v>Discretionary</v>
          </cell>
          <cell r="Q28" t="str">
            <v>Amundi Asset Management</v>
          </cell>
          <cell r="R28" t="str">
            <v>Ireland</v>
          </cell>
          <cell r="S28" t="str">
            <v>CACEIS BANK IRELAND</v>
          </cell>
          <cell r="T28" t="str">
            <v>John O'Toole</v>
          </cell>
          <cell r="U28" t="str">
            <v>David Allen</v>
          </cell>
          <cell r="V28" t="str">
            <v>Alan Butterly</v>
          </cell>
          <cell r="W28" t="str">
            <v>Ryan Connolly</v>
          </cell>
          <cell r="AB28">
            <v>67007</v>
          </cell>
          <cell r="AC28" t="str">
            <v>BAL Multimanagement</v>
          </cell>
          <cell r="AD28" t="str">
            <v>DUB BAL Multimanagement Alt Greenway</v>
          </cell>
          <cell r="AE28" t="str">
            <v xml:space="preserve">006051000001 </v>
          </cell>
        </row>
        <row r="29">
          <cell r="B29" t="str">
            <v>PACIFAI</v>
          </cell>
          <cell r="C29" t="str">
            <v>From Risk - Fund Responsibility - Dublin Funds</v>
          </cell>
          <cell r="D29" t="str">
            <v>BAL Multimanagement</v>
          </cell>
          <cell r="E29" t="str">
            <v>DUB BAL Multimanagement Alt Greenway</v>
          </cell>
          <cell r="F29" t="str">
            <v>Yes</v>
          </cell>
          <cell r="G29">
            <v>119823</v>
          </cell>
          <cell r="H29" t="str">
            <v>PACIFICA POCHE AI</v>
          </cell>
          <cell r="I29" t="str">
            <v>Dublin</v>
          </cell>
          <cell r="J29" t="str">
            <v>Media+</v>
          </cell>
          <cell r="K29"/>
          <cell r="L29" t="str">
            <v>Sarah D'Rosario</v>
          </cell>
          <cell r="M29" t="str">
            <v>Luca Mascolo</v>
          </cell>
          <cell r="N29" t="str">
            <v>Luca Mascolo</v>
          </cell>
          <cell r="O29" t="str">
            <v>Institutional - FR UCITS</v>
          </cell>
          <cell r="P29" t="str">
            <v>Discretionary</v>
          </cell>
          <cell r="Q29" t="str">
            <v>Amundi Asset Management</v>
          </cell>
          <cell r="R29" t="str">
            <v>Ireland</v>
          </cell>
          <cell r="S29" t="str">
            <v>CACEIS BANK</v>
          </cell>
          <cell r="T29" t="str">
            <v>John O'Toole</v>
          </cell>
          <cell r="U29" t="str">
            <v>David Allen</v>
          </cell>
          <cell r="V29" t="str">
            <v>Alan Butterly</v>
          </cell>
          <cell r="W29" t="str">
            <v>Ryan Connolly</v>
          </cell>
          <cell r="AB29">
            <v>119823</v>
          </cell>
          <cell r="AC29" t="str">
            <v>BAL Multimanagement</v>
          </cell>
          <cell r="AD29" t="str">
            <v>DUB BAL Multimanagement Alt Greenway</v>
          </cell>
          <cell r="AE29" t="str">
            <v xml:space="preserve">006051000001 </v>
          </cell>
        </row>
        <row r="30">
          <cell r="B30" t="str">
            <v>PF71066</v>
          </cell>
          <cell r="C30" t="str">
            <v>From Risk - Fund Responsibility - Dublin Funds</v>
          </cell>
          <cell r="D30" t="str">
            <v>EQY Benchmarked Bottom Up</v>
          </cell>
          <cell r="E30" t="str">
            <v>DUB EQY Fundamental Europe Stock Picking</v>
          </cell>
          <cell r="F30" t="e">
            <v>#N/A</v>
          </cell>
          <cell r="G30">
            <v>145141</v>
          </cell>
          <cell r="H30" t="str">
            <v>AMUNDI FUNDS Top European Players</v>
          </cell>
          <cell r="I30" t="str">
            <v>Dublin</v>
          </cell>
          <cell r="J30" t="str">
            <v>Media+</v>
          </cell>
          <cell r="K30" t="str">
            <v>PEA Fund - drop status post Brexit</v>
          </cell>
          <cell r="L30" t="str">
            <v>Luca Mascolo</v>
          </cell>
          <cell r="M30" t="str">
            <v>Ed Monzon</v>
          </cell>
          <cell r="N30" t="str">
            <v>Ed Monzon</v>
          </cell>
          <cell r="O30" t="str">
            <v>UCITS</v>
          </cell>
          <cell r="P30" t="str">
            <v>Discretionary</v>
          </cell>
          <cell r="Q30" t="str">
            <v>ALSA</v>
          </cell>
          <cell r="R30" t="str">
            <v>Luxembourg</v>
          </cell>
          <cell r="S30" t="str">
            <v xml:space="preserve">Société Générale </v>
          </cell>
          <cell r="T30" t="str">
            <v>Kasper Elmgreen</v>
          </cell>
          <cell r="U30" t="str">
            <v>Andrew Arbuthnott</v>
          </cell>
          <cell r="V30" t="str">
            <v>Andrew Arbuthnott</v>
          </cell>
          <cell r="W30" t="str">
            <v>Mary Mannion</v>
          </cell>
          <cell r="Y30"/>
          <cell r="Z30"/>
          <cell r="AA30" t="str">
            <v>Flagships</v>
          </cell>
          <cell r="AB30">
            <v>123077</v>
          </cell>
          <cell r="AC30" t="str">
            <v>EQY Benchmarked Bottom Up</v>
          </cell>
          <cell r="AD30" t="str">
            <v>DUB EQY Fundamental Europe Stock Picking</v>
          </cell>
          <cell r="AE30" t="str">
            <v>015056000001</v>
          </cell>
          <cell r="AN30" t="str">
            <v>Dub</v>
          </cell>
          <cell r="AO30" t="str">
            <v>Eqy</v>
          </cell>
          <cell r="AP30" t="str">
            <v>PF71066</v>
          </cell>
          <cell r="AQ30">
            <v>123077</v>
          </cell>
          <cell r="AR30" t="str">
            <v>EQY Benchmarked Bottom Up</v>
          </cell>
          <cell r="AS30" t="str">
            <v>DUB EQY Fundamental Europe Stock Picking</v>
          </cell>
        </row>
        <row r="31">
          <cell r="B31" t="str">
            <v>PF71070</v>
          </cell>
          <cell r="C31" t="str">
            <v>From Risk - Fund Responsibility - Dublin Funds</v>
          </cell>
          <cell r="D31" t="str">
            <v>New Absolute process</v>
          </cell>
          <cell r="E31" t="str">
            <v>Under discussion with SRM</v>
          </cell>
          <cell r="F31" t="e">
            <v>#N/A</v>
          </cell>
          <cell r="G31">
            <v>145187</v>
          </cell>
          <cell r="H31" t="str">
            <v>AMUNDI FUNDS Absolute Return European Equity</v>
          </cell>
          <cell r="I31" t="str">
            <v>Dublin</v>
          </cell>
          <cell r="J31" t="str">
            <v>Media+</v>
          </cell>
          <cell r="K31"/>
          <cell r="L31" t="str">
            <v>Luca Mascolo</v>
          </cell>
          <cell r="M31" t="str">
            <v>Ed Monzon</v>
          </cell>
          <cell r="N31" t="str">
            <v>Ed Monzon</v>
          </cell>
          <cell r="O31" t="str">
            <v>UCITS</v>
          </cell>
          <cell r="P31" t="str">
            <v>Discretionary</v>
          </cell>
          <cell r="Q31" t="str">
            <v>ALSA</v>
          </cell>
          <cell r="R31" t="str">
            <v>Luxembourg</v>
          </cell>
          <cell r="S31" t="str">
            <v xml:space="preserve">Société Générale </v>
          </cell>
          <cell r="T31" t="str">
            <v>Kasper Elmgreen</v>
          </cell>
          <cell r="U31" t="str">
            <v>Fabio Di Giansante</v>
          </cell>
          <cell r="V31" t="str">
            <v>Fabio Di Giansante</v>
          </cell>
          <cell r="W31" t="str">
            <v>Mary Mannion</v>
          </cell>
          <cell r="AA31" t="str">
            <v>independent</v>
          </cell>
          <cell r="AB31">
            <v>122277</v>
          </cell>
          <cell r="AC31" t="str">
            <v>New Absolute process</v>
          </cell>
          <cell r="AD31" t="str">
            <v>Under discussion with SRM</v>
          </cell>
          <cell r="AF31"/>
          <cell r="AG31"/>
          <cell r="AH31"/>
          <cell r="AI31"/>
          <cell r="AJ31"/>
          <cell r="AK31"/>
          <cell r="AL31"/>
          <cell r="AM31"/>
          <cell r="AN31" t="str">
            <v>Dub</v>
          </cell>
          <cell r="AO31" t="str">
            <v>Eqy</v>
          </cell>
          <cell r="AP31" t="str">
            <v>PF71070</v>
          </cell>
          <cell r="AQ31">
            <v>122277</v>
          </cell>
          <cell r="AR31" t="str">
            <v>New Absolute process</v>
          </cell>
          <cell r="AS31" t="str">
            <v>WIP</v>
          </cell>
        </row>
        <row r="32">
          <cell r="B32" t="str">
            <v>PF72339</v>
          </cell>
          <cell r="C32" t="str">
            <v>From Risk - Fund Responsibility - Dublin Funds</v>
          </cell>
          <cell r="D32" t="str">
            <v>EQY Benchmarked Bottom Up</v>
          </cell>
          <cell r="E32" t="str">
            <v>DUB EQY Fundamental Europe Stock Picking</v>
          </cell>
          <cell r="F32" t="e">
            <v>#N/A</v>
          </cell>
          <cell r="G32">
            <v>145683</v>
          </cell>
          <cell r="H32" t="str">
            <v>AMUNDI FUNDS Euroland Equity</v>
          </cell>
          <cell r="I32" t="str">
            <v>Dublin</v>
          </cell>
          <cell r="J32" t="str">
            <v>Media+</v>
          </cell>
          <cell r="K32" t="str">
            <v>PEA Fund - maintain PEA status</v>
          </cell>
          <cell r="L32" t="str">
            <v>Luca Mascolo</v>
          </cell>
          <cell r="M32" t="str">
            <v>Ed Monzon</v>
          </cell>
          <cell r="N32" t="str">
            <v>Ed Monzon</v>
          </cell>
          <cell r="O32" t="str">
            <v>UCITS</v>
          </cell>
          <cell r="P32" t="str">
            <v>Discretionary</v>
          </cell>
          <cell r="Q32" t="str">
            <v>ALSA</v>
          </cell>
          <cell r="R32" t="str">
            <v>Luxembourg</v>
          </cell>
          <cell r="S32" t="str">
            <v xml:space="preserve">Société Générale </v>
          </cell>
          <cell r="T32" t="str">
            <v>Kasper Elmgreen</v>
          </cell>
          <cell r="U32" t="str">
            <v>Fabio Di Giansante</v>
          </cell>
          <cell r="V32" t="str">
            <v>Fabio Di Giansante</v>
          </cell>
          <cell r="W32" t="str">
            <v>Mary Mannion</v>
          </cell>
          <cell r="X32"/>
          <cell r="AA32" t="str">
            <v>Flagships</v>
          </cell>
          <cell r="AB32">
            <v>123151</v>
          </cell>
          <cell r="AC32" t="str">
            <v>EQY Benchmarked Bottom Up</v>
          </cell>
          <cell r="AD32" t="str">
            <v>DUB EQY Fundamental Europe Stock Picking</v>
          </cell>
          <cell r="AE32" t="str">
            <v>015056000001</v>
          </cell>
          <cell r="AN32" t="str">
            <v>Dub</v>
          </cell>
          <cell r="AO32" t="str">
            <v>Eqy</v>
          </cell>
          <cell r="AP32" t="str">
            <v>PF72339</v>
          </cell>
          <cell r="AQ32">
            <v>123151</v>
          </cell>
          <cell r="AR32" t="str">
            <v>EQY Benchmarked Bottom Up</v>
          </cell>
          <cell r="AS32" t="str">
            <v>DUB EQY Fundamental Europe Stock Picking</v>
          </cell>
        </row>
        <row r="33">
          <cell r="B33" t="str">
            <v>PF72354</v>
          </cell>
          <cell r="C33" t="str">
            <v>From Risk - Fund Responsibility - Dublin Funds</v>
          </cell>
          <cell r="D33" t="str">
            <v>EQY Benchmarked Bottom Up</v>
          </cell>
          <cell r="E33" t="str">
            <v>DUB EQY Fundamental Europe Stock Picking Equity Va</v>
          </cell>
          <cell r="F33" t="e">
            <v>#N/A</v>
          </cell>
          <cell r="G33">
            <v>145763</v>
          </cell>
          <cell r="H33" t="str">
            <v>AMUNDI FUNDS European Equity Value</v>
          </cell>
          <cell r="I33" t="str">
            <v>Dublin</v>
          </cell>
          <cell r="J33" t="str">
            <v>Media+</v>
          </cell>
          <cell r="K33" t="str">
            <v>PEA Fund - drop status post Brexit</v>
          </cell>
          <cell r="L33" t="str">
            <v>Luca Mascolo</v>
          </cell>
          <cell r="M33" t="str">
            <v>Ed Monzon</v>
          </cell>
          <cell r="N33" t="str">
            <v>Ed Monzon</v>
          </cell>
          <cell r="O33" t="str">
            <v>UCITS</v>
          </cell>
          <cell r="P33" t="str">
            <v>Discretionary</v>
          </cell>
          <cell r="Q33" t="str">
            <v>ALSA</v>
          </cell>
          <cell r="R33" t="str">
            <v>Luxembourg</v>
          </cell>
          <cell r="S33" t="str">
            <v xml:space="preserve">Société Générale </v>
          </cell>
          <cell r="T33" t="str">
            <v>Kasper Elmgreen</v>
          </cell>
          <cell r="U33" t="str">
            <v>Andreas Wosol</v>
          </cell>
          <cell r="V33" t="str">
            <v>Andreas Wosol</v>
          </cell>
          <cell r="W33" t="str">
            <v>Mary Mannion</v>
          </cell>
          <cell r="Y33"/>
          <cell r="Z33"/>
          <cell r="AA33" t="str">
            <v>Flagships</v>
          </cell>
          <cell r="AB33">
            <v>124325</v>
          </cell>
          <cell r="AC33" t="str">
            <v>EQY Benchmarked Bottom Up</v>
          </cell>
          <cell r="AD33" t="str">
            <v>DUB EQY Fundamental Europe Stock Picking Equity Va</v>
          </cell>
          <cell r="AE33" t="str">
            <v xml:space="preserve">015058000001 </v>
          </cell>
          <cell r="AN33" t="str">
            <v>Dub</v>
          </cell>
          <cell r="AO33" t="str">
            <v>Eqy</v>
          </cell>
          <cell r="AP33" t="str">
            <v>PF72354</v>
          </cell>
          <cell r="AQ33">
            <v>124325</v>
          </cell>
          <cell r="AR33" t="str">
            <v>EQY Benchmarked Bottom Up</v>
          </cell>
          <cell r="AS33" t="str">
            <v>DUB EQY Fundamental Europe Stock Picking Equity Va</v>
          </cell>
        </row>
        <row r="34">
          <cell r="B34" t="str">
            <v>PF72356</v>
          </cell>
          <cell r="C34" t="str">
            <v>From Risk - Fund Responsibility - Dublin Funds</v>
          </cell>
          <cell r="D34" t="str">
            <v>EQY Thematic</v>
          </cell>
          <cell r="E34" t="str">
            <v>DUB EQY Thematic Europe Stock Picking ALET</v>
          </cell>
          <cell r="F34" t="e">
            <v>#N/A</v>
          </cell>
          <cell r="G34">
            <v>145782</v>
          </cell>
          <cell r="H34" t="str">
            <v>AMUNDI FUNDS Global Ecology ESG</v>
          </cell>
          <cell r="I34" t="str">
            <v>Dublin</v>
          </cell>
          <cell r="J34" t="str">
            <v>Media+</v>
          </cell>
          <cell r="K34"/>
          <cell r="L34" t="str">
            <v>Luca Mascolo</v>
          </cell>
          <cell r="M34" t="str">
            <v>Ed Monzon</v>
          </cell>
          <cell r="N34" t="str">
            <v>Ed Monzon</v>
          </cell>
          <cell r="O34" t="str">
            <v>UCITS</v>
          </cell>
          <cell r="P34" t="str">
            <v>Discretionary</v>
          </cell>
          <cell r="Q34" t="str">
            <v>ALSA</v>
          </cell>
          <cell r="R34" t="str">
            <v>Luxembourg</v>
          </cell>
          <cell r="S34" t="str">
            <v xml:space="preserve">Société Générale </v>
          </cell>
          <cell r="T34" t="str">
            <v>Kasper Elmgreen</v>
          </cell>
          <cell r="U34" t="str">
            <v>Piergaetano Iaccarino</v>
          </cell>
          <cell r="V34" t="str">
            <v>Christian Zimmermann</v>
          </cell>
          <cell r="W34" t="str">
            <v>Mary Mannion</v>
          </cell>
          <cell r="AA34" t="str">
            <v>Flagships</v>
          </cell>
          <cell r="AB34">
            <v>125877</v>
          </cell>
          <cell r="AC34" t="str">
            <v>EQY Thematic</v>
          </cell>
          <cell r="AD34" t="str">
            <v>DUB EQY Thematic Europe Stock Picking ALET</v>
          </cell>
          <cell r="AE34" t="str">
            <v>020047000001</v>
          </cell>
          <cell r="AN34" t="str">
            <v>Dub</v>
          </cell>
          <cell r="AO34" t="str">
            <v>Eqy</v>
          </cell>
          <cell r="AP34" t="str">
            <v>PF72356</v>
          </cell>
          <cell r="AQ34">
            <v>125877</v>
          </cell>
          <cell r="AR34" t="str">
            <v>EQY Thematic</v>
          </cell>
          <cell r="AS34" t="str">
            <v>DUB EQY Thematic Europe Stock Picking ALET</v>
          </cell>
        </row>
        <row r="35">
          <cell r="B35" t="str">
            <v>PF72358</v>
          </cell>
          <cell r="C35" t="str">
            <v>From Risk - Fund Responsibility - Dublin Funds</v>
          </cell>
          <cell r="D35" t="str">
            <v>EQY Benchmarked Bottom Up</v>
          </cell>
          <cell r="E35" t="str">
            <v>DUB EQY Fundamental Europe Stock Picking Equity Va</v>
          </cell>
          <cell r="F35" t="e">
            <v>#N/A</v>
          </cell>
          <cell r="G35">
            <v>145808</v>
          </cell>
          <cell r="H35" t="str">
            <v>AMUNDI FUNDS Global Equity Target Income</v>
          </cell>
          <cell r="I35" t="str">
            <v>Dublin</v>
          </cell>
          <cell r="J35" t="str">
            <v>Media+</v>
          </cell>
          <cell r="K35"/>
          <cell r="L35" t="str">
            <v>Luca Mascolo</v>
          </cell>
          <cell r="M35" t="str">
            <v>Ed Monzon</v>
          </cell>
          <cell r="N35" t="str">
            <v>Ed Monzon</v>
          </cell>
          <cell r="O35" t="str">
            <v>UCITS</v>
          </cell>
          <cell r="P35" t="str">
            <v>Discretionary</v>
          </cell>
          <cell r="Q35" t="str">
            <v>ALSA</v>
          </cell>
          <cell r="R35" t="str">
            <v>Luxembourg</v>
          </cell>
          <cell r="S35" t="str">
            <v xml:space="preserve">Société Générale </v>
          </cell>
          <cell r="T35" t="str">
            <v>Kasper Elmgreen</v>
          </cell>
          <cell r="U35" t="str">
            <v>Piergaetano Iaccarino</v>
          </cell>
          <cell r="V35" t="str">
            <v>Piergaetano Iaccarino</v>
          </cell>
          <cell r="W35" t="str">
            <v>Mary Mannion</v>
          </cell>
          <cell r="AA35" t="str">
            <v>Flagships</v>
          </cell>
          <cell r="AB35">
            <v>123163</v>
          </cell>
          <cell r="AC35" t="str">
            <v>EQY Benchmarked Bottom Up</v>
          </cell>
          <cell r="AD35" t="str">
            <v>DUB EQY Fundamental Europe Stock Picking Equity Va</v>
          </cell>
          <cell r="AE35" t="str">
            <v>015058000001</v>
          </cell>
          <cell r="AN35" t="str">
            <v>Dub</v>
          </cell>
          <cell r="AO35" t="str">
            <v>Eqy</v>
          </cell>
          <cell r="AP35" t="str">
            <v>PF72358</v>
          </cell>
          <cell r="AQ35">
            <v>123163</v>
          </cell>
          <cell r="AR35" t="str">
            <v>EQY Benchmarked Bottom Up</v>
          </cell>
          <cell r="AS35" t="str">
            <v>DUB EQY Fundamental Europe Stock Picking Equity Va</v>
          </cell>
        </row>
        <row r="36">
          <cell r="C36" t="str">
            <v>From Risk - Fund Responsibility - Dublin Funds</v>
          </cell>
          <cell r="F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W36"/>
        </row>
        <row r="37">
          <cell r="B37" t="str">
            <v>PF76730</v>
          </cell>
          <cell r="C37" t="str">
            <v>From Risk - Fund Responsibility - Dublin Funds</v>
          </cell>
          <cell r="D37" t="str">
            <v>EQY Benchmarked Bottom Up</v>
          </cell>
          <cell r="E37" t="str">
            <v>DUB EQY Fundamental Europe Stock Picking</v>
          </cell>
          <cell r="F37" t="e">
            <v>#N/A</v>
          </cell>
          <cell r="G37">
            <v>147231</v>
          </cell>
          <cell r="H37" t="str">
            <v xml:space="preserve">Amundi S.F. - European Research </v>
          </cell>
          <cell r="I37" t="str">
            <v>Dublin</v>
          </cell>
          <cell r="J37" t="str">
            <v>Media+</v>
          </cell>
          <cell r="K37" t="str">
            <v>PEA Fund - drop status post Brexit</v>
          </cell>
          <cell r="L37" t="str">
            <v>Luca Mascolo</v>
          </cell>
          <cell r="M37" t="str">
            <v>Ed Monzon</v>
          </cell>
          <cell r="N37" t="str">
            <v>Ed Monzon</v>
          </cell>
          <cell r="O37" t="str">
            <v>UCITS</v>
          </cell>
          <cell r="P37" t="str">
            <v>Discretionary</v>
          </cell>
          <cell r="Q37" t="str">
            <v>ALSA</v>
          </cell>
          <cell r="R37" t="str">
            <v>Luxembourg</v>
          </cell>
          <cell r="S37" t="str">
            <v xml:space="preserve">Société Générale </v>
          </cell>
          <cell r="T37" t="str">
            <v>Kasper Elmgreen</v>
          </cell>
          <cell r="U37" t="str">
            <v>Luc Mouzon</v>
          </cell>
          <cell r="V37" t="str">
            <v>Luc Mouzon</v>
          </cell>
          <cell r="W37" t="str">
            <v>Mary Mannion</v>
          </cell>
          <cell r="Y37"/>
          <cell r="Z37"/>
          <cell r="AA37" t="str">
            <v>Flagships</v>
          </cell>
          <cell r="AB37">
            <v>123157</v>
          </cell>
          <cell r="AC37" t="str">
            <v>EQY Benchmarked Bottom Up</v>
          </cell>
          <cell r="AD37" t="str">
            <v>DUB EQY Fundamental Europe Stock Picking</v>
          </cell>
          <cell r="AE37" t="str">
            <v>015056000001</v>
          </cell>
          <cell r="AN37" t="str">
            <v>Dub</v>
          </cell>
          <cell r="AO37" t="str">
            <v>Eqy</v>
          </cell>
          <cell r="AP37" t="str">
            <v>PF76730</v>
          </cell>
          <cell r="AQ37">
            <v>123157</v>
          </cell>
          <cell r="AR37" t="str">
            <v>EQY Benchmarked Bottom Up</v>
          </cell>
          <cell r="AS37" t="str">
            <v>DUB EQY Fundamental Europe Stock Picking</v>
          </cell>
        </row>
        <row r="38">
          <cell r="B38" t="str">
            <v>EEEMP</v>
          </cell>
          <cell r="C38" t="str">
            <v>From Risk - Fund Responsibility - Dublin Funds</v>
          </cell>
          <cell r="D38" t="str">
            <v>EQY Systematic Benchmarked</v>
          </cell>
          <cell r="E38" t="str">
            <v>Dub EQY Systematic Benchmarked</v>
          </cell>
          <cell r="F38" t="e">
            <v>#N/A</v>
          </cell>
          <cell r="G38">
            <v>124517</v>
          </cell>
          <cell r="H38" t="str">
            <v>Amundi S.F. - European Equity Market Plus</v>
          </cell>
          <cell r="I38" t="str">
            <v>Dublin</v>
          </cell>
          <cell r="J38" t="str">
            <v>Media+</v>
          </cell>
          <cell r="K38"/>
          <cell r="L38" t="str">
            <v>Luca Mascolo</v>
          </cell>
          <cell r="M38" t="str">
            <v>Ed Monzon</v>
          </cell>
          <cell r="N38" t="str">
            <v>Ed Monzon</v>
          </cell>
          <cell r="O38" t="str">
            <v>UCITS</v>
          </cell>
          <cell r="P38" t="str">
            <v>Discretionary</v>
          </cell>
          <cell r="Q38" t="str">
            <v>ALSA</v>
          </cell>
          <cell r="R38" t="str">
            <v>Luxembourg</v>
          </cell>
          <cell r="S38" t="str">
            <v xml:space="preserve">Société Générale </v>
          </cell>
          <cell r="T38" t="str">
            <v>Kasper Elmgreen</v>
          </cell>
          <cell r="U38" t="str">
            <v>Piergaetano Iaccarino</v>
          </cell>
          <cell r="V38" t="str">
            <v>Dieter Beil</v>
          </cell>
          <cell r="W38" t="str">
            <v>Mary Mannion</v>
          </cell>
          <cell r="AA38" t="str">
            <v>Flagships</v>
          </cell>
          <cell r="AB38">
            <v>124516</v>
          </cell>
          <cell r="AC38" t="str">
            <v>EQY Systematic Benchmarked</v>
          </cell>
          <cell r="AD38" t="str">
            <v>Dub EQY Systematic Benchmarked</v>
          </cell>
          <cell r="AE38" t="str">
            <v>017014000001</v>
          </cell>
          <cell r="AN38" t="str">
            <v>Dub</v>
          </cell>
          <cell r="AO38" t="str">
            <v>Eqy</v>
          </cell>
          <cell r="AP38" t="str">
            <v>EEEMP</v>
          </cell>
          <cell r="AQ38">
            <v>124516</v>
          </cell>
          <cell r="AR38" t="str">
            <v>EQY Systematic Benchmarked</v>
          </cell>
          <cell r="AS38" t="str">
            <v>Dub EQY Systematic Benchmarked</v>
          </cell>
        </row>
        <row r="39">
          <cell r="C39" t="str">
            <v>From Risk - Fund Responsibility - Dublin Funds</v>
          </cell>
          <cell r="F39" t="e">
            <v>#N/A</v>
          </cell>
        </row>
        <row r="40">
          <cell r="B40" t="str">
            <v>E193</v>
          </cell>
          <cell r="C40" t="str">
            <v>From Risk - Fund Responsibility - Dublin Funds</v>
          </cell>
          <cell r="D40" t="str">
            <v>BAL Multimanagement</v>
          </cell>
          <cell r="E40" t="str">
            <v>AMU BAL SDA Fds de Fds (used absolute limits mixed medium/High risk)</v>
          </cell>
          <cell r="F40" t="str">
            <v>Yes</v>
          </cell>
          <cell r="G40">
            <v>124719</v>
          </cell>
          <cell r="H40" t="str">
            <v>Amundi Fund Solutions - Diversified Income Best Select 2022</v>
          </cell>
          <cell r="I40" t="str">
            <v>Dublin</v>
          </cell>
          <cell r="J40" t="str">
            <v>Media+</v>
          </cell>
          <cell r="K40"/>
          <cell r="L40" t="str">
            <v>Sarah D'Rosario</v>
          </cell>
          <cell r="M40" t="str">
            <v>Luca Mascolo</v>
          </cell>
          <cell r="N40" t="str">
            <v>Luca Mascolo</v>
          </cell>
          <cell r="O40" t="str">
            <v>UCITS</v>
          </cell>
          <cell r="P40" t="str">
            <v>Discretionary co-managed</v>
          </cell>
          <cell r="Q40" t="str">
            <v>ALSA</v>
          </cell>
          <cell r="R40" t="str">
            <v>Luxembourg</v>
          </cell>
          <cell r="S40" t="str">
            <v xml:space="preserve">Société Générale </v>
          </cell>
          <cell r="T40" t="str">
            <v xml:space="preserve">John O'Toole </v>
          </cell>
          <cell r="U40" t="str">
            <v xml:space="preserve">John O'Toole </v>
          </cell>
          <cell r="V40" t="str">
            <v>Nicholas Pothier</v>
          </cell>
          <cell r="W40" t="str">
            <v>CC: DL.DUB.Inv-MAPM</v>
          </cell>
          <cell r="AB40">
            <v>124721</v>
          </cell>
          <cell r="AC40" t="str">
            <v>BAL Multimanagement</v>
          </cell>
          <cell r="AD40" t="str">
            <v>AMU BAL SDA Fds de Fds (used absolute limits mixed medium/High risk)</v>
          </cell>
          <cell r="AE40" t="str">
            <v>006043000001</v>
          </cell>
        </row>
        <row r="41">
          <cell r="C41" t="str">
            <v>From Risk - Fund Responsibility - Dublin Funds</v>
          </cell>
          <cell r="F41" t="e">
            <v>#N/A</v>
          </cell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U41"/>
          <cell r="V41"/>
        </row>
        <row r="42">
          <cell r="C42" t="str">
            <v>From Risk - Fund Responsibility - Dublin Funds</v>
          </cell>
          <cell r="F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U42"/>
          <cell r="V42"/>
        </row>
        <row r="43">
          <cell r="C43" t="str">
            <v>From Risk - Fund Responsibility - Dublin Funds</v>
          </cell>
          <cell r="F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U43"/>
          <cell r="V43"/>
        </row>
        <row r="44">
          <cell r="C44" t="str">
            <v>From Risk - Fund Responsibility - Dublin Funds</v>
          </cell>
          <cell r="F44" t="e">
            <v>#N/A</v>
          </cell>
          <cell r="I44"/>
          <cell r="M44"/>
          <cell r="N44"/>
          <cell r="O44"/>
          <cell r="P44"/>
          <cell r="Q44"/>
          <cell r="R44"/>
          <cell r="S44"/>
          <cell r="T44"/>
          <cell r="U44"/>
          <cell r="V44"/>
        </row>
        <row r="45">
          <cell r="C45" t="str">
            <v>From Risk - Fund Responsibility - Dublin Funds</v>
          </cell>
          <cell r="F45" t="e">
            <v>#N/A</v>
          </cell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</row>
        <row r="46">
          <cell r="B46" t="str">
            <v>UAE</v>
          </cell>
          <cell r="C46" t="str">
            <v>From Risk - Fund Responsibility - Dublin Funds</v>
          </cell>
          <cell r="D46" t="str">
            <v>EQY Benchmarked Bottom Up</v>
          </cell>
          <cell r="E46" t="str">
            <v>DUB EQY Fundamental Europe Stock Picking</v>
          </cell>
          <cell r="F46" t="e">
            <v>#N/A</v>
          </cell>
          <cell r="G46">
            <v>122234</v>
          </cell>
          <cell r="H46" t="str">
            <v>Pioneer Italia Azionario Europa</v>
          </cell>
          <cell r="I46" t="str">
            <v>Dublin</v>
          </cell>
          <cell r="J46" t="str">
            <v>Media+</v>
          </cell>
          <cell r="K46"/>
          <cell r="L46" t="str">
            <v>Luca Mascolo</v>
          </cell>
          <cell r="M46" t="str">
            <v>Ed Monzon</v>
          </cell>
          <cell r="N46" t="str">
            <v>Ed Monzon</v>
          </cell>
          <cell r="O46" t="str">
            <v>UCITS</v>
          </cell>
          <cell r="P46" t="str">
            <v>Discretionary</v>
          </cell>
          <cell r="Q46" t="str">
            <v>Amundi Sgr</v>
          </cell>
          <cell r="R46" t="str">
            <v>Italy</v>
          </cell>
          <cell r="S46" t="str">
            <v>Société Générale Securities Services S.p.A.</v>
          </cell>
          <cell r="T46" t="str">
            <v>Kasper Elmgreen</v>
          </cell>
          <cell r="U46" t="str">
            <v>Luc Mouzon</v>
          </cell>
          <cell r="V46" t="str">
            <v>Luc Mouzon</v>
          </cell>
          <cell r="W46" t="str">
            <v>Mary Mannion</v>
          </cell>
          <cell r="Y46"/>
          <cell r="Z46"/>
          <cell r="AA46" t="str">
            <v>Flagships</v>
          </cell>
          <cell r="AB46">
            <v>122234</v>
          </cell>
          <cell r="AC46" t="str">
            <v>EQY Benchmarked Bottom Up</v>
          </cell>
          <cell r="AD46" t="str">
            <v>DUB EQY Fundamental Europe Stock Picking</v>
          </cell>
          <cell r="AE46" t="str">
            <v>015056000001</v>
          </cell>
          <cell r="AN46" t="str">
            <v>Dub</v>
          </cell>
          <cell r="AO46" t="str">
            <v>Eqy</v>
          </cell>
          <cell r="AP46" t="str">
            <v>UAE</v>
          </cell>
          <cell r="AQ46">
            <v>122234</v>
          </cell>
          <cell r="AR46" t="str">
            <v>EQY Benchmarked Bottom Up</v>
          </cell>
          <cell r="AS46" t="str">
            <v>DUB EQY Fundamental Europe Stock Picking</v>
          </cell>
        </row>
        <row r="47">
          <cell r="B47" t="str">
            <v>UAMEU</v>
          </cell>
          <cell r="C47" t="str">
            <v>From Risk - Fund Responsibility - Dublin Funds</v>
          </cell>
          <cell r="D47" t="str">
            <v>EQY Benchmarked Bottom Up</v>
          </cell>
          <cell r="E47" t="str">
            <v>DUB EQY Fundamental Europe Stock Picking Sec Weigh</v>
          </cell>
          <cell r="F47" t="e">
            <v>#N/A</v>
          </cell>
          <cell r="G47">
            <v>122236</v>
          </cell>
          <cell r="H47" t="str">
            <v>Pioneer Italia Azionario Valore Europa a Distribuzione</v>
          </cell>
          <cell r="I47" t="str">
            <v>Dublin</v>
          </cell>
          <cell r="J47" t="str">
            <v>Media+</v>
          </cell>
          <cell r="K47"/>
          <cell r="L47" t="str">
            <v>Luca Mascolo</v>
          </cell>
          <cell r="M47" t="str">
            <v>Ed Monzon</v>
          </cell>
          <cell r="N47" t="str">
            <v>Ed Monzon</v>
          </cell>
          <cell r="O47" t="str">
            <v>UCITS</v>
          </cell>
          <cell r="P47" t="str">
            <v>Discretionary</v>
          </cell>
          <cell r="Q47" t="str">
            <v>Amundi Sgr</v>
          </cell>
          <cell r="R47" t="str">
            <v>Italy</v>
          </cell>
          <cell r="S47" t="str">
            <v>Société Générale Securities Services S.p.A.</v>
          </cell>
          <cell r="T47" t="str">
            <v>Kasper Elmgreen</v>
          </cell>
          <cell r="U47" t="str">
            <v>Piergaetano Iaccarino</v>
          </cell>
          <cell r="V47" t="str">
            <v>Dieter Beil</v>
          </cell>
          <cell r="W47" t="str">
            <v>Maurice Howell</v>
          </cell>
          <cell r="X47" t="str">
            <v>Mary Mannion</v>
          </cell>
          <cell r="Y47" t="str">
            <v>Ian O'Reilly</v>
          </cell>
          <cell r="Z47" t="str">
            <v>Christian Zimmerman</v>
          </cell>
          <cell r="AA47" t="str">
            <v>Flagships</v>
          </cell>
          <cell r="AB47">
            <v>122236</v>
          </cell>
          <cell r="AC47" t="str">
            <v>EQY Benchmarked Bottom Up</v>
          </cell>
          <cell r="AD47" t="str">
            <v>DUB EQY Fundamental Europe Stock Picking Sec Weigh</v>
          </cell>
          <cell r="AE47" t="str">
            <v xml:space="preserve">015057000001 </v>
          </cell>
          <cell r="AN47" t="str">
            <v>Dub</v>
          </cell>
          <cell r="AO47" t="str">
            <v>Eqy</v>
          </cell>
          <cell r="AP47" t="str">
            <v>UAMEU</v>
          </cell>
          <cell r="AQ47">
            <v>122236</v>
          </cell>
          <cell r="AR47" t="str">
            <v>EQY Benchmarked Bottom Up</v>
          </cell>
          <cell r="AS47" t="str">
            <v>DUB EQY Fundamental Europe Stock Picking Sec Weigh</v>
          </cell>
        </row>
        <row r="48">
          <cell r="C48" t="str">
            <v>From Risk - Fund Responsibility - Dublin Funds</v>
          </cell>
          <cell r="F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B49" t="str">
            <v>PF81179</v>
          </cell>
          <cell r="C49" t="str">
            <v>From Risk - Fund Responsibility - Dublin Funds</v>
          </cell>
          <cell r="D49" t="str">
            <v>EQY Benchmarked Bottom Up</v>
          </cell>
          <cell r="E49" t="str">
            <v>Dub Eqy Fundamental Europe Stock Picking wider sector</v>
          </cell>
          <cell r="F49" t="e">
            <v>#N/A</v>
          </cell>
          <cell r="G49">
            <v>122001</v>
          </cell>
          <cell r="H49" t="str">
            <v>(R) European Equities 3</v>
          </cell>
          <cell r="I49" t="str">
            <v>Dublin</v>
          </cell>
          <cell r="J49" t="str">
            <v>Media+</v>
          </cell>
          <cell r="K49"/>
          <cell r="L49" t="str">
            <v>Luca Mascolo</v>
          </cell>
          <cell r="M49" t="str">
            <v>Ed Monzon</v>
          </cell>
          <cell r="N49" t="str">
            <v>Ed Monzon</v>
          </cell>
          <cell r="O49" t="str">
            <v>UCITS</v>
          </cell>
          <cell r="P49" t="str">
            <v>Discretionary</v>
          </cell>
          <cell r="Q49" t="str">
            <v>Amundi Deutschland</v>
          </cell>
          <cell r="R49" t="str">
            <v>Germany</v>
          </cell>
          <cell r="S49" t="str">
            <v>CACEIS</v>
          </cell>
          <cell r="T49" t="str">
            <v>Kasper Elmgreen</v>
          </cell>
          <cell r="U49" t="str">
            <v>Andreas Wosol</v>
          </cell>
          <cell r="V49" t="str">
            <v>Andreas Wosol</v>
          </cell>
          <cell r="W49" t="str">
            <v>Mary Mannion</v>
          </cell>
          <cell r="AA49" t="str">
            <v>independent</v>
          </cell>
          <cell r="AB49">
            <v>122001</v>
          </cell>
          <cell r="AC49" t="str">
            <v>EQY Benchmarked Bottom Up</v>
          </cell>
          <cell r="AD49" t="str">
            <v>Dub Eqy Fundamental Europe Stock Picking wider sector</v>
          </cell>
          <cell r="AE49" t="str">
            <v>015059000001</v>
          </cell>
          <cell r="AN49" t="str">
            <v>Dub</v>
          </cell>
          <cell r="AO49" t="str">
            <v>Eqy</v>
          </cell>
          <cell r="AP49" t="str">
            <v>PF81179</v>
          </cell>
          <cell r="AQ49">
            <v>122001</v>
          </cell>
          <cell r="AR49" t="str">
            <v>EQY Benchmarked Bottom Up</v>
          </cell>
          <cell r="AS49" t="str">
            <v>Dub Eqy Fundamental Europe Stock Picking wider sector</v>
          </cell>
        </row>
        <row r="50">
          <cell r="C50" t="str">
            <v>From Risk - Fund Responsibility - Dublin Funds</v>
          </cell>
          <cell r="F50" t="e">
            <v>#N/A</v>
          </cell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T50"/>
          <cell r="U50"/>
        </row>
        <row r="51">
          <cell r="B51" t="str">
            <v>CISIUSA</v>
          </cell>
          <cell r="C51" t="str">
            <v>From Risk - Fund Responsibility - Dublin Funds</v>
          </cell>
          <cell r="D51" t="str">
            <v>EQY Physical Replication</v>
          </cell>
          <cell r="E51" t="str">
            <v>DUB EQY Physical Replication Optimised Index Repli</v>
          </cell>
          <cell r="F51" t="e">
            <v>#N/A</v>
          </cell>
          <cell r="G51">
            <v>123461</v>
          </cell>
          <cell r="H51" t="str">
            <v>Pioneer Austria - Stock Index USA</v>
          </cell>
          <cell r="I51" t="str">
            <v>Dublin</v>
          </cell>
          <cell r="J51" t="str">
            <v>Media+</v>
          </cell>
          <cell r="K51"/>
          <cell r="L51" t="str">
            <v>Luca Mascolo</v>
          </cell>
          <cell r="M51" t="str">
            <v>Ed Monzon</v>
          </cell>
          <cell r="N51" t="str">
            <v>Ed Monzon</v>
          </cell>
          <cell r="O51" t="str">
            <v>UCITS</v>
          </cell>
          <cell r="P51" t="str">
            <v>Discretionary</v>
          </cell>
          <cell r="Q51" t="str">
            <v>Amundi Austria</v>
          </cell>
          <cell r="R51" t="str">
            <v>Austria</v>
          </cell>
          <cell r="S51" t="str">
            <v xml:space="preserve">BACA </v>
          </cell>
          <cell r="T51" t="str">
            <v>Kasper Elmgreen</v>
          </cell>
          <cell r="U51" t="str">
            <v>Piergaetano Iaccarino</v>
          </cell>
          <cell r="V51" t="str">
            <v>Dieter Beil</v>
          </cell>
          <cell r="W51" t="str">
            <v>Mary Mannion</v>
          </cell>
          <cell r="AA51" t="str">
            <v>independent</v>
          </cell>
          <cell r="AB51">
            <v>123461</v>
          </cell>
          <cell r="AC51" t="str">
            <v>EQY Physical Replication</v>
          </cell>
          <cell r="AD51" t="str">
            <v>DUB EQY Physical Replication Optimised Index Repli</v>
          </cell>
          <cell r="AE51" t="str">
            <v>018022000001</v>
          </cell>
          <cell r="AN51" t="str">
            <v>Dub</v>
          </cell>
          <cell r="AO51" t="str">
            <v>Eqy</v>
          </cell>
          <cell r="AP51" t="str">
            <v>CISIUSA</v>
          </cell>
          <cell r="AQ51">
            <v>123461</v>
          </cell>
          <cell r="AR51" t="str">
            <v>EQY Physical Replication</v>
          </cell>
          <cell r="AS51" t="str">
            <v>DUB EQY Physical Replication Optimised Index Repli</v>
          </cell>
        </row>
        <row r="52">
          <cell r="C52" t="str">
            <v>From Risk - Fund Responsibility - Dublin Funds</v>
          </cell>
          <cell r="F52" t="e">
            <v>#N/A</v>
          </cell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T52"/>
          <cell r="U52"/>
          <cell r="V52"/>
          <cell r="AA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</row>
        <row r="53">
          <cell r="B53" t="str">
            <v>DOK</v>
          </cell>
          <cell r="C53" t="str">
            <v>From Risk - Fund Responsibility - Dublin Funds</v>
          </cell>
          <cell r="D53" t="str">
            <v>EQY Benchmarked Bottom Up</v>
          </cell>
          <cell r="E53" t="str">
            <v>DUB EQY Fundamental Europe Stock Picking</v>
          </cell>
          <cell r="F53" t="e">
            <v>#N/A</v>
          </cell>
          <cell r="G53">
            <v>125248</v>
          </cell>
          <cell r="H53" t="str">
            <v xml:space="preserve">Daiwa Oushu Kou-haitou Kabu Mother Fund </v>
          </cell>
          <cell r="I53" t="str">
            <v>Dublin</v>
          </cell>
          <cell r="J53" t="str">
            <v>Media+</v>
          </cell>
          <cell r="K53" t="str">
            <v>DB constraint</v>
          </cell>
          <cell r="L53" t="str">
            <v>Luca Mascolo</v>
          </cell>
          <cell r="M53" t="str">
            <v>Ed Monzon</v>
          </cell>
          <cell r="N53" t="str">
            <v>Ed Monzon</v>
          </cell>
          <cell r="O53"/>
          <cell r="P53" t="str">
            <v>Discretionary</v>
          </cell>
          <cell r="Q53" t="str">
            <v>Daiwa Asset Management Co Ltd</v>
          </cell>
          <cell r="R53" t="str">
            <v>Institutional</v>
          </cell>
          <cell r="S53" t="str">
            <v>BBH</v>
          </cell>
          <cell r="T53" t="str">
            <v>Kasper Elmgreen</v>
          </cell>
          <cell r="U53" t="str">
            <v>Andrew Arbuthnott</v>
          </cell>
          <cell r="V53" t="str">
            <v>Piergaetano Iaccarino</v>
          </cell>
          <cell r="W53" t="str">
            <v>Mary Mannion</v>
          </cell>
          <cell r="Y53"/>
          <cell r="Z53"/>
          <cell r="AA53" t="str">
            <v>independent</v>
          </cell>
          <cell r="AB53">
            <v>125248</v>
          </cell>
          <cell r="AC53" t="str">
            <v>EQY Benchmarked Bottom Up</v>
          </cell>
          <cell r="AD53" t="str">
            <v>DUB EQY Fundamental Europe Stock Picking</v>
          </cell>
          <cell r="AE53" t="str">
            <v>015056000001</v>
          </cell>
          <cell r="AN53" t="str">
            <v>Dub</v>
          </cell>
          <cell r="AO53" t="str">
            <v>Eqy</v>
          </cell>
          <cell r="AP53" t="str">
            <v>DOK</v>
          </cell>
          <cell r="AQ53">
            <v>125248</v>
          </cell>
          <cell r="AR53" t="str">
            <v>EQY Benchmarked Bottom Up</v>
          </cell>
          <cell r="AS53" t="str">
            <v>DUB EQY Fundamental Europe Stock Picking</v>
          </cell>
        </row>
        <row r="54">
          <cell r="B54" t="str">
            <v>PCNP</v>
          </cell>
          <cell r="C54" t="str">
            <v>From Risk - Fund Responsibility - Dublin Funds</v>
          </cell>
          <cell r="D54" t="str">
            <v>EQY Benchmarked Bottom Up</v>
          </cell>
          <cell r="E54" t="str">
            <v>DUB EQY Fundamental Europe Stock Picking</v>
          </cell>
          <cell r="F54" t="e">
            <v>#N/A</v>
          </cell>
          <cell r="G54">
            <v>125235</v>
          </cell>
          <cell r="H54" t="str">
            <v xml:space="preserve">CNP Actions Europe Pioneer </v>
          </cell>
          <cell r="I54" t="str">
            <v>Dublin</v>
          </cell>
          <cell r="J54" t="str">
            <v>Media+</v>
          </cell>
          <cell r="K54" t="str">
            <v>Brexit - UK listed as permitted country</v>
          </cell>
          <cell r="L54" t="str">
            <v>Luca Mascolo</v>
          </cell>
          <cell r="M54" t="str">
            <v>Ed Monzon</v>
          </cell>
          <cell r="N54" t="str">
            <v>Ed Monzon</v>
          </cell>
          <cell r="O54" t="str">
            <v>FR  UCITS</v>
          </cell>
          <cell r="P54" t="str">
            <v>Discretionary</v>
          </cell>
          <cell r="Q54" t="str">
            <v>CamGestion</v>
          </cell>
          <cell r="R54" t="str">
            <v>Institutional</v>
          </cell>
          <cell r="S54" t="str">
            <v>BNP PAM</v>
          </cell>
          <cell r="T54" t="str">
            <v>Kasper Elmgreen</v>
          </cell>
          <cell r="U54" t="str">
            <v>Luc Mouzon</v>
          </cell>
          <cell r="V54" t="str">
            <v>Luc Mouzon</v>
          </cell>
          <cell r="W54" t="str">
            <v>Mary Mannion</v>
          </cell>
          <cell r="Y54"/>
          <cell r="Z54"/>
          <cell r="AA54" t="str">
            <v xml:space="preserve">Amundi Funds II - European Research </v>
          </cell>
          <cell r="AB54">
            <v>125235</v>
          </cell>
          <cell r="AC54" t="str">
            <v>EQY Benchmarked Bottom Up</v>
          </cell>
          <cell r="AD54" t="str">
            <v>DUB EQY Fundamental Europe Stock Picking</v>
          </cell>
          <cell r="AE54" t="str">
            <v>015056000001</v>
          </cell>
        </row>
        <row r="55">
          <cell r="B55" t="str">
            <v>NOMET</v>
          </cell>
          <cell r="C55" t="str">
            <v>From Risk - Fund Responsibility - Dublin Funds</v>
          </cell>
          <cell r="D55" t="str">
            <v>EQY Benchmarked Bottom Up</v>
          </cell>
          <cell r="E55" t="str">
            <v>DUB EQY Fundamental Europe Stock Picking</v>
          </cell>
          <cell r="F55" t="e">
            <v>#N/A</v>
          </cell>
          <cell r="G55">
            <v>125255</v>
          </cell>
          <cell r="H55" t="str">
            <v>Nomura Euro Top Company Mother Fund</v>
          </cell>
          <cell r="I55" t="str">
            <v>Dublin</v>
          </cell>
          <cell r="J55" t="str">
            <v>Media+</v>
          </cell>
          <cell r="K55"/>
          <cell r="L55" t="str">
            <v>Luca Mascolo</v>
          </cell>
          <cell r="M55" t="str">
            <v>Ed Monzon</v>
          </cell>
          <cell r="N55" t="str">
            <v>Ed Monzon</v>
          </cell>
          <cell r="O55"/>
          <cell r="P55" t="str">
            <v>Discretionary</v>
          </cell>
          <cell r="Q55" t="str">
            <v>Nomura Asset Management Co Ltd</v>
          </cell>
          <cell r="R55" t="str">
            <v>Institutional</v>
          </cell>
          <cell r="S55" t="str">
            <v>Citi HK</v>
          </cell>
          <cell r="T55" t="str">
            <v>Kasper Elmgreen</v>
          </cell>
          <cell r="U55" t="str">
            <v>Andrew Arbuthnott</v>
          </cell>
          <cell r="V55" t="str">
            <v>Andrew Arbuthnott</v>
          </cell>
          <cell r="W55" t="str">
            <v>Mary Mannion</v>
          </cell>
          <cell r="Y55"/>
          <cell r="Z55"/>
          <cell r="AA55" t="str">
            <v>Amundi Funds II - Top European Players</v>
          </cell>
          <cell r="AB55">
            <v>131913</v>
          </cell>
          <cell r="AC55" t="str">
            <v>EQY Benchmarked Bottom Up</v>
          </cell>
          <cell r="AD55" t="str">
            <v>DUB EQY Fundamental Europe Stock Picking</v>
          </cell>
          <cell r="AE55" t="str">
            <v>015056000001</v>
          </cell>
        </row>
        <row r="56">
          <cell r="B56" t="str">
            <v>I23</v>
          </cell>
          <cell r="C56" t="str">
            <v>From Risk - Fund Responsibility - Dublin Funds</v>
          </cell>
          <cell r="D56" t="str">
            <v>EQY Benchmarked Bottom Up</v>
          </cell>
          <cell r="E56" t="str">
            <v>DUB EQY Fundamental Europe Stock Picking</v>
          </cell>
          <cell r="F56" t="e">
            <v>#N/A</v>
          </cell>
          <cell r="G56">
            <v>125185</v>
          </cell>
          <cell r="H56" t="str">
            <v>Multi Manager Access EMU</v>
          </cell>
          <cell r="I56" t="str">
            <v>Dublin</v>
          </cell>
          <cell r="J56" t="str">
            <v>Media+</v>
          </cell>
          <cell r="K56" t="str">
            <v>DB constraint</v>
          </cell>
          <cell r="L56" t="str">
            <v>Luca Mascolo</v>
          </cell>
          <cell r="M56" t="str">
            <v>Ed Monzon</v>
          </cell>
          <cell r="N56" t="str">
            <v>Ed Monzon</v>
          </cell>
          <cell r="O56" t="str">
            <v>Lux UCITS</v>
          </cell>
          <cell r="P56" t="str">
            <v>Discretionary</v>
          </cell>
          <cell r="Q56" t="str">
            <v>Multi Manager Access SICAV</v>
          </cell>
          <cell r="R56" t="str">
            <v>Institutional</v>
          </cell>
          <cell r="S56" t="str">
            <v>UBS Luxembourg S.A.</v>
          </cell>
          <cell r="T56" t="str">
            <v>Kasper Elmgreen</v>
          </cell>
          <cell r="U56" t="str">
            <v>Fabio Di Giansante</v>
          </cell>
          <cell r="V56" t="str">
            <v>Fabio Di Giansante</v>
          </cell>
          <cell r="W56" t="str">
            <v>Mary Mannion</v>
          </cell>
          <cell r="X56"/>
          <cell r="AA56" t="str">
            <v>Amundi Funds II - Euroland Equity</v>
          </cell>
          <cell r="AB56">
            <v>125185</v>
          </cell>
          <cell r="AC56" t="str">
            <v>EQY Benchmarked Bottom Up</v>
          </cell>
          <cell r="AD56" t="str">
            <v>DUB EQY Fundamental Europe Stock Picking</v>
          </cell>
          <cell r="AE56" t="str">
            <v>015056000001</v>
          </cell>
        </row>
        <row r="57">
          <cell r="B57" t="str">
            <v>I28</v>
          </cell>
          <cell r="C57" t="str">
            <v>From Risk - Fund Responsibility - Dublin Funds</v>
          </cell>
          <cell r="D57" t="str">
            <v>EQY Benchmarked Bottom Up</v>
          </cell>
          <cell r="E57" t="str">
            <v>DUB EQY Fundamental Europe Stock Picking</v>
          </cell>
          <cell r="F57" t="e">
            <v>#N/A</v>
          </cell>
          <cell r="G57">
            <v>125254</v>
          </cell>
          <cell r="H57" t="str">
            <v>Qinvest Pioneer European Fund</v>
          </cell>
          <cell r="I57" t="str">
            <v>Dublin</v>
          </cell>
          <cell r="J57" t="str">
            <v>Media+</v>
          </cell>
          <cell r="K57" t="str">
            <v>DB constraint</v>
          </cell>
          <cell r="L57" t="str">
            <v>Luca Mascolo</v>
          </cell>
          <cell r="M57" t="str">
            <v>Ed Monzon</v>
          </cell>
          <cell r="N57" t="str">
            <v>Ed Monzon</v>
          </cell>
          <cell r="P57" t="str">
            <v>Discretionary</v>
          </cell>
          <cell r="Q57" t="str">
            <v>QWM Limited</v>
          </cell>
          <cell r="R57" t="str">
            <v>Institutional</v>
          </cell>
          <cell r="S57" t="str">
            <v>HSBC  Securities Services (Luxembourg)</v>
          </cell>
          <cell r="T57" t="str">
            <v>Kasper Elmgreen</v>
          </cell>
          <cell r="U57" t="str">
            <v>Andrew Arbuthnott</v>
          </cell>
          <cell r="V57" t="str">
            <v>Andrew Arbuthnott</v>
          </cell>
          <cell r="W57" t="str">
            <v>Mary Mannion</v>
          </cell>
          <cell r="Y57"/>
          <cell r="Z57"/>
          <cell r="AA57" t="str">
            <v>independent</v>
          </cell>
          <cell r="AB57">
            <v>125254</v>
          </cell>
          <cell r="AC57" t="str">
            <v>EQY Benchmarked Bottom Up</v>
          </cell>
          <cell r="AD57" t="str">
            <v>DUB EQY Fundamental Europe Stock Picking</v>
          </cell>
          <cell r="AE57" t="str">
            <v>015056000001</v>
          </cell>
          <cell r="AN57" t="str">
            <v>Dub</v>
          </cell>
          <cell r="AO57" t="str">
            <v>Eqy</v>
          </cell>
          <cell r="AP57" t="str">
            <v>I28</v>
          </cell>
          <cell r="AQ57">
            <v>125254</v>
          </cell>
          <cell r="AR57" t="str">
            <v>EQY Benchmarked Bottom Up</v>
          </cell>
          <cell r="AS57" t="str">
            <v>DUB EQY Fundamental Europe Stock Picking</v>
          </cell>
        </row>
        <row r="58">
          <cell r="B58" t="str">
            <v>I32</v>
          </cell>
          <cell r="C58" t="str">
            <v>From Risk - Fund Responsibility - Dublin Funds</v>
          </cell>
          <cell r="D58" t="str">
            <v>EQY Benchmarked Bottom Up</v>
          </cell>
          <cell r="E58" t="str">
            <v>DUB EQY Fundamental Europe Stock Picking</v>
          </cell>
          <cell r="F58" t="e">
            <v>#N/A</v>
          </cell>
          <cell r="G58">
            <v>125258</v>
          </cell>
          <cell r="H58" t="str">
            <v>SSP/M (PNI) – Euro Equity</v>
          </cell>
          <cell r="I58" t="str">
            <v>Dublin</v>
          </cell>
          <cell r="J58" t="str">
            <v>Media+</v>
          </cell>
          <cell r="K58" t="str">
            <v>DB constraint</v>
          </cell>
          <cell r="L58" t="str">
            <v>Luca Mascolo</v>
          </cell>
          <cell r="M58" t="str">
            <v>Ed Monzon</v>
          </cell>
          <cell r="N58" t="str">
            <v>Ed Monzon</v>
          </cell>
          <cell r="O58" t="str">
            <v>Lux UCITS</v>
          </cell>
          <cell r="P58" t="str">
            <v>Discretionary</v>
          </cell>
          <cell r="Q58" t="str">
            <v>OFI LUX</v>
          </cell>
          <cell r="R58" t="str">
            <v>Institutional</v>
          </cell>
          <cell r="S58" t="str">
            <v>JP Morgan Bank Luxembourg S.A.</v>
          </cell>
          <cell r="T58" t="str">
            <v>Kasper Elmgreen</v>
          </cell>
          <cell r="U58" t="str">
            <v>Fabio Di Giansante</v>
          </cell>
          <cell r="V58" t="str">
            <v>Fabio Di Giansante</v>
          </cell>
          <cell r="W58" t="str">
            <v>Mary Mannion</v>
          </cell>
          <cell r="X58"/>
          <cell r="AA58" t="str">
            <v>Amundi Funds II - Euroland Equity</v>
          </cell>
          <cell r="AB58">
            <v>125258</v>
          </cell>
          <cell r="AC58" t="str">
            <v>EQY Benchmarked Bottom Up</v>
          </cell>
          <cell r="AD58" t="str">
            <v>DUB EQY Fundamental Europe Stock Picking</v>
          </cell>
          <cell r="AE58" t="str">
            <v>015056000001</v>
          </cell>
        </row>
        <row r="59">
          <cell r="B59" t="str">
            <v>I51</v>
          </cell>
          <cell r="C59" t="str">
            <v>From Risk - Fund Responsibility - Dublin Funds</v>
          </cell>
          <cell r="D59" t="str">
            <v>EQY Benchmarked Bottom Up</v>
          </cell>
          <cell r="E59" t="str">
            <v>DUB EQY Fundamental Europe Stock Picking Equity Va</v>
          </cell>
          <cell r="F59" t="e">
            <v>#N/A</v>
          </cell>
          <cell r="G59">
            <v>125157</v>
          </cell>
          <cell r="H59" t="str">
            <v>ABN AMRO MMF Europe Mandate #9</v>
          </cell>
          <cell r="I59" t="str">
            <v>Dublin</v>
          </cell>
          <cell r="J59" t="str">
            <v>Media+</v>
          </cell>
          <cell r="K59" t="str">
            <v>Brexit - At least 75% EEA</v>
          </cell>
          <cell r="L59" t="str">
            <v>Luca Mascolo</v>
          </cell>
          <cell r="M59" t="str">
            <v>Ed Monzon</v>
          </cell>
          <cell r="N59" t="str">
            <v>Ed Monzon</v>
          </cell>
          <cell r="O59" t="str">
            <v>Lux UCITS</v>
          </cell>
          <cell r="P59" t="str">
            <v>Discretionary</v>
          </cell>
          <cell r="Q59" t="str">
            <v>ABN Amro</v>
          </cell>
          <cell r="R59" t="str">
            <v>Institutional</v>
          </cell>
          <cell r="S59" t="str">
            <v>State Street Bank Luxembourg</v>
          </cell>
          <cell r="T59" t="str">
            <v>Kasper Elmgreen</v>
          </cell>
          <cell r="U59" t="str">
            <v>Andreas Wosol</v>
          </cell>
          <cell r="V59" t="str">
            <v>Andreas Wosol</v>
          </cell>
          <cell r="W59" t="str">
            <v>Mary Mannion</v>
          </cell>
          <cell r="X59"/>
          <cell r="Y59"/>
          <cell r="Z59"/>
          <cell r="AA59" t="str">
            <v>Amundi Funds II - European Equity Value</v>
          </cell>
          <cell r="AB59">
            <v>125157</v>
          </cell>
          <cell r="AC59" t="str">
            <v>EQY Benchmarked Bottom Up</v>
          </cell>
          <cell r="AD59" t="str">
            <v>DUB EQY Fundamental Europe Stock Picking Equity Va</v>
          </cell>
          <cell r="AE59" t="str">
            <v xml:space="preserve">015058000001 </v>
          </cell>
        </row>
        <row r="60">
          <cell r="B60" t="str">
            <v>L933</v>
          </cell>
          <cell r="C60" t="str">
            <v>From Risk - Fund Responsibility - Dublin Funds</v>
          </cell>
          <cell r="D60" t="str">
            <v>EQY Benchmarked Bottom Up</v>
          </cell>
          <cell r="E60" t="str">
            <v>DUB EQY Fundamental Europe Stock Picking</v>
          </cell>
          <cell r="F60" t="e">
            <v>#N/A</v>
          </cell>
          <cell r="G60">
            <v>100384</v>
          </cell>
          <cell r="H60" t="str">
            <v>Silver Amundi Euro Equity</v>
          </cell>
          <cell r="I60" t="str">
            <v>Dublin</v>
          </cell>
          <cell r="J60" t="str">
            <v>Media+</v>
          </cell>
          <cell r="K60" t="str">
            <v>Brexit - Confirm if UK remains eligible DB constraint</v>
          </cell>
          <cell r="L60" t="str">
            <v>Sarah D'Rosario</v>
          </cell>
          <cell r="M60" t="str">
            <v>Ed Monzon</v>
          </cell>
          <cell r="N60" t="str">
            <v>Ed Monzon</v>
          </cell>
          <cell r="O60" t="str">
            <v>FR  UCITS</v>
          </cell>
          <cell r="P60" t="str">
            <v>Discretionary</v>
          </cell>
          <cell r="Q60" t="str">
            <v>Lyxor</v>
          </cell>
          <cell r="R60" t="str">
            <v>Institutional</v>
          </cell>
          <cell r="T60" t="str">
            <v>Kasper Elmgreen</v>
          </cell>
          <cell r="U60" t="str">
            <v>Fabio Di Giansante</v>
          </cell>
          <cell r="V60" t="str">
            <v>Fabio Di Giansante</v>
          </cell>
          <cell r="W60" t="str">
            <v>Mary Mannion</v>
          </cell>
          <cell r="X60"/>
          <cell r="AA60" t="str">
            <v>Amundi Funds II - Euroland Equity</v>
          </cell>
          <cell r="AB60">
            <v>100384</v>
          </cell>
          <cell r="AC60" t="str">
            <v>EQY Benchmarked Bottom Up</v>
          </cell>
          <cell r="AD60" t="str">
            <v>DUB EQY Fundamental Europe Stock Picking</v>
          </cell>
          <cell r="AE60" t="str">
            <v>015056000001</v>
          </cell>
        </row>
        <row r="61">
          <cell r="B61" t="str">
            <v>PF72494</v>
          </cell>
          <cell r="C61" t="str">
            <v>From Risk - Fund Responsibility - Dublin Funds</v>
          </cell>
          <cell r="D61" t="str">
            <v>EQY Benchmarked Bottom Up</v>
          </cell>
          <cell r="E61" t="str">
            <v>DUB EQY Fundamental Europe Stock Picking Equity Va</v>
          </cell>
          <cell r="F61" t="e">
            <v>#N/A</v>
          </cell>
          <cell r="G61">
            <v>131772</v>
          </cell>
          <cell r="H61" t="str">
            <v xml:space="preserve">Arzt2 AE Amundi </v>
          </cell>
          <cell r="I61" t="str">
            <v>Dublin</v>
          </cell>
          <cell r="J61" t="str">
            <v>Media+</v>
          </cell>
          <cell r="K61" t="str">
            <v>Brexit - only EEA countries eligible</v>
          </cell>
          <cell r="L61" t="str">
            <v>Sarah D'Rosario</v>
          </cell>
          <cell r="M61" t="str">
            <v>Ed Monzon</v>
          </cell>
          <cell r="N61" t="str">
            <v>Ed Monzon</v>
          </cell>
          <cell r="O61" t="str">
            <v>UCITS</v>
          </cell>
          <cell r="P61" t="str">
            <v>Discretionary</v>
          </cell>
          <cell r="Q61" t="str">
            <v>Amundi Deutschland/INKA</v>
          </cell>
          <cell r="R61" t="str">
            <v>Germany</v>
          </cell>
          <cell r="S61" t="str">
            <v>HSBC Trinkhaus &amp; Burkhardt</v>
          </cell>
          <cell r="T61" t="str">
            <v>Kasper Elmgreen</v>
          </cell>
          <cell r="U61" t="str">
            <v>Andreas Wosol</v>
          </cell>
          <cell r="V61" t="str">
            <v>Andreas Wosol</v>
          </cell>
          <cell r="W61" t="str">
            <v>Mary Mannion</v>
          </cell>
          <cell r="AA61" t="str">
            <v>Amundi Funds II - European Equity Value</v>
          </cell>
          <cell r="AB61">
            <v>131772</v>
          </cell>
          <cell r="AC61" t="str">
            <v>EQY Benchmarked Bottom Up</v>
          </cell>
          <cell r="AD61" t="str">
            <v>DUB EQY Fundamental Europe Stock Picking Equity Va</v>
          </cell>
          <cell r="AE61" t="str">
            <v xml:space="preserve">015058000001 </v>
          </cell>
        </row>
        <row r="62">
          <cell r="B62" t="str">
            <v>PF72466</v>
          </cell>
          <cell r="C62" t="str">
            <v>From Risk - Fund Responsibility - Dublin Funds</v>
          </cell>
          <cell r="D62" t="str">
            <v>EQY Benchmarked Bottom Up</v>
          </cell>
          <cell r="E62" t="str">
            <v>DUB EQY Fundamental Europe Stock Picking Equity Va</v>
          </cell>
          <cell r="F62" t="e">
            <v>#N/A</v>
          </cell>
          <cell r="G62">
            <v>131826</v>
          </cell>
          <cell r="H62" t="str">
            <v>FAM SUI AMUNDI EUROPEAN EQ VALUE FAM FD</v>
          </cell>
          <cell r="I62" t="str">
            <v>Dublin</v>
          </cell>
          <cell r="J62" t="str">
            <v>Media+</v>
          </cell>
          <cell r="K62" t="str">
            <v>Brexit - 75% in permitted countries</v>
          </cell>
          <cell r="L62" t="str">
            <v>Luca Mascolo</v>
          </cell>
          <cell r="M62" t="str">
            <v>Ed Monzon</v>
          </cell>
          <cell r="N62" t="str">
            <v>Ed Monzon</v>
          </cell>
          <cell r="O62" t="str">
            <v>Irish UCITS</v>
          </cell>
          <cell r="P62" t="str">
            <v>Discretionary</v>
          </cell>
          <cell r="Q62" t="str">
            <v>Fineco</v>
          </cell>
          <cell r="R62" t="str">
            <v>Ireland</v>
          </cell>
          <cell r="S62" t="str">
            <v>BNP Paribas Dublin</v>
          </cell>
          <cell r="T62" t="str">
            <v>Kasper Elmgreen</v>
          </cell>
          <cell r="U62" t="str">
            <v>Andreas Wosol</v>
          </cell>
          <cell r="V62" t="str">
            <v>Andreas Wosol</v>
          </cell>
          <cell r="W62" t="str">
            <v>Mary Mannion</v>
          </cell>
          <cell r="AA62" t="str">
            <v>Amundi Funds II - European Equity Value</v>
          </cell>
          <cell r="AB62">
            <v>131826</v>
          </cell>
          <cell r="AC62" t="str">
            <v>EQY Benchmarked Bottom Up</v>
          </cell>
          <cell r="AD62" t="str">
            <v>DUB EQY Fundamental Europe Stock Picking Equity Va</v>
          </cell>
          <cell r="AE62" t="str">
            <v xml:space="preserve">015058000001 </v>
          </cell>
        </row>
        <row r="63">
          <cell r="B63" t="str">
            <v>S100108</v>
          </cell>
          <cell r="C63" t="str">
            <v>From Risk - Fund Responsibility - Dublin Funds</v>
          </cell>
          <cell r="D63" t="str">
            <v>EQY Benchmarked Bottom Up</v>
          </cell>
          <cell r="E63" t="str">
            <v>DUB EQY Global Equity</v>
          </cell>
          <cell r="F63" t="e">
            <v>#N/A</v>
          </cell>
          <cell r="G63">
            <v>110142</v>
          </cell>
          <cell r="H63" t="str">
            <v>SG Actions Monde Selection</v>
          </cell>
          <cell r="I63" t="str">
            <v>Dublin</v>
          </cell>
          <cell r="J63" t="str">
            <v>Media+</v>
          </cell>
          <cell r="K63"/>
          <cell r="L63" t="str">
            <v>Luca Mascolo</v>
          </cell>
          <cell r="M63" t="str">
            <v>Ed Monzon</v>
          </cell>
          <cell r="N63" t="str">
            <v>Ed Monzon</v>
          </cell>
          <cell r="O63" t="str">
            <v>UCITS</v>
          </cell>
          <cell r="P63" t="str">
            <v>Discretionary</v>
          </cell>
          <cell r="R63" t="str">
            <v>France</v>
          </cell>
          <cell r="S63" t="str">
            <v xml:space="preserve">Société Générale </v>
          </cell>
          <cell r="T63" t="str">
            <v>Kasper Elmgreen</v>
          </cell>
          <cell r="U63" t="str">
            <v>Deiter Beil</v>
          </cell>
          <cell r="V63" t="str">
            <v>Maurice Howell</v>
          </cell>
          <cell r="W63" t="str">
            <v>Mary Mannion</v>
          </cell>
          <cell r="AA63" t="str">
            <v>In line with US Global Select</v>
          </cell>
          <cell r="AB63">
            <v>110142</v>
          </cell>
          <cell r="AC63" t="str">
            <v>EQY Benchmarked Bottom Up</v>
          </cell>
          <cell r="AD63" t="str">
            <v>DUB EQY Global Equity</v>
          </cell>
          <cell r="AE63" t="str">
            <v>015061000001</v>
          </cell>
        </row>
        <row r="64">
          <cell r="B64" t="str">
            <v>L22145A</v>
          </cell>
          <cell r="C64" t="str">
            <v>From Risk - Fund Responsibility - Dublin Funds</v>
          </cell>
          <cell r="D64" t="str">
            <v>EQY Benchmarked Bottom Up</v>
          </cell>
          <cell r="E64" t="str">
            <v>DUB EQY Fundamental Europe Stock Picking</v>
          </cell>
          <cell r="F64" t="e">
            <v>#N/A</v>
          </cell>
          <cell r="G64">
            <v>115268</v>
          </cell>
          <cell r="H64" t="str">
            <v>AMUNDI PATRIMOINE - POCHE ACTIONS</v>
          </cell>
          <cell r="I64" t="str">
            <v>Dublin</v>
          </cell>
          <cell r="J64" t="str">
            <v>Media+</v>
          </cell>
          <cell r="K64"/>
          <cell r="L64" t="str">
            <v>Luca Mascolo</v>
          </cell>
          <cell r="M64" t="str">
            <v>Ed Monzon</v>
          </cell>
          <cell r="N64" t="str">
            <v>Ed Monzon</v>
          </cell>
          <cell r="O64" t="str">
            <v>UCITS</v>
          </cell>
          <cell r="P64" t="str">
            <v>Discretionary</v>
          </cell>
          <cell r="Q64" t="str">
            <v>Amundi Asset Management</v>
          </cell>
          <cell r="R64" t="str">
            <v>France</v>
          </cell>
          <cell r="S64" t="str">
            <v>CACEIS BANK</v>
          </cell>
          <cell r="T64" t="str">
            <v>Kasper Elmgreen</v>
          </cell>
          <cell r="U64" t="str">
            <v>Fabio Di Giansante</v>
          </cell>
          <cell r="V64" t="str">
            <v>Fabio Di Giansante</v>
          </cell>
          <cell r="W64" t="str">
            <v>Mary Mannion</v>
          </cell>
          <cell r="AA64" t="str">
            <v>Amundi Funds II - Euroland Equity</v>
          </cell>
          <cell r="AB64">
            <v>115268</v>
          </cell>
          <cell r="AC64" t="str">
            <v>EQY Benchmarked Bottom Up</v>
          </cell>
          <cell r="AD64" t="str">
            <v>DUB EQY Fundamental Europe Stock Picking</v>
          </cell>
          <cell r="AE64" t="str">
            <v>015056000001</v>
          </cell>
        </row>
        <row r="65">
          <cell r="B65" t="str">
            <v>L2651B</v>
          </cell>
          <cell r="C65" t="str">
            <v>From Risk - Fund Responsibility - Dublin Funds</v>
          </cell>
          <cell r="D65" t="str">
            <v>EQY Benchmarked Bottom Up</v>
          </cell>
          <cell r="E65" t="str">
            <v>DUB EQY Fundamental Europe Stock Picking</v>
          </cell>
          <cell r="F65" t="e">
            <v>#N/A</v>
          </cell>
          <cell r="G65">
            <v>116839</v>
          </cell>
          <cell r="H65" t="str">
            <v>AMUNDI PATRIMOINE PEA ACT STOCK PICKING</v>
          </cell>
          <cell r="I65" t="str">
            <v>Dublin</v>
          </cell>
          <cell r="J65" t="str">
            <v>Media+</v>
          </cell>
          <cell r="K65" t="str">
            <v>PEA Fund</v>
          </cell>
          <cell r="L65" t="str">
            <v>Luca Mascolo</v>
          </cell>
          <cell r="M65" t="str">
            <v>Ed Monzon</v>
          </cell>
          <cell r="N65" t="str">
            <v>Ed Monzon</v>
          </cell>
          <cell r="O65" t="str">
            <v>UCITS</v>
          </cell>
          <cell r="P65" t="str">
            <v>Discretionary</v>
          </cell>
          <cell r="Q65" t="str">
            <v>Amundi Asset Management</v>
          </cell>
          <cell r="R65" t="str">
            <v>France</v>
          </cell>
          <cell r="S65" t="str">
            <v>CACEIS BANK</v>
          </cell>
          <cell r="T65" t="str">
            <v>Kasper Elmgreen</v>
          </cell>
          <cell r="U65" t="str">
            <v>Fabio Di Giansante</v>
          </cell>
          <cell r="V65" t="str">
            <v>Fabio Di Giansante</v>
          </cell>
          <cell r="W65" t="str">
            <v>Mary Mannion</v>
          </cell>
          <cell r="AA65" t="str">
            <v>Amundi Funds II - Euroland Equity</v>
          </cell>
          <cell r="AB65">
            <v>116839</v>
          </cell>
          <cell r="AC65" t="str">
            <v>EQY Benchmarked Bottom Up</v>
          </cell>
          <cell r="AD65" t="str">
            <v>DUB EQY Fundamental Europe Stock Picking</v>
          </cell>
          <cell r="AE65" t="str">
            <v>015056000001</v>
          </cell>
        </row>
        <row r="66">
          <cell r="B66" t="str">
            <v>PF34678A</v>
          </cell>
          <cell r="C66" t="str">
            <v>From Risk - Fund Responsibility - Dublin Funds</v>
          </cell>
          <cell r="D66" t="str">
            <v>EQY Benchmarked Bottom Up</v>
          </cell>
          <cell r="E66" t="str">
            <v>DUB EQY Fundamental Europe Stock Picking</v>
          </cell>
          <cell r="F66" t="e">
            <v>#N/A</v>
          </cell>
          <cell r="G66">
            <v>121777</v>
          </cell>
          <cell r="H66" t="str">
            <v>AMUNDI FDS GBL PERSP-POC ACT</v>
          </cell>
          <cell r="I66" t="str">
            <v>Dublin</v>
          </cell>
          <cell r="J66" t="str">
            <v>Media+</v>
          </cell>
          <cell r="K66"/>
          <cell r="L66" t="str">
            <v>Luca Mascolo</v>
          </cell>
          <cell r="M66" t="str">
            <v>Ed Monzon</v>
          </cell>
          <cell r="N66" t="str">
            <v>Ed Monzon</v>
          </cell>
          <cell r="O66" t="str">
            <v>UCITS</v>
          </cell>
          <cell r="P66" t="str">
            <v>Discretionary</v>
          </cell>
          <cell r="Q66" t="str">
            <v>Amundi Luxembourg SA</v>
          </cell>
          <cell r="R66" t="str">
            <v>Luxembourg</v>
          </cell>
          <cell r="S66" t="str">
            <v>CACEIS BANK</v>
          </cell>
          <cell r="T66" t="str">
            <v>Kasper Elmgreen</v>
          </cell>
          <cell r="U66" t="str">
            <v>Fabio Di Giansante</v>
          </cell>
          <cell r="V66" t="str">
            <v>Fabio Di Giansante</v>
          </cell>
          <cell r="W66" t="str">
            <v>Mary Mannion</v>
          </cell>
          <cell r="AA66" t="str">
            <v>Amundi Funds II - Euroland Equity</v>
          </cell>
          <cell r="AB66">
            <v>117404</v>
          </cell>
          <cell r="AC66" t="str">
            <v>EQY Benchmarked Bottom Up</v>
          </cell>
          <cell r="AD66" t="str">
            <v>DUB EQY Fundamental Europe Stock Picking</v>
          </cell>
          <cell r="AE66" t="str">
            <v>015056000001</v>
          </cell>
        </row>
        <row r="67">
          <cell r="B67" t="str">
            <v>PF41117A</v>
          </cell>
          <cell r="C67" t="str">
            <v>From Risk - Fund Responsibility - Dublin Funds</v>
          </cell>
          <cell r="D67" t="str">
            <v>EQY Benchmarked Bottom Up</v>
          </cell>
          <cell r="E67" t="str">
            <v>DUB EQY Fundamental Europe Stock Picking</v>
          </cell>
          <cell r="F67" t="e">
            <v>#N/A</v>
          </cell>
          <cell r="G67">
            <v>117797</v>
          </cell>
          <cell r="H67" t="str">
            <v>AMUNDI TRANSMISSION ACT - POCHE EURO</v>
          </cell>
          <cell r="I67" t="str">
            <v>Dublin</v>
          </cell>
          <cell r="J67" t="str">
            <v>Media+</v>
          </cell>
          <cell r="K67" t="str">
            <v>PEA Fund - Maintain PEA status</v>
          </cell>
          <cell r="L67" t="str">
            <v>Luca Mascolo</v>
          </cell>
          <cell r="M67" t="str">
            <v>Ed Monzon</v>
          </cell>
          <cell r="N67" t="str">
            <v>Ed Monzon</v>
          </cell>
          <cell r="O67" t="str">
            <v>UCITS</v>
          </cell>
          <cell r="P67" t="str">
            <v>Discretionary</v>
          </cell>
          <cell r="Q67" t="str">
            <v>Amundi Asset Management</v>
          </cell>
          <cell r="R67" t="str">
            <v>France</v>
          </cell>
          <cell r="S67" t="str">
            <v>CACEIS BANK</v>
          </cell>
          <cell r="T67" t="str">
            <v>Kasper Elmgreen</v>
          </cell>
          <cell r="U67" t="str">
            <v>Fabio Di Giansante</v>
          </cell>
          <cell r="V67" t="str">
            <v>Fabio Di Giansante</v>
          </cell>
          <cell r="W67" t="str">
            <v>Mary Mannion</v>
          </cell>
          <cell r="AA67" t="str">
            <v>Amundi Funds II - Euroland Equity</v>
          </cell>
          <cell r="AB67">
            <v>117797</v>
          </cell>
          <cell r="AC67" t="str">
            <v>EQY Benchmarked Bottom Up</v>
          </cell>
          <cell r="AD67" t="str">
            <v>DUB EQY Fundamental Europe Stock Picking</v>
          </cell>
          <cell r="AE67" t="str">
            <v>015056000001</v>
          </cell>
        </row>
        <row r="68">
          <cell r="B68" t="str">
            <v>PIFCE</v>
          </cell>
          <cell r="C68" t="str">
            <v>From Risk - Fund Responsibility - Dublin Funds</v>
          </cell>
          <cell r="D68" t="str">
            <v>EQY Benchmarked Bottom Up</v>
          </cell>
          <cell r="E68" t="str">
            <v>DUB EQY Fundamental Europe Stock Picking</v>
          </cell>
          <cell r="F68" t="e">
            <v>#N/A</v>
          </cell>
          <cell r="G68">
            <v>22003</v>
          </cell>
          <cell r="H68" t="str">
            <v>AMUNDI ACTIONS EURO</v>
          </cell>
          <cell r="I68" t="str">
            <v>Dublin</v>
          </cell>
          <cell r="J68" t="str">
            <v>Media+</v>
          </cell>
          <cell r="K68" t="str">
            <v>PEA fund  Maintain PEA status. Amundi Actions Europe merging into Amundi Actions Euro</v>
          </cell>
          <cell r="L68" t="str">
            <v>Luca Mascolo</v>
          </cell>
          <cell r="M68" t="str">
            <v>Ed Monzon</v>
          </cell>
          <cell r="N68" t="str">
            <v>Ed Monzon</v>
          </cell>
          <cell r="O68" t="str">
            <v>UCITS</v>
          </cell>
          <cell r="P68" t="str">
            <v>Discretionary</v>
          </cell>
          <cell r="Q68" t="str">
            <v>Amundi Asset Management</v>
          </cell>
          <cell r="R68" t="str">
            <v>France</v>
          </cell>
          <cell r="S68" t="str">
            <v>CACEIS BANK</v>
          </cell>
          <cell r="T68" t="str">
            <v>Kasper Elmgreen</v>
          </cell>
          <cell r="U68" t="str">
            <v>Fabio Di Giansante</v>
          </cell>
          <cell r="V68" t="str">
            <v>Fabio Di Giansante</v>
          </cell>
          <cell r="W68" t="str">
            <v>Mary Mannion</v>
          </cell>
          <cell r="AA68" t="str">
            <v>Amundi Funds II - Euroland Equity</v>
          </cell>
          <cell r="AB68">
            <v>22003</v>
          </cell>
          <cell r="AC68" t="str">
            <v>EQY Benchmarked Bottom Up</v>
          </cell>
          <cell r="AD68" t="str">
            <v>DUB EQY Fundamental Europe Stock Picking</v>
          </cell>
          <cell r="AE68" t="str">
            <v>015056000001</v>
          </cell>
        </row>
        <row r="69">
          <cell r="B69" t="str">
            <v>S100029</v>
          </cell>
          <cell r="C69" t="str">
            <v>From Risk - Fund Responsibility - Dublin Funds</v>
          </cell>
          <cell r="D69" t="str">
            <v>EQY Benchmarked Bottom Up</v>
          </cell>
          <cell r="E69" t="str">
            <v>DUB EQY Fundamental Europe Stock Picking</v>
          </cell>
          <cell r="F69" t="e">
            <v>#N/A</v>
          </cell>
          <cell r="G69">
            <v>109891</v>
          </cell>
          <cell r="H69" t="str">
            <v>SG ACTIONS EUROPE SELECTION</v>
          </cell>
          <cell r="I69" t="str">
            <v>Dublin</v>
          </cell>
          <cell r="J69" t="str">
            <v>Media+</v>
          </cell>
          <cell r="K69" t="str">
            <v>PEA Fund - drop status post Brexit. 30% non-EU. Merge into SG Actions Euro Selection in April</v>
          </cell>
          <cell r="L69" t="str">
            <v>Luca Mascolo</v>
          </cell>
          <cell r="M69" t="str">
            <v>Ed Monzon</v>
          </cell>
          <cell r="N69" t="str">
            <v>Ed Monzon</v>
          </cell>
          <cell r="O69" t="str">
            <v>UCITS</v>
          </cell>
          <cell r="P69" t="str">
            <v>Discretionary</v>
          </cell>
          <cell r="Q69" t="str">
            <v>Société Générale Gestion</v>
          </cell>
          <cell r="R69" t="str">
            <v>France</v>
          </cell>
          <cell r="S69" t="str">
            <v xml:space="preserve">Société Générale </v>
          </cell>
          <cell r="T69" t="str">
            <v>Kasper Elmgreen</v>
          </cell>
          <cell r="U69" t="str">
            <v>Andrew Arbuthnott</v>
          </cell>
          <cell r="V69" t="str">
            <v>Andrew Arbuthnott</v>
          </cell>
          <cell r="W69" t="str">
            <v>Mary Mannion</v>
          </cell>
          <cell r="AA69" t="str">
            <v>Amundi Funds II - Top European Players</v>
          </cell>
          <cell r="AB69">
            <v>109891</v>
          </cell>
          <cell r="AC69" t="str">
            <v>EQY Benchmarked Bottom Up</v>
          </cell>
          <cell r="AD69" t="str">
            <v>DUB EQY Fundamental Europe Stock Picking</v>
          </cell>
          <cell r="AE69" t="str">
            <v>015056000001</v>
          </cell>
        </row>
        <row r="70">
          <cell r="B70" t="str">
            <v>S100089</v>
          </cell>
          <cell r="C70" t="str">
            <v>From Risk - Fund Responsibility - Dublin Funds</v>
          </cell>
          <cell r="D70" t="str">
            <v>EQY Benchmarked Bottom Up</v>
          </cell>
          <cell r="E70" t="str">
            <v>DUB EQY Fundamental Europe Stock Picking Equity Va</v>
          </cell>
          <cell r="F70" t="e">
            <v>#N/A</v>
          </cell>
          <cell r="G70">
            <v>109742</v>
          </cell>
          <cell r="H70" t="str">
            <v>SG ACTIONS EURO VALUE</v>
          </cell>
          <cell r="I70" t="str">
            <v>Dublin</v>
          </cell>
          <cell r="J70" t="str">
            <v>Media+</v>
          </cell>
          <cell r="K70" t="str">
            <v>PEA Fund - drop status post Brexit</v>
          </cell>
          <cell r="L70" t="str">
            <v>Luca Mascolo</v>
          </cell>
          <cell r="M70" t="str">
            <v>Ed Monzon</v>
          </cell>
          <cell r="N70" t="str">
            <v>Ed Monzon</v>
          </cell>
          <cell r="O70" t="str">
            <v>UCITS</v>
          </cell>
          <cell r="P70" t="str">
            <v>Discretionary</v>
          </cell>
          <cell r="Q70" t="str">
            <v>Société Générale Gestion</v>
          </cell>
          <cell r="R70" t="str">
            <v>France</v>
          </cell>
          <cell r="S70" t="str">
            <v xml:space="preserve">Société Générale </v>
          </cell>
          <cell r="T70" t="str">
            <v>Kasper Elmgreen</v>
          </cell>
          <cell r="U70" t="str">
            <v>Andreas Wosol</v>
          </cell>
          <cell r="V70" t="str">
            <v>Roberto Campani</v>
          </cell>
          <cell r="W70" t="str">
            <v>Mary Mannion</v>
          </cell>
          <cell r="AA70" t="str">
            <v>Amundi Funds II - European Equity Value, cant hold CHF</v>
          </cell>
          <cell r="AB70">
            <v>109742</v>
          </cell>
          <cell r="AC70" t="str">
            <v>EQY Benchmarked Bottom Up</v>
          </cell>
          <cell r="AD70" t="str">
            <v>DUB EQY Fundamental Europe Stock Picking Equity Va</v>
          </cell>
          <cell r="AE70" t="str">
            <v xml:space="preserve">015058000001 </v>
          </cell>
        </row>
        <row r="71">
          <cell r="B71" t="str">
            <v>S100120</v>
          </cell>
          <cell r="C71" t="str">
            <v>From Risk - Fund Responsibility - Dublin Funds</v>
          </cell>
          <cell r="D71" t="str">
            <v>EQY Benchmarked Bottom Up</v>
          </cell>
          <cell r="E71" t="str">
            <v>DUB EQY Fundamental Europe Stock Picking</v>
          </cell>
          <cell r="F71" t="e">
            <v>#N/A</v>
          </cell>
          <cell r="G71">
            <v>109687</v>
          </cell>
          <cell r="H71" t="str">
            <v>SG ACTIONS EURO SELECTION</v>
          </cell>
          <cell r="I71" t="str">
            <v>Dublin</v>
          </cell>
          <cell r="J71" t="str">
            <v>Media+</v>
          </cell>
          <cell r="K71" t="str">
            <v>PEA Fund - drop status post Brexit. SG Actions Europe Selection will merge into SG Actions Euro selection in April</v>
          </cell>
          <cell r="L71" t="str">
            <v>Luca Mascolo</v>
          </cell>
          <cell r="M71" t="str">
            <v>Ed Monzon</v>
          </cell>
          <cell r="N71" t="str">
            <v>Ed Monzon</v>
          </cell>
          <cell r="O71" t="str">
            <v>UCITS</v>
          </cell>
          <cell r="P71" t="str">
            <v>Discretionary</v>
          </cell>
          <cell r="Q71" t="str">
            <v>Société Générale Gestion</v>
          </cell>
          <cell r="R71" t="str">
            <v>France</v>
          </cell>
          <cell r="S71" t="str">
            <v xml:space="preserve">Société Générale </v>
          </cell>
          <cell r="T71" t="str">
            <v>Kasper Elmgreen</v>
          </cell>
          <cell r="U71" t="str">
            <v>Fabio Di Giansante</v>
          </cell>
          <cell r="V71" t="str">
            <v>Fabio Di Giansante</v>
          </cell>
          <cell r="W71" t="str">
            <v>Mary Mannion</v>
          </cell>
          <cell r="AA71" t="str">
            <v>Amundi Funds II - Euroland Equity</v>
          </cell>
          <cell r="AB71">
            <v>109687</v>
          </cell>
          <cell r="AC71" t="str">
            <v>EQY Benchmarked Bottom Up</v>
          </cell>
          <cell r="AD71" t="str">
            <v>DUB EQY Fundamental Europe Stock Picking</v>
          </cell>
          <cell r="AE71" t="str">
            <v>015056000001</v>
          </cell>
        </row>
        <row r="72">
          <cell r="B72" t="str">
            <v>TS</v>
          </cell>
          <cell r="C72" t="str">
            <v>From Risk - Fund Responsibility - Dublin Funds</v>
          </cell>
          <cell r="D72" t="str">
            <v>EQY Benchmarked Bottom Up</v>
          </cell>
          <cell r="E72" t="str">
            <v>DUB EQY Fundamental Europe Stock Picking</v>
          </cell>
          <cell r="F72" t="e">
            <v>#N/A</v>
          </cell>
          <cell r="G72">
            <v>106087</v>
          </cell>
          <cell r="H72" t="str">
            <v>AMUNDI ACTIONS EUROPE</v>
          </cell>
          <cell r="I72" t="str">
            <v>Dublin</v>
          </cell>
          <cell r="J72" t="str">
            <v>Media+</v>
          </cell>
          <cell r="K72" t="str">
            <v>PEA - Maintain PEA.  This fund feeds into Top European Players but there is a proposal to merge it with Amundi Actions Euro (PIFCE) which feeds in Euroland. 75% PEA apparently. Equity Europe Concentrated feeds into TS.</v>
          </cell>
          <cell r="L72" t="str">
            <v>Luca Mascolo</v>
          </cell>
          <cell r="M72" t="str">
            <v>Ed Monzon</v>
          </cell>
          <cell r="N72" t="str">
            <v>Ed Monzon</v>
          </cell>
          <cell r="O72" t="str">
            <v>UCITS</v>
          </cell>
          <cell r="P72" t="str">
            <v>Discretionary</v>
          </cell>
          <cell r="Q72" t="str">
            <v>Amundi Asset Management</v>
          </cell>
          <cell r="R72" t="str">
            <v>France</v>
          </cell>
          <cell r="S72" t="str">
            <v>CACEIS BANK</v>
          </cell>
          <cell r="T72" t="str">
            <v>Kasper Elmgreen</v>
          </cell>
          <cell r="U72" t="str">
            <v>Andrew Arbuthnott</v>
          </cell>
          <cell r="V72" t="str">
            <v>Andrew Arbuthnott</v>
          </cell>
          <cell r="W72" t="str">
            <v>Mary Mannion</v>
          </cell>
          <cell r="X72"/>
          <cell r="Y72"/>
          <cell r="Z72"/>
          <cell r="AA72" t="str">
            <v>Amundi Funds II - Top European Players</v>
          </cell>
          <cell r="AB72">
            <v>106087</v>
          </cell>
          <cell r="AC72" t="str">
            <v>EQY Benchmarked Bottom Up</v>
          </cell>
          <cell r="AD72" t="str">
            <v>DUB EQY Fundamental Europe Stock Picking</v>
          </cell>
          <cell r="AE72" t="str">
            <v>015056000001</v>
          </cell>
        </row>
        <row r="73">
          <cell r="B73" t="str">
            <v>PF44053B</v>
          </cell>
          <cell r="C73" t="str">
            <v>From Risk - Fund Responsibility - Dublin Funds</v>
          </cell>
          <cell r="D73" t="str">
            <v>EQY Benchmarked Bottom Up</v>
          </cell>
          <cell r="E73" t="str">
            <v>DUB EQY Global Equity</v>
          </cell>
          <cell r="F73" t="e">
            <v>#N/A</v>
          </cell>
          <cell r="G73">
            <v>120434</v>
          </cell>
          <cell r="H73" t="str">
            <v>Amundi Orizzonte 2021 - EQUITY</v>
          </cell>
          <cell r="I73" t="str">
            <v>Dublin</v>
          </cell>
          <cell r="J73" t="str">
            <v>Media+</v>
          </cell>
          <cell r="K73"/>
          <cell r="L73" t="str">
            <v>Luca Mascolo</v>
          </cell>
          <cell r="M73" t="str">
            <v>Ed Monzon</v>
          </cell>
          <cell r="N73" t="str">
            <v>Ed Monzon</v>
          </cell>
          <cell r="O73" t="str">
            <v>UCITS</v>
          </cell>
          <cell r="P73" t="str">
            <v>Discretionary</v>
          </cell>
          <cell r="Q73" t="str">
            <v>Amundi Luxembourg SA</v>
          </cell>
          <cell r="R73" t="str">
            <v>Italy</v>
          </cell>
          <cell r="S73" t="str">
            <v>CACEIS BANK</v>
          </cell>
          <cell r="T73" t="str">
            <v>Kasper Elmgreen</v>
          </cell>
          <cell r="U73" t="str">
            <v>Deiter Beil</v>
          </cell>
          <cell r="V73" t="str">
            <v>Maurice Howell</v>
          </cell>
          <cell r="W73" t="str">
            <v>Mary Mannion</v>
          </cell>
          <cell r="AA73" t="str">
            <v>Independent - Target price sell</v>
          </cell>
          <cell r="AB73">
            <v>120434</v>
          </cell>
          <cell r="AC73" t="str">
            <v>EQY Benchmarked Bottom Up</v>
          </cell>
          <cell r="AD73" t="str">
            <v>DUB EQY Global Equity</v>
          </cell>
          <cell r="AE73" t="str">
            <v>015061000001</v>
          </cell>
        </row>
        <row r="74">
          <cell r="B74" t="str">
            <v>PF41117</v>
          </cell>
          <cell r="C74" t="str">
            <v>From Risk - Fund Responsibility - Dublin Funds</v>
          </cell>
          <cell r="D74" t="str">
            <v>EQY Benchmarked Bottom Up</v>
          </cell>
          <cell r="E74" t="str">
            <v>DUB EQY Stock Picking Euro</v>
          </cell>
          <cell r="F74" t="e">
            <v>#N/A</v>
          </cell>
          <cell r="G74">
            <v>117796</v>
          </cell>
          <cell r="H74" t="str">
            <v>AMUNDI TRANSMISSION ACT</v>
          </cell>
          <cell r="I74" t="str">
            <v>Dublin</v>
          </cell>
          <cell r="J74" t="str">
            <v>Media+</v>
          </cell>
          <cell r="K74" t="str">
            <v>PEA Fund - Maintain PEA status</v>
          </cell>
          <cell r="M74" t="str">
            <v>Ed Monzon</v>
          </cell>
          <cell r="N74" t="str">
            <v>Ed Monzon</v>
          </cell>
          <cell r="S74" t="str">
            <v>CACEIS BANK</v>
          </cell>
          <cell r="T74" t="str">
            <v>Kasper Elmgreen</v>
          </cell>
          <cell r="U74" t="str">
            <v>Fabio Di Giansante</v>
          </cell>
          <cell r="V74" t="str">
            <v>Fabio Di Giansante</v>
          </cell>
          <cell r="W74" t="str">
            <v>Mary Mannion</v>
          </cell>
          <cell r="AA74" t="str">
            <v>Amundi Funds II - Euroland Equity</v>
          </cell>
          <cell r="AB74">
            <v>117796</v>
          </cell>
          <cell r="AC74" t="str">
            <v>EQY Benchmarked Bottom Up</v>
          </cell>
          <cell r="AD74" t="str">
            <v>DUB EQY Stock Picking Euro</v>
          </cell>
          <cell r="AE74" t="str">
            <v>015062000001</v>
          </cell>
        </row>
        <row r="75">
          <cell r="F75" t="e">
            <v>#N/A</v>
          </cell>
        </row>
        <row r="76">
          <cell r="F76" t="e">
            <v>#N/A</v>
          </cell>
        </row>
        <row r="77">
          <cell r="F77" t="e">
            <v>#N/A</v>
          </cell>
          <cell r="I77"/>
        </row>
        <row r="78">
          <cell r="B78" t="str">
            <v>Dorothée Le Bois</v>
          </cell>
          <cell r="F78" t="e">
            <v>#N/A</v>
          </cell>
          <cell r="H78" t="str">
            <v>AMUNDI ACTIONS EUROPE</v>
          </cell>
          <cell r="I78" t="str">
            <v>X</v>
          </cell>
          <cell r="K78" t="str">
            <v>Top European Players</v>
          </cell>
        </row>
        <row r="79">
          <cell r="F79" t="e">
            <v>#N/A</v>
          </cell>
          <cell r="I79" t="str">
            <v>merge</v>
          </cell>
          <cell r="J79" t="str">
            <v>AMUNDI ACTIONS EURO</v>
          </cell>
          <cell r="K79" t="str">
            <v>Euroland</v>
          </cell>
          <cell r="L79" t="str">
            <v xml:space="preserve">Target date for change is March 2020, prospectus updates wil not be kicked off until the outcome of Brexit is known.  </v>
          </cell>
        </row>
        <row r="80">
          <cell r="F80" t="e">
            <v>#N/A</v>
          </cell>
        </row>
        <row r="82">
          <cell r="B82" t="str">
            <v>Laurent Pouillet</v>
          </cell>
          <cell r="H82" t="str">
            <v>SG ACTIONS EUROPE SELECTION</v>
          </cell>
          <cell r="I82" t="str">
            <v>X</v>
          </cell>
          <cell r="K82" t="str">
            <v>Top European Players</v>
          </cell>
          <cell r="L82"/>
        </row>
        <row r="83">
          <cell r="B83" t="str">
            <v>Daphne Radulescu</v>
          </cell>
          <cell r="I83" t="str">
            <v>merge</v>
          </cell>
          <cell r="J83" t="str">
            <v>SG ACTIONS EURO SELECTION</v>
          </cell>
          <cell r="K83" t="str">
            <v>Euroland</v>
          </cell>
          <cell r="L83" t="str">
            <v>Target date April 2020</v>
          </cell>
          <cell r="M83" t="str">
            <v>Potential breach from 1st November to April 2020 on maximum exposure to non-EU stocks</v>
          </cell>
        </row>
        <row r="84">
          <cell r="B84" t="str">
            <v>Alex Drabowicz</v>
          </cell>
          <cell r="L84" t="str">
            <v>Is there going to be a change to the BM and investment policy before April 2020? - Question from Alex, MC asked Laurent</v>
          </cell>
        </row>
        <row r="85">
          <cell r="B85"/>
          <cell r="C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</row>
        <row r="86">
          <cell r="B86"/>
          <cell r="C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</row>
        <row r="87">
          <cell r="B87"/>
          <cell r="C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</row>
        <row r="88">
          <cell r="B88"/>
          <cell r="C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U88"/>
        </row>
        <row r="89">
          <cell r="B89"/>
          <cell r="C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</row>
        <row r="90">
          <cell r="B90"/>
          <cell r="C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</row>
        <row r="91">
          <cell r="B91"/>
          <cell r="C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V91"/>
        </row>
        <row r="92">
          <cell r="B92"/>
          <cell r="C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</row>
        <row r="93">
          <cell r="B93"/>
          <cell r="C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</row>
        <row r="94">
          <cell r="B94"/>
          <cell r="C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</row>
        <row r="95">
          <cell r="B95"/>
          <cell r="C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</row>
        <row r="96">
          <cell r="B96"/>
          <cell r="C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</row>
        <row r="97">
          <cell r="B97"/>
          <cell r="C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</row>
        <row r="98">
          <cell r="B98"/>
          <cell r="C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</row>
        <row r="99">
          <cell r="B99"/>
          <cell r="C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</row>
        <row r="100">
          <cell r="B100"/>
          <cell r="C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</row>
        <row r="101">
          <cell r="B101"/>
          <cell r="C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</row>
        <row r="102">
          <cell r="B102"/>
          <cell r="C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</row>
        <row r="103">
          <cell r="B103"/>
          <cell r="C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</row>
        <row r="104">
          <cell r="B104"/>
          <cell r="C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</row>
        <row r="105">
          <cell r="B105"/>
          <cell r="C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</row>
        <row r="106">
          <cell r="B106"/>
          <cell r="C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</row>
        <row r="107">
          <cell r="B107"/>
          <cell r="C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</row>
        <row r="108">
          <cell r="B108"/>
          <cell r="C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</row>
        <row r="109">
          <cell r="B109"/>
          <cell r="C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</row>
        <row r="110">
          <cell r="B110"/>
          <cell r="C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</row>
        <row r="111">
          <cell r="B111"/>
          <cell r="C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</row>
        <row r="112">
          <cell r="B112"/>
          <cell r="C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</row>
        <row r="113">
          <cell r="B113"/>
          <cell r="C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</row>
        <row r="114">
          <cell r="B114"/>
          <cell r="C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</row>
        <row r="115">
          <cell r="B115"/>
          <cell r="C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</row>
        <row r="116">
          <cell r="B116"/>
          <cell r="C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</row>
        <row r="117">
          <cell r="B117"/>
          <cell r="C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</row>
        <row r="118">
          <cell r="B118"/>
          <cell r="C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</row>
        <row r="119">
          <cell r="B119"/>
          <cell r="C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</row>
        <row r="120">
          <cell r="B120"/>
          <cell r="C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</row>
        <row r="121">
          <cell r="B121"/>
          <cell r="C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</row>
        <row r="122">
          <cell r="B122"/>
          <cell r="C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</row>
        <row r="123">
          <cell r="B123"/>
          <cell r="C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</row>
        <row r="124">
          <cell r="B124"/>
          <cell r="C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</row>
        <row r="125">
          <cell r="B125"/>
          <cell r="C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</row>
        <row r="126">
          <cell r="B126"/>
          <cell r="C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</row>
        <row r="127">
          <cell r="B127"/>
          <cell r="C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B128"/>
          <cell r="C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B129"/>
          <cell r="C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</row>
        <row r="130">
          <cell r="B130"/>
          <cell r="C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</row>
        <row r="131">
          <cell r="B131"/>
          <cell r="C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</row>
        <row r="132">
          <cell r="B132"/>
          <cell r="C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</row>
        <row r="133">
          <cell r="B133"/>
          <cell r="C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</row>
        <row r="134">
          <cell r="B134"/>
          <cell r="C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</row>
        <row r="135">
          <cell r="B135"/>
          <cell r="C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</row>
        <row r="136">
          <cell r="B136"/>
          <cell r="C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</row>
        <row r="137">
          <cell r="B137"/>
          <cell r="C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</row>
        <row r="138">
          <cell r="B138"/>
          <cell r="C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</row>
        <row r="139">
          <cell r="B139"/>
          <cell r="C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</row>
        <row r="140">
          <cell r="B140"/>
          <cell r="C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</row>
        <row r="141">
          <cell r="B141"/>
          <cell r="C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</row>
        <row r="142">
          <cell r="B142"/>
          <cell r="C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</row>
        <row r="143">
          <cell r="B143"/>
          <cell r="C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</row>
        <row r="144">
          <cell r="B144"/>
          <cell r="C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</row>
        <row r="145">
          <cell r="B145"/>
          <cell r="C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</row>
        <row r="146">
          <cell r="B146"/>
          <cell r="C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</row>
        <row r="147">
          <cell r="B147"/>
          <cell r="C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</row>
        <row r="148">
          <cell r="B148"/>
          <cell r="C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</row>
        <row r="149">
          <cell r="B149"/>
          <cell r="C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</row>
        <row r="150">
          <cell r="B150"/>
          <cell r="C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</row>
        <row r="151">
          <cell r="B151"/>
          <cell r="C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</row>
        <row r="152">
          <cell r="B152"/>
          <cell r="C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</row>
        <row r="153">
          <cell r="B153"/>
          <cell r="C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</row>
        <row r="154">
          <cell r="B154"/>
          <cell r="C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</row>
        <row r="155">
          <cell r="B155"/>
          <cell r="C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</row>
        <row r="156">
          <cell r="B156"/>
          <cell r="C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</row>
        <row r="157">
          <cell r="B157"/>
          <cell r="C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</row>
        <row r="158">
          <cell r="B158"/>
          <cell r="C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</row>
        <row r="159">
          <cell r="B159"/>
          <cell r="C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</row>
        <row r="160">
          <cell r="B160"/>
          <cell r="C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</row>
        <row r="161">
          <cell r="B161"/>
          <cell r="C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</row>
        <row r="162">
          <cell r="B162"/>
          <cell r="C162"/>
          <cell r="F162"/>
          <cell r="G162"/>
          <cell r="H162"/>
          <cell r="I162"/>
          <cell r="J162"/>
          <cell r="K162"/>
        </row>
        <row r="163">
          <cell r="B163"/>
          <cell r="C163"/>
          <cell r="F163"/>
          <cell r="G163"/>
          <cell r="H163"/>
          <cell r="I163"/>
          <cell r="J163"/>
          <cell r="K163"/>
        </row>
      </sheetData>
      <sheetData sheetId="1">
        <row r="1">
          <cell r="A1" t="str">
            <v>Aladdin code</v>
          </cell>
          <cell r="B1"/>
          <cell r="C1" t="str">
            <v>In the Master List?</v>
          </cell>
          <cell r="D1" t="str">
            <v>Portfolio name</v>
          </cell>
          <cell r="E1" t="str">
            <v>Management Company</v>
          </cell>
          <cell r="F1" t="str">
            <v>Delegated Management Company</v>
          </cell>
          <cell r="G1" t="str">
            <v>Domicile</v>
          </cell>
          <cell r="H1" t="str">
            <v>Legal type (Mutual funds, mandates,…)</v>
          </cell>
          <cell r="I1" t="str">
            <v>Asset class</v>
          </cell>
          <cell r="J1" t="str">
            <v>Sub asset class</v>
          </cell>
          <cell r="K1" t="str">
            <v>Portfolio manager</v>
          </cell>
          <cell r="L1" t="str">
            <v>Eagle Code (Pioneer)</v>
          </cell>
        </row>
        <row r="2">
          <cell r="A2" t="str">
            <v>1PM</v>
          </cell>
          <cell r="B2" t="str">
            <v>From Risk - Fund Responsibility - Model Portfolios</v>
          </cell>
          <cell r="C2" t="str">
            <v>Yes</v>
          </cell>
          <cell r="D2" t="str">
            <v>Diamond 7 Unit Linked</v>
          </cell>
          <cell r="E2" t="str">
            <v>AMUNDI SGR</v>
          </cell>
          <cell r="F2" t="str">
            <v>PIM LTD</v>
          </cell>
          <cell r="G2" t="str">
            <v>Italy</v>
          </cell>
          <cell r="H2" t="str">
            <v>Unit Linked</v>
          </cell>
          <cell r="I2" t="str">
            <v>Equity</v>
          </cell>
          <cell r="J2" t="str">
            <v>Blend</v>
          </cell>
          <cell r="K2" t="str">
            <v>Bertrand Paquot</v>
          </cell>
          <cell r="L2" t="str">
            <v>MQ103341</v>
          </cell>
          <cell r="M2" t="e">
            <v>#N/A</v>
          </cell>
        </row>
        <row r="3">
          <cell r="A3" t="str">
            <v>1QM</v>
          </cell>
          <cell r="B3" t="str">
            <v>From Risk - Fund Responsibility - Model Portfolios</v>
          </cell>
          <cell r="C3" t="str">
            <v>Yes</v>
          </cell>
          <cell r="D3" t="str">
            <v>Ares Risparmio  Bilanciato M</v>
          </cell>
          <cell r="E3" t="str">
            <v>AMUNDI SGR</v>
          </cell>
          <cell r="F3" t="str">
            <v>PIM LTD</v>
          </cell>
          <cell r="G3" t="str">
            <v>Italy</v>
          </cell>
          <cell r="H3" t="str">
            <v>Unit Linked</v>
          </cell>
          <cell r="I3" t="str">
            <v>Asset Allocation</v>
          </cell>
          <cell r="J3" t="str">
            <v>Moderate</v>
          </cell>
          <cell r="K3" t="str">
            <v>Bertrand Paquot</v>
          </cell>
          <cell r="L3" t="str">
            <v>MQ103340</v>
          </cell>
          <cell r="M3" t="e">
            <v>#N/A</v>
          </cell>
        </row>
        <row r="4">
          <cell r="A4" t="str">
            <v>1RM</v>
          </cell>
          <cell r="B4" t="str">
            <v>From Risk - Fund Responsibility - Model Portfolios</v>
          </cell>
          <cell r="C4" t="str">
            <v>Yes</v>
          </cell>
          <cell r="D4" t="str">
            <v>Ares Risparmio Obbligazionario</v>
          </cell>
          <cell r="E4" t="str">
            <v>AMUNDI SGR</v>
          </cell>
          <cell r="F4" t="str">
            <v>PIM LTD</v>
          </cell>
          <cell r="G4" t="str">
            <v>Italy</v>
          </cell>
          <cell r="H4" t="str">
            <v xml:space="preserve">Unit Linked </v>
          </cell>
          <cell r="I4" t="str">
            <v>Bond</v>
          </cell>
          <cell r="J4" t="str">
            <v>Government</v>
          </cell>
          <cell r="K4" t="str">
            <v>Bertrand Paquot</v>
          </cell>
          <cell r="L4" t="str">
            <v>MQ103345</v>
          </cell>
          <cell r="M4" t="e">
            <v>#N/A</v>
          </cell>
        </row>
        <row r="5">
          <cell r="A5" t="str">
            <v>AMMIN</v>
          </cell>
          <cell r="B5" t="str">
            <v>From Risk - Fund Responsibility - Model Portfolios</v>
          </cell>
          <cell r="C5" t="e">
            <v>#N/A</v>
          </cell>
          <cell r="D5" t="str">
            <v>FUNDAMENTAL EMU EQUITY</v>
          </cell>
          <cell r="E5" t="str">
            <v>AMUNDI SGR</v>
          </cell>
          <cell r="F5" t="str">
            <v>PIM LTD</v>
          </cell>
          <cell r="G5" t="str">
            <v>Italy</v>
          </cell>
          <cell r="H5" t="str">
            <v>European Equity team</v>
          </cell>
          <cell r="I5" t="e">
            <v>#N/A</v>
          </cell>
          <cell r="J5" t="e">
            <v>#N/A</v>
          </cell>
          <cell r="K5" t="str">
            <v>Fabio Di Giansante</v>
          </cell>
          <cell r="L5" t="str">
            <v>MQ102291</v>
          </cell>
          <cell r="M5" t="e">
            <v>#N/A</v>
          </cell>
        </row>
        <row r="6">
          <cell r="A6" t="str">
            <v>APMA1</v>
          </cell>
          <cell r="B6" t="str">
            <v>From Risk - Fund Responsibility - Model Portfolios</v>
          </cell>
          <cell r="C6" t="str">
            <v>Yes</v>
          </cell>
          <cell r="D6" t="str">
            <v>Advisory Piraeus MA 1</v>
          </cell>
          <cell r="E6" t="str">
            <v>AMUNDI SGR</v>
          </cell>
          <cell r="F6" t="str">
            <v>PIM LTD</v>
          </cell>
          <cell r="G6" t="str">
            <v>Italy</v>
          </cell>
          <cell r="H6" t="str">
            <v>Segregate Account</v>
          </cell>
          <cell r="I6" t="e">
            <v>#N/A</v>
          </cell>
          <cell r="J6" t="e">
            <v>#N/A</v>
          </cell>
          <cell r="K6" t="str">
            <v>PierPaolo Paparo</v>
          </cell>
          <cell r="L6" t="str">
            <v>MQ103888</v>
          </cell>
          <cell r="M6" t="e">
            <v>#N/A</v>
          </cell>
        </row>
        <row r="7">
          <cell r="A7" t="str">
            <v>APMA2</v>
          </cell>
          <cell r="B7" t="str">
            <v>From Risk - Fund Responsibility - Model Portfolios</v>
          </cell>
          <cell r="C7" t="str">
            <v>Yes</v>
          </cell>
          <cell r="D7" t="str">
            <v>Advisory Piraeus MA 2</v>
          </cell>
          <cell r="E7" t="str">
            <v>AMUNDI SGR</v>
          </cell>
          <cell r="F7" t="str">
            <v>PIM LTD</v>
          </cell>
          <cell r="G7" t="str">
            <v>Italy</v>
          </cell>
          <cell r="H7" t="str">
            <v>Segregate Account</v>
          </cell>
          <cell r="I7" t="e">
            <v>#N/A</v>
          </cell>
          <cell r="J7" t="e">
            <v>#N/A</v>
          </cell>
          <cell r="K7" t="str">
            <v>PierPaolo Paparo</v>
          </cell>
          <cell r="L7" t="str">
            <v>MQ103889</v>
          </cell>
          <cell r="M7" t="e">
            <v>#N/A</v>
          </cell>
        </row>
        <row r="8">
          <cell r="A8" t="str">
            <v>APMA3</v>
          </cell>
          <cell r="B8" t="str">
            <v>From Risk - Fund Responsibility - Model Portfolios</v>
          </cell>
          <cell r="C8" t="str">
            <v>Yes</v>
          </cell>
          <cell r="D8" t="str">
            <v>Advisory Piraeus MA 3</v>
          </cell>
          <cell r="E8" t="str">
            <v>AMUNDI SGR</v>
          </cell>
          <cell r="F8" t="str">
            <v>PIM LTD</v>
          </cell>
          <cell r="G8" t="str">
            <v>Italy</v>
          </cell>
          <cell r="H8" t="str">
            <v>Segregate Account</v>
          </cell>
          <cell r="I8" t="e">
            <v>#N/A</v>
          </cell>
          <cell r="J8" t="e">
            <v>#N/A</v>
          </cell>
          <cell r="K8" t="str">
            <v>PierPaolo Paparo</v>
          </cell>
          <cell r="L8" t="str">
            <v>MQ103890</v>
          </cell>
          <cell r="M8" t="e">
            <v>#N/A</v>
          </cell>
        </row>
        <row r="9">
          <cell r="A9" t="str">
            <v>APMA4</v>
          </cell>
          <cell r="B9" t="str">
            <v>From Risk - Fund Responsibility - Model Portfolios</v>
          </cell>
          <cell r="C9" t="str">
            <v>Yes</v>
          </cell>
          <cell r="D9" t="str">
            <v>Advisory Piraeus MA 4</v>
          </cell>
          <cell r="E9" t="str">
            <v>AMUNDI SGR</v>
          </cell>
          <cell r="F9" t="str">
            <v>PIM LTD</v>
          </cell>
          <cell r="G9" t="str">
            <v>Italy</v>
          </cell>
          <cell r="H9" t="str">
            <v>Segregate Account</v>
          </cell>
          <cell r="I9" t="e">
            <v>#N/A</v>
          </cell>
          <cell r="J9" t="e">
            <v>#N/A</v>
          </cell>
          <cell r="K9" t="str">
            <v>PierPaolo Paparo</v>
          </cell>
          <cell r="L9" t="str">
            <v>MQ103891</v>
          </cell>
          <cell r="M9" t="e">
            <v>#N/A</v>
          </cell>
        </row>
        <row r="10">
          <cell r="A10" t="str">
            <v>CCRESCITA</v>
          </cell>
          <cell r="B10" t="str">
            <v>From Risk - Fund Responsibility - Model Portfolios</v>
          </cell>
          <cell r="C10" t="str">
            <v>Yes</v>
          </cell>
          <cell r="D10" t="str">
            <v>CAM CRESCITA</v>
          </cell>
          <cell r="E10" t="str">
            <v>AMUNDI SGR</v>
          </cell>
          <cell r="F10" t="str">
            <v>PIM LTD</v>
          </cell>
          <cell r="G10" t="str">
            <v>Italy</v>
          </cell>
          <cell r="H10" t="str">
            <v>Segregate Account</v>
          </cell>
          <cell r="I10" t="str">
            <v>Equity</v>
          </cell>
          <cell r="J10" t="str">
            <v>Blend</v>
          </cell>
          <cell r="K10" t="str">
            <v>Salvatore Buono</v>
          </cell>
          <cell r="L10" t="str">
            <v>MQ103235</v>
          </cell>
          <cell r="M10" t="e">
            <v>#N/A</v>
          </cell>
        </row>
        <row r="11">
          <cell r="A11" t="str">
            <v>CMEDIUM</v>
          </cell>
          <cell r="B11" t="str">
            <v>From Risk - Fund Responsibility - Model Portfolios</v>
          </cell>
          <cell r="C11" t="str">
            <v>Yes</v>
          </cell>
          <cell r="D11" t="str">
            <v>CAM MEDIUM</v>
          </cell>
          <cell r="E11" t="str">
            <v>AMUNDI SGR</v>
          </cell>
          <cell r="F11" t="str">
            <v>PIM LTD</v>
          </cell>
          <cell r="G11" t="str">
            <v>Italy</v>
          </cell>
          <cell r="H11" t="str">
            <v>Segregate Account</v>
          </cell>
          <cell r="I11" t="str">
            <v>Asset Allocation</v>
          </cell>
          <cell r="J11" t="str">
            <v>Cautious</v>
          </cell>
          <cell r="K11" t="str">
            <v>Salvatore Buono</v>
          </cell>
          <cell r="L11" t="str">
            <v>MQ103183</v>
          </cell>
          <cell r="M11" t="e">
            <v>#N/A</v>
          </cell>
        </row>
        <row r="12">
          <cell r="A12" t="str">
            <v>CNPDYNPR80</v>
          </cell>
          <cell r="B12" t="str">
            <v>From Risk - Fund Responsibility - Model Portfolios</v>
          </cell>
          <cell r="C12" t="str">
            <v>Yes</v>
          </cell>
          <cell r="D12" t="str">
            <v>CNP Dynamic Protection 80</v>
          </cell>
          <cell r="E12" t="str">
            <v>AMUNDI SGR</v>
          </cell>
          <cell r="F12" t="str">
            <v>PIM LTD</v>
          </cell>
          <cell r="G12" t="str">
            <v>Italy</v>
          </cell>
          <cell r="H12" t="str">
            <v>Unit linked</v>
          </cell>
          <cell r="I12" t="str">
            <v>Capital Guaranteed / Protected</v>
          </cell>
          <cell r="J12" t="str">
            <v>Other</v>
          </cell>
          <cell r="K12" t="str">
            <v>Lorenzo Di Pietrantonio</v>
          </cell>
          <cell r="L12" t="str">
            <v>A527087</v>
          </cell>
          <cell r="M12" t="e">
            <v>#N/A</v>
          </cell>
        </row>
        <row r="13">
          <cell r="A13" t="str">
            <v>COBBLEURO</v>
          </cell>
          <cell r="B13" t="str">
            <v>From Risk - Fund Responsibility - Model Portfolios</v>
          </cell>
          <cell r="C13" t="str">
            <v>Yes</v>
          </cell>
          <cell r="D13" t="str">
            <v>CAM OBBLIGAZIONARIA EURO</v>
          </cell>
          <cell r="E13" t="str">
            <v>AMUNDI SGR</v>
          </cell>
          <cell r="F13" t="str">
            <v>PIM LTD</v>
          </cell>
          <cell r="G13" t="str">
            <v>Italy</v>
          </cell>
          <cell r="H13" t="str">
            <v>Segregate Account</v>
          </cell>
          <cell r="I13" t="e">
            <v>#N/A</v>
          </cell>
          <cell r="J13" t="e">
            <v>#N/A</v>
          </cell>
          <cell r="K13" t="str">
            <v>Salvatore Buono</v>
          </cell>
          <cell r="L13" t="str">
            <v>MQ103269</v>
          </cell>
          <cell r="M13" t="e">
            <v>#N/A</v>
          </cell>
        </row>
        <row r="14">
          <cell r="A14" t="str">
            <v>CREDDITO</v>
          </cell>
          <cell r="B14" t="str">
            <v>From Risk - Fund Responsibility - Model Portfolios</v>
          </cell>
          <cell r="C14" t="str">
            <v>Yes</v>
          </cell>
          <cell r="D14" t="str">
            <v>CAM REDDITO</v>
          </cell>
          <cell r="E14" t="str">
            <v>AMUNDI SGR</v>
          </cell>
          <cell r="F14" t="str">
            <v>PIM LTD</v>
          </cell>
          <cell r="G14" t="str">
            <v>Italy</v>
          </cell>
          <cell r="H14" t="str">
            <v>Segregate Account</v>
          </cell>
          <cell r="I14" t="str">
            <v>Bond</v>
          </cell>
          <cell r="J14" t="str">
            <v>Aggregate</v>
          </cell>
          <cell r="K14" t="str">
            <v>Salvatore Buono</v>
          </cell>
          <cell r="L14" t="str">
            <v>MQ103221</v>
          </cell>
          <cell r="M14" t="e">
            <v>#N/A</v>
          </cell>
        </row>
        <row r="15">
          <cell r="A15" t="str">
            <v>CRVDYNPR80</v>
          </cell>
          <cell r="B15" t="str">
            <v>From Risk - Fund Responsibility - Model Portfolios</v>
          </cell>
          <cell r="C15" t="str">
            <v>Yes</v>
          </cell>
          <cell r="D15" t="str">
            <v>CRV Dynamic Protection 80</v>
          </cell>
          <cell r="E15" t="str">
            <v>AMUNDI SGR</v>
          </cell>
          <cell r="F15" t="str">
            <v>PIM LTD</v>
          </cell>
          <cell r="G15" t="str">
            <v>Italy</v>
          </cell>
          <cell r="H15" t="str">
            <v>Unit linked</v>
          </cell>
          <cell r="I15" t="str">
            <v>Capital Guaranteed / Protected</v>
          </cell>
          <cell r="J15" t="str">
            <v>Other</v>
          </cell>
          <cell r="K15" t="str">
            <v>Lorenzo Di Pietrantonio</v>
          </cell>
          <cell r="L15" t="str">
            <v>A527088</v>
          </cell>
          <cell r="M15" t="e">
            <v>#N/A</v>
          </cell>
        </row>
        <row r="16">
          <cell r="A16" t="str">
            <v>CSABR</v>
          </cell>
          <cell r="B16" t="str">
            <v>From Risk - Fund Responsibility - Model Portfolios</v>
          </cell>
          <cell r="C16" t="e">
            <v>#N/A</v>
          </cell>
          <cell r="D16" t="str">
            <v>Cordusio SIM Advisory Absolute Return</v>
          </cell>
          <cell r="E16" t="str">
            <v>AMUNDI SGR</v>
          </cell>
          <cell r="F16" t="str">
            <v>PIM LTD</v>
          </cell>
          <cell r="G16" t="str">
            <v>Italy</v>
          </cell>
          <cell r="H16" t="str">
            <v>Segregate Account</v>
          </cell>
          <cell r="I16" t="e">
            <v>#N/A</v>
          </cell>
          <cell r="J16" t="e">
            <v>#N/A</v>
          </cell>
          <cell r="K16" t="str">
            <v>Alan Butterly</v>
          </cell>
          <cell r="L16" t="str">
            <v>A579119</v>
          </cell>
          <cell r="M16" t="e">
            <v>#N/A</v>
          </cell>
        </row>
        <row r="17">
          <cell r="A17" t="str">
            <v>CSVILUPPO</v>
          </cell>
          <cell r="B17" t="str">
            <v>From Risk - Fund Responsibility - Model Portfolios</v>
          </cell>
          <cell r="C17" t="str">
            <v>Yes</v>
          </cell>
          <cell r="D17" t="str">
            <v>CAM SVILUPPO</v>
          </cell>
          <cell r="E17" t="str">
            <v>AMUNDI SGR</v>
          </cell>
          <cell r="F17" t="str">
            <v>PIM LTD</v>
          </cell>
          <cell r="G17" t="str">
            <v>Italy</v>
          </cell>
          <cell r="H17" t="str">
            <v>Segregate Account</v>
          </cell>
          <cell r="I17" t="str">
            <v>Equity</v>
          </cell>
          <cell r="J17" t="str">
            <v>Blend</v>
          </cell>
          <cell r="K17" t="str">
            <v>Salvatore Buono</v>
          </cell>
          <cell r="L17" t="str">
            <v>MQ103251</v>
          </cell>
          <cell r="M17" t="e">
            <v>#N/A</v>
          </cell>
        </row>
        <row r="18">
          <cell r="A18" t="str">
            <v>CTREND_20</v>
          </cell>
          <cell r="B18" t="str">
            <v>From Risk - Fund Responsibility - Model Portfolios</v>
          </cell>
          <cell r="C18" t="str">
            <v>Yes</v>
          </cell>
          <cell r="D18" t="str">
            <v>CAM TREND 20</v>
          </cell>
          <cell r="E18" t="str">
            <v>AMUNDI SGR</v>
          </cell>
          <cell r="F18" t="str">
            <v>PIM LTD</v>
          </cell>
          <cell r="G18" t="str">
            <v>Italy</v>
          </cell>
          <cell r="H18" t="str">
            <v>Segregate Account</v>
          </cell>
          <cell r="I18" t="e">
            <v>#N/A</v>
          </cell>
          <cell r="J18" t="e">
            <v>#N/A</v>
          </cell>
          <cell r="K18" t="str">
            <v>Salvatore Buono</v>
          </cell>
          <cell r="L18" t="str">
            <v>MQ103231</v>
          </cell>
          <cell r="M18" t="e">
            <v>#N/A</v>
          </cell>
        </row>
        <row r="19">
          <cell r="A19" t="str">
            <v>DINAR1TF</v>
          </cell>
          <cell r="B19" t="str">
            <v>From Risk - Fund Responsibility - Model Portfolios</v>
          </cell>
          <cell r="C19" t="str">
            <v>Yes</v>
          </cell>
          <cell r="D19" t="str">
            <v>Life Program Active 1</v>
          </cell>
          <cell r="E19" t="str">
            <v>AMUNDI SGR</v>
          </cell>
          <cell r="F19" t="str">
            <v>PIM LTD</v>
          </cell>
          <cell r="G19" t="str">
            <v>Italy</v>
          </cell>
          <cell r="H19" t="str">
            <v xml:space="preserve">Unit Linked </v>
          </cell>
          <cell r="I19" t="str">
            <v>Asset Allocation</v>
          </cell>
          <cell r="J19" t="str">
            <v>Cautious</v>
          </cell>
          <cell r="K19" t="str">
            <v>Bertrand Paquot</v>
          </cell>
          <cell r="L19" t="str">
            <v>MQ102547</v>
          </cell>
          <cell r="M19" t="e">
            <v>#N/A</v>
          </cell>
        </row>
        <row r="20">
          <cell r="A20" t="str">
            <v>DINAR2TF</v>
          </cell>
          <cell r="B20" t="str">
            <v>From Risk - Fund Responsibility - Model Portfolios</v>
          </cell>
          <cell r="C20" t="str">
            <v>Yes</v>
          </cell>
          <cell r="D20" t="str">
            <v>Uniflex Active 2</v>
          </cell>
          <cell r="E20" t="str">
            <v>AMUNDI SGR</v>
          </cell>
          <cell r="F20" t="str">
            <v>PIM LTD</v>
          </cell>
          <cell r="G20" t="str">
            <v>Italy</v>
          </cell>
          <cell r="H20" t="str">
            <v xml:space="preserve">Unit Linked </v>
          </cell>
          <cell r="I20" t="str">
            <v>Asset Allocation</v>
          </cell>
          <cell r="J20" t="str">
            <v>Moderate</v>
          </cell>
          <cell r="K20" t="str">
            <v>Bertrand Paquot</v>
          </cell>
          <cell r="L20" t="str">
            <v>MQ102549</v>
          </cell>
          <cell r="M20" t="e">
            <v>#N/A</v>
          </cell>
        </row>
        <row r="21">
          <cell r="A21" t="str">
            <v>DINAR3TF</v>
          </cell>
          <cell r="B21" t="str">
            <v>From Risk - Fund Responsibility - Model Portfolios</v>
          </cell>
          <cell r="C21" t="str">
            <v>Yes</v>
          </cell>
          <cell r="D21" t="str">
            <v>Life Program Active 3</v>
          </cell>
          <cell r="E21" t="str">
            <v>AMUNDI SGR</v>
          </cell>
          <cell r="F21" t="str">
            <v>PIM LTD</v>
          </cell>
          <cell r="G21" t="str">
            <v>Italy</v>
          </cell>
          <cell r="H21" t="str">
            <v>Unit Linked</v>
          </cell>
          <cell r="I21" t="str">
            <v>Asset Allocation</v>
          </cell>
          <cell r="J21" t="str">
            <v>Moderate</v>
          </cell>
          <cell r="K21" t="str">
            <v>Bertrand Paquot</v>
          </cell>
          <cell r="L21" t="str">
            <v>MQ102551</v>
          </cell>
          <cell r="M21" t="e">
            <v>#N/A</v>
          </cell>
        </row>
        <row r="22">
          <cell r="A22" t="str">
            <v>LINPRO</v>
          </cell>
          <cell r="B22" t="str">
            <v>From Risk - Fund Responsibility - Model Portfolios</v>
          </cell>
          <cell r="C22" t="str">
            <v>Yes</v>
          </cell>
          <cell r="D22" t="str">
            <v>Linea Protetta</v>
          </cell>
          <cell r="E22" t="str">
            <v>AMUNDI SGR</v>
          </cell>
          <cell r="F22" t="str">
            <v>PIM LTD</v>
          </cell>
          <cell r="G22" t="str">
            <v>Italy</v>
          </cell>
          <cell r="H22" t="str">
            <v>Segregate Account</v>
          </cell>
          <cell r="I22" t="str">
            <v>Capital Guaranteed / Protected</v>
          </cell>
          <cell r="J22" t="str">
            <v>CPPI / VAR</v>
          </cell>
          <cell r="K22" t="str">
            <v>Lorenzo Di Pietrantonio</v>
          </cell>
          <cell r="L22" t="str">
            <v>MQ100239</v>
          </cell>
          <cell r="M22" t="e">
            <v>#N/A</v>
          </cell>
        </row>
        <row r="23">
          <cell r="A23" t="str">
            <v>MAA</v>
          </cell>
          <cell r="B23" t="str">
            <v>From Risk - Fund Responsibility - Model Portfolios</v>
          </cell>
          <cell r="C23" t="str">
            <v>Yes</v>
          </cell>
          <cell r="D23" t="str">
            <v>CAM Novembre</v>
          </cell>
          <cell r="E23" t="str">
            <v>AMUNDI SGR</v>
          </cell>
          <cell r="F23" t="str">
            <v>PIM LTD</v>
          </cell>
          <cell r="G23" t="str">
            <v>Italy</v>
          </cell>
          <cell r="H23" t="str">
            <v>Unit Linked</v>
          </cell>
          <cell r="I23" t="str">
            <v>Capital Guaranteed / Protected</v>
          </cell>
          <cell r="J23" t="str">
            <v>CPPI / VAR</v>
          </cell>
          <cell r="K23" t="str">
            <v>Lorenzo Di Pietrantonio</v>
          </cell>
          <cell r="L23" t="str">
            <v>MQ103308</v>
          </cell>
          <cell r="M23" t="e">
            <v>#N/A</v>
          </cell>
        </row>
        <row r="24">
          <cell r="A24" t="str">
            <v>MAB</v>
          </cell>
          <cell r="B24" t="str">
            <v>From Risk - Fund Responsibility - Model Portfolios</v>
          </cell>
          <cell r="C24" t="str">
            <v>Yes</v>
          </cell>
          <cell r="D24" t="str">
            <v>CAM Dicembre</v>
          </cell>
          <cell r="E24" t="str">
            <v>AMUNDI SGR</v>
          </cell>
          <cell r="F24" t="str">
            <v>PIM LTD</v>
          </cell>
          <cell r="G24" t="str">
            <v>Italy</v>
          </cell>
          <cell r="H24" t="str">
            <v>Unit Linked</v>
          </cell>
          <cell r="I24" t="str">
            <v>Capital Guaranteed / Protected</v>
          </cell>
          <cell r="J24" t="str">
            <v>CPPI / VAR</v>
          </cell>
          <cell r="K24" t="str">
            <v>Lorenzo Di Pietrantonio</v>
          </cell>
          <cell r="L24" t="str">
            <v>MQ103309</v>
          </cell>
          <cell r="M24" t="e">
            <v>#N/A</v>
          </cell>
        </row>
        <row r="25">
          <cell r="A25" t="str">
            <v>MAC</v>
          </cell>
          <cell r="B25" t="str">
            <v>From Risk - Fund Responsibility - Model Portfolios</v>
          </cell>
          <cell r="C25" t="str">
            <v>Yes</v>
          </cell>
          <cell r="D25" t="str">
            <v>CAM Gennaio</v>
          </cell>
          <cell r="E25" t="str">
            <v>AMUNDI SGR</v>
          </cell>
          <cell r="F25" t="str">
            <v>PIM LTD</v>
          </cell>
          <cell r="G25" t="str">
            <v>Italy</v>
          </cell>
          <cell r="H25" t="str">
            <v>Unit Linked</v>
          </cell>
          <cell r="I25" t="str">
            <v>Capital Guaranteed / Protected</v>
          </cell>
          <cell r="J25" t="str">
            <v>CPPI / VAR</v>
          </cell>
          <cell r="K25" t="str">
            <v>Lorenzo Di Pietrantonio</v>
          </cell>
          <cell r="L25" t="str">
            <v>MQ103310</v>
          </cell>
          <cell r="M25" t="e">
            <v>#N/A</v>
          </cell>
        </row>
        <row r="26">
          <cell r="A26" t="str">
            <v>MAD</v>
          </cell>
          <cell r="B26" t="str">
            <v>From Risk - Fund Responsibility - Model Portfolios</v>
          </cell>
          <cell r="C26" t="str">
            <v>Yes</v>
          </cell>
          <cell r="D26" t="str">
            <v>CAM Febbraio</v>
          </cell>
          <cell r="E26" t="str">
            <v>AMUNDI SGR</v>
          </cell>
          <cell r="F26" t="str">
            <v>PIM LTD</v>
          </cell>
          <cell r="G26" t="str">
            <v>Italy</v>
          </cell>
          <cell r="H26" t="str">
            <v>Unit Linked</v>
          </cell>
          <cell r="I26" t="str">
            <v>Capital Guaranteed / Protected</v>
          </cell>
          <cell r="J26" t="str">
            <v>CPPI / VAR</v>
          </cell>
          <cell r="K26" t="str">
            <v>Lorenzo Di Pietrantonio</v>
          </cell>
          <cell r="L26" t="str">
            <v>MQ103311</v>
          </cell>
          <cell r="M26" t="e">
            <v>#N/A</v>
          </cell>
        </row>
        <row r="27">
          <cell r="A27" t="str">
            <v>MAE</v>
          </cell>
          <cell r="B27" t="str">
            <v>From Risk - Fund Responsibility - Model Portfolios</v>
          </cell>
          <cell r="C27" t="str">
            <v>Yes</v>
          </cell>
          <cell r="D27" t="str">
            <v>CAM Marzo</v>
          </cell>
          <cell r="E27" t="str">
            <v>AMUNDI SGR</v>
          </cell>
          <cell r="F27" t="str">
            <v>PIM LTD</v>
          </cell>
          <cell r="G27" t="str">
            <v>Italy</v>
          </cell>
          <cell r="H27" t="str">
            <v>Unit Linked</v>
          </cell>
          <cell r="I27" t="str">
            <v>Capital Guaranteed / Protected</v>
          </cell>
          <cell r="J27" t="str">
            <v>CPPI / VAR</v>
          </cell>
          <cell r="K27" t="str">
            <v>Lorenzo Di Pietrantonio</v>
          </cell>
          <cell r="L27" t="str">
            <v>MQ103312</v>
          </cell>
          <cell r="M27" t="e">
            <v>#N/A</v>
          </cell>
        </row>
        <row r="28">
          <cell r="A28" t="str">
            <v>MAF</v>
          </cell>
          <cell r="B28" t="str">
            <v>From Risk - Fund Responsibility - Model Portfolios</v>
          </cell>
          <cell r="C28" t="str">
            <v>Yes</v>
          </cell>
          <cell r="D28" t="str">
            <v>CAM Aprile</v>
          </cell>
          <cell r="E28" t="str">
            <v>AMUNDI SGR</v>
          </cell>
          <cell r="F28" t="str">
            <v>PIM LTD</v>
          </cell>
          <cell r="G28" t="str">
            <v>Italy</v>
          </cell>
          <cell r="H28" t="str">
            <v>Unit Linked</v>
          </cell>
          <cell r="I28" t="str">
            <v>Capital Guaranteed / Protected</v>
          </cell>
          <cell r="J28" t="str">
            <v>CPPI / VAR</v>
          </cell>
          <cell r="K28" t="str">
            <v>Lorenzo Di Pietrantonio</v>
          </cell>
          <cell r="L28" t="str">
            <v>MQ103313</v>
          </cell>
          <cell r="M28" t="e">
            <v>#N/A</v>
          </cell>
        </row>
        <row r="29">
          <cell r="A29" t="str">
            <v>MAG</v>
          </cell>
          <cell r="B29" t="str">
            <v>From Risk - Fund Responsibility - Model Portfolios</v>
          </cell>
          <cell r="C29" t="str">
            <v>Yes</v>
          </cell>
          <cell r="D29" t="str">
            <v>CAM Maggio</v>
          </cell>
          <cell r="E29" t="str">
            <v>AMUNDI SGR</v>
          </cell>
          <cell r="F29" t="str">
            <v>PIM LTD</v>
          </cell>
          <cell r="G29" t="str">
            <v>Italy</v>
          </cell>
          <cell r="H29" t="str">
            <v>Unit Linked</v>
          </cell>
          <cell r="I29" t="str">
            <v>Capital Guaranteed / Protected</v>
          </cell>
          <cell r="J29" t="str">
            <v>CPPI / VAR</v>
          </cell>
          <cell r="K29" t="str">
            <v>Lorenzo Di Pietrantonio</v>
          </cell>
          <cell r="L29" t="str">
            <v>MQ103314</v>
          </cell>
          <cell r="M29" t="e">
            <v>#N/A</v>
          </cell>
        </row>
        <row r="30">
          <cell r="A30" t="str">
            <v>MAH</v>
          </cell>
          <cell r="B30" t="str">
            <v>From Risk - Fund Responsibility - Model Portfolios</v>
          </cell>
          <cell r="C30" t="str">
            <v>Yes</v>
          </cell>
          <cell r="D30" t="str">
            <v>CAM Giugno</v>
          </cell>
          <cell r="E30" t="str">
            <v>AMUNDI SGR</v>
          </cell>
          <cell r="F30" t="str">
            <v>PIM LTD</v>
          </cell>
          <cell r="G30" t="str">
            <v>Italy</v>
          </cell>
          <cell r="H30" t="str">
            <v>Unit Linked</v>
          </cell>
          <cell r="I30" t="str">
            <v>Capital Guaranteed / Protected</v>
          </cell>
          <cell r="J30" t="str">
            <v>CPPI / VAR</v>
          </cell>
          <cell r="K30" t="str">
            <v>Lorenzo Di Pietrantonio</v>
          </cell>
          <cell r="L30" t="str">
            <v>MQ103315</v>
          </cell>
          <cell r="M30" t="e">
            <v>#N/A</v>
          </cell>
        </row>
        <row r="31">
          <cell r="A31" t="str">
            <v>PMAI</v>
          </cell>
          <cell r="B31" t="str">
            <v>From Risk - Fund Responsibility - Model Portfolios</v>
          </cell>
          <cell r="C31" t="str">
            <v>Yes</v>
          </cell>
          <cell r="D31" t="str">
            <v>CAM Luglio</v>
          </cell>
          <cell r="E31" t="str">
            <v>AMUNDI SGR</v>
          </cell>
          <cell r="F31" t="str">
            <v>PIM LTD</v>
          </cell>
          <cell r="G31" t="str">
            <v>Italy</v>
          </cell>
          <cell r="H31" t="str">
            <v>Unit Linked</v>
          </cell>
          <cell r="I31" t="str">
            <v>Capital Guaranteed / Protected</v>
          </cell>
          <cell r="J31" t="str">
            <v>CPPI / VAR</v>
          </cell>
          <cell r="K31" t="str">
            <v>Lorenzo Di Pietrantonio</v>
          </cell>
          <cell r="L31" t="str">
            <v>MQ103316</v>
          </cell>
          <cell r="M31" t="e">
            <v>#N/A</v>
          </cell>
        </row>
        <row r="32">
          <cell r="A32" t="str">
            <v>MAL</v>
          </cell>
          <cell r="B32" t="str">
            <v>From Risk - Fund Responsibility - Model Portfolios</v>
          </cell>
          <cell r="C32" t="str">
            <v>Yes</v>
          </cell>
          <cell r="D32" t="str">
            <v>CAM Agosto</v>
          </cell>
          <cell r="E32" t="str">
            <v>AMUNDI SGR</v>
          </cell>
          <cell r="F32" t="str">
            <v>PIM LTD</v>
          </cell>
          <cell r="G32" t="str">
            <v>Italy</v>
          </cell>
          <cell r="H32" t="str">
            <v>Unit Linked</v>
          </cell>
          <cell r="I32" t="str">
            <v>Capital Guaranteed / Protected</v>
          </cell>
          <cell r="J32" t="str">
            <v>CPPI / VAR</v>
          </cell>
          <cell r="K32" t="str">
            <v>Lorenzo Di Pietrantonio</v>
          </cell>
          <cell r="L32" t="str">
            <v>MQ103317</v>
          </cell>
          <cell r="M32" t="e">
            <v>#N/A</v>
          </cell>
        </row>
        <row r="33">
          <cell r="A33" t="str">
            <v>MAM</v>
          </cell>
          <cell r="B33" t="str">
            <v>From Risk - Fund Responsibility - Model Portfolios</v>
          </cell>
          <cell r="C33" t="str">
            <v>Yes</v>
          </cell>
          <cell r="D33" t="str">
            <v>CAM Settembre</v>
          </cell>
          <cell r="E33" t="str">
            <v>AMUNDI SGR</v>
          </cell>
          <cell r="F33" t="str">
            <v>PIM LTD</v>
          </cell>
          <cell r="G33" t="str">
            <v>Italy</v>
          </cell>
          <cell r="H33" t="str">
            <v>Unit Linked</v>
          </cell>
          <cell r="I33" t="str">
            <v>Capital Guaranteed / Protected</v>
          </cell>
          <cell r="J33" t="str">
            <v>CPPI / VAR</v>
          </cell>
          <cell r="K33" t="str">
            <v>Lorenzo Di Pietrantonio</v>
          </cell>
          <cell r="L33" t="str">
            <v>MQ103318</v>
          </cell>
          <cell r="M33" t="e">
            <v>#N/A</v>
          </cell>
        </row>
        <row r="34">
          <cell r="A34" t="str">
            <v>MAN</v>
          </cell>
          <cell r="B34" t="str">
            <v>From Risk - Fund Responsibility - Model Portfolios</v>
          </cell>
          <cell r="C34" t="str">
            <v>Yes</v>
          </cell>
          <cell r="D34" t="str">
            <v>CAM Ottobre</v>
          </cell>
          <cell r="E34" t="str">
            <v>AMUNDI SGR</v>
          </cell>
          <cell r="F34" t="str">
            <v>PIM LTD</v>
          </cell>
          <cell r="G34" t="str">
            <v>Italy</v>
          </cell>
          <cell r="H34" t="str">
            <v>Unit Linked</v>
          </cell>
          <cell r="I34" t="str">
            <v>Capital Guaranteed / Protected</v>
          </cell>
          <cell r="J34" t="str">
            <v>CPPI / VAR</v>
          </cell>
          <cell r="K34" t="str">
            <v>Lorenzo Di Pietrantonio</v>
          </cell>
          <cell r="L34" t="str">
            <v>MQ103319</v>
          </cell>
          <cell r="M34" t="e">
            <v>#N/A</v>
          </cell>
        </row>
        <row r="35">
          <cell r="A35" t="str">
            <v>MATRUNIP</v>
          </cell>
          <cell r="B35" t="str">
            <v>From Risk - Fund Responsibility - Model Portfolios</v>
          </cell>
          <cell r="C35" t="str">
            <v>Yes</v>
          </cell>
          <cell r="D35" t="str">
            <v>Unit Linked A TR UNIPLAN</v>
          </cell>
          <cell r="E35" t="str">
            <v>AMUNDI SGR</v>
          </cell>
          <cell r="F35" t="str">
            <v>PIM LTD</v>
          </cell>
          <cell r="G35" t="str">
            <v>Italy</v>
          </cell>
          <cell r="H35" t="str">
            <v>Unit Linked</v>
          </cell>
          <cell r="I35" t="str">
            <v>Absolute Return</v>
          </cell>
          <cell r="J35" t="str">
            <v>Multi Asset</v>
          </cell>
          <cell r="K35" t="str">
            <v>Lorenzo Di Pietrantonio</v>
          </cell>
          <cell r="L35" t="str">
            <v>MQ101784</v>
          </cell>
          <cell r="M35" t="e">
            <v>#N/A</v>
          </cell>
        </row>
        <row r="36">
          <cell r="A36" t="str">
            <v>MEMBOND</v>
          </cell>
          <cell r="B36" t="str">
            <v>From Risk - Fund Responsibility - Model Portfolios</v>
          </cell>
          <cell r="C36" t="e">
            <v>#N/A</v>
          </cell>
          <cell r="D36" t="str">
            <v>MODELLO EMERGING MARKET BOND</v>
          </cell>
          <cell r="E36" t="str">
            <v>AMUNDI SGR</v>
          </cell>
          <cell r="F36" t="str">
            <v>PIM LTD</v>
          </cell>
          <cell r="G36" t="str">
            <v>Italy</v>
          </cell>
          <cell r="H36" t="str">
            <v>Segregate Account</v>
          </cell>
          <cell r="I36" t="e">
            <v>#N/A</v>
          </cell>
          <cell r="J36" t="e">
            <v>#N/A</v>
          </cell>
          <cell r="K36" t="str">
            <v>Filippo Valvona</v>
          </cell>
          <cell r="L36" t="str">
            <v>MQ102412</v>
          </cell>
          <cell r="M36" t="e">
            <v>#N/A</v>
          </cell>
        </row>
        <row r="37">
          <cell r="A37" t="str">
            <v>MEP</v>
          </cell>
          <cell r="B37" t="str">
            <v>From Risk - Fund Responsibility - Model Portfolios</v>
          </cell>
          <cell r="C37" t="e">
            <v>#N/A</v>
          </cell>
          <cell r="D37" t="str">
            <v>PIP_ Equity</v>
          </cell>
          <cell r="E37" t="str">
            <v>AMUNDI SGR</v>
          </cell>
          <cell r="F37" t="str">
            <v>PIM LTD</v>
          </cell>
          <cell r="G37" t="str">
            <v>Italy</v>
          </cell>
          <cell r="H37" t="str">
            <v>Unit Linked</v>
          </cell>
          <cell r="I37" t="str">
            <v>Equity</v>
          </cell>
          <cell r="J37" t="str">
            <v>Blend</v>
          </cell>
          <cell r="K37" t="str">
            <v>Andrew Arbuthnott</v>
          </cell>
          <cell r="L37" t="str">
            <v>MQ100167</v>
          </cell>
          <cell r="M37" t="e">
            <v>#N/A</v>
          </cell>
        </row>
        <row r="38">
          <cell r="A38" t="str">
            <v>MEPF10</v>
          </cell>
          <cell r="B38" t="str">
            <v>From Risk - Fund Responsibility - Model Portfolios</v>
          </cell>
          <cell r="C38" t="str">
            <v>Yes</v>
          </cell>
          <cell r="D38" t="str">
            <v>Unit Linked G5 New</v>
          </cell>
          <cell r="E38" t="str">
            <v>AMUNDI SGR</v>
          </cell>
          <cell r="F38" t="str">
            <v>PIM LTD</v>
          </cell>
          <cell r="G38" t="str">
            <v>Italy</v>
          </cell>
          <cell r="H38" t="str">
            <v>Unit Linked</v>
          </cell>
          <cell r="I38" t="str">
            <v>Asset Allocation</v>
          </cell>
          <cell r="J38" t="str">
            <v>Aggressive</v>
          </cell>
          <cell r="K38" t="str">
            <v>PierPaolo Paparo</v>
          </cell>
          <cell r="L38" t="str">
            <v>MQ100415</v>
          </cell>
          <cell r="M38" t="e">
            <v>#N/A</v>
          </cell>
        </row>
        <row r="39">
          <cell r="A39" t="str">
            <v>MEPF2N</v>
          </cell>
          <cell r="B39" t="str">
            <v>From Risk - Fund Responsibility - Model Portfolios</v>
          </cell>
          <cell r="C39" t="str">
            <v>Yes</v>
          </cell>
          <cell r="D39" t="str">
            <v>Unit Linked E2 New</v>
          </cell>
          <cell r="E39" t="str">
            <v>AMUNDI SGR</v>
          </cell>
          <cell r="F39" t="str">
            <v>PIM LTD</v>
          </cell>
          <cell r="G39" t="str">
            <v>Italy</v>
          </cell>
          <cell r="H39" t="str">
            <v xml:space="preserve">Unit Linked </v>
          </cell>
          <cell r="I39" t="str">
            <v>Asset Allocation</v>
          </cell>
          <cell r="J39" t="str">
            <v>Cautious</v>
          </cell>
          <cell r="K39" t="str">
            <v>PierPaolo Paparo</v>
          </cell>
          <cell r="L39" t="str">
            <v>MQ100399</v>
          </cell>
          <cell r="M39" t="e">
            <v>#N/A</v>
          </cell>
        </row>
        <row r="40">
          <cell r="A40" t="str">
            <v>MEPF4</v>
          </cell>
          <cell r="B40" t="str">
            <v>From Risk - Fund Responsibility - Model Portfolios</v>
          </cell>
          <cell r="C40" t="str">
            <v>Yes</v>
          </cell>
          <cell r="D40" t="str">
            <v>Unit Linked OLD 4</v>
          </cell>
          <cell r="E40" t="str">
            <v>AMUNDI SGR</v>
          </cell>
          <cell r="F40" t="str">
            <v>PIM LTD</v>
          </cell>
          <cell r="G40" t="str">
            <v>Italy</v>
          </cell>
          <cell r="H40" t="str">
            <v xml:space="preserve">Unit Linked </v>
          </cell>
          <cell r="I40" t="str">
            <v>Asset Allocation</v>
          </cell>
          <cell r="J40" t="str">
            <v>Cautious</v>
          </cell>
          <cell r="K40" t="str">
            <v>PierPaolo Paparo</v>
          </cell>
          <cell r="L40" t="str">
            <v>MQ100421</v>
          </cell>
          <cell r="M40" t="e">
            <v>#N/A</v>
          </cell>
        </row>
        <row r="41">
          <cell r="A41" t="str">
            <v>MEPF5</v>
          </cell>
          <cell r="B41" t="str">
            <v>From Risk - Fund Responsibility - Model Portfolios</v>
          </cell>
          <cell r="C41" t="str">
            <v>Yes</v>
          </cell>
          <cell r="D41" t="str">
            <v>Unit Linked E3 new</v>
          </cell>
          <cell r="E41" t="str">
            <v>AMUNDI SGR</v>
          </cell>
          <cell r="F41" t="str">
            <v>PIM LTD</v>
          </cell>
          <cell r="G41" t="str">
            <v>Italy</v>
          </cell>
          <cell r="H41" t="str">
            <v xml:space="preserve">Unit Linked </v>
          </cell>
          <cell r="I41" t="str">
            <v>Asset Allocation</v>
          </cell>
          <cell r="J41" t="str">
            <v>Cautious</v>
          </cell>
          <cell r="K41" t="str">
            <v>PierPaolo Paparo</v>
          </cell>
          <cell r="L41" t="str">
            <v>MQ100401</v>
          </cell>
          <cell r="M41" t="e">
            <v>#N/A</v>
          </cell>
        </row>
        <row r="42">
          <cell r="A42" t="str">
            <v>MEPF6</v>
          </cell>
          <cell r="B42" t="str">
            <v>From Risk - Fund Responsibility - Model Portfolios</v>
          </cell>
          <cell r="C42" t="str">
            <v>Yes</v>
          </cell>
          <cell r="D42" t="str">
            <v>Unit Linked E4 new</v>
          </cell>
          <cell r="E42" t="str">
            <v>AMUNDI SGR</v>
          </cell>
          <cell r="F42" t="str">
            <v>PIM LTD</v>
          </cell>
          <cell r="G42" t="str">
            <v>Italy</v>
          </cell>
          <cell r="H42" t="str">
            <v xml:space="preserve">Unit Linked </v>
          </cell>
          <cell r="I42" t="str">
            <v>Asset Allocation</v>
          </cell>
          <cell r="J42" t="str">
            <v>Moderate</v>
          </cell>
          <cell r="K42" t="str">
            <v>PierPaolo Paparo</v>
          </cell>
          <cell r="L42" t="str">
            <v>MQ100405</v>
          </cell>
          <cell r="M42" t="e">
            <v>#N/A</v>
          </cell>
        </row>
        <row r="43">
          <cell r="A43" t="str">
            <v>MEPF8</v>
          </cell>
          <cell r="B43" t="str">
            <v>From Risk - Fund Responsibility - Model Portfolios</v>
          </cell>
          <cell r="C43" t="str">
            <v>Yes</v>
          </cell>
          <cell r="D43" t="str">
            <v>Unit Linked E6 New</v>
          </cell>
          <cell r="E43" t="str">
            <v>AMUNDI SGR</v>
          </cell>
          <cell r="F43" t="str">
            <v>PIM LTD</v>
          </cell>
          <cell r="G43" t="str">
            <v>Italy</v>
          </cell>
          <cell r="H43" t="str">
            <v>Unit Linked</v>
          </cell>
          <cell r="I43" t="str">
            <v>Asset Allocation</v>
          </cell>
          <cell r="J43" t="str">
            <v>Aggressive</v>
          </cell>
          <cell r="K43" t="str">
            <v>PierPaolo Paparo</v>
          </cell>
          <cell r="L43" t="str">
            <v>MQ100409</v>
          </cell>
          <cell r="M43" t="e">
            <v>#N/A</v>
          </cell>
        </row>
        <row r="44">
          <cell r="A44" t="str">
            <v>MERE</v>
          </cell>
          <cell r="B44" t="str">
            <v>From Risk - Fund Responsibility - Model Portfolios</v>
          </cell>
          <cell r="C44" t="e">
            <v>#N/A</v>
          </cell>
          <cell r="D44" t="str">
            <v>MULTIBRAND European Real Estate</v>
          </cell>
          <cell r="E44" t="str">
            <v>AMUNDI SGR</v>
          </cell>
          <cell r="F44" t="str">
            <v>PIM LTD</v>
          </cell>
          <cell r="G44" t="str">
            <v>Italy</v>
          </cell>
          <cell r="H44" t="str">
            <v>Segregate Account</v>
          </cell>
          <cell r="I44" t="e">
            <v>#N/A</v>
          </cell>
          <cell r="J44" t="e">
            <v>#N/A</v>
          </cell>
          <cell r="K44" t="str">
            <v>Gillian Jones</v>
          </cell>
          <cell r="L44" t="str">
            <v>MQ102797</v>
          </cell>
          <cell r="M44" t="e">
            <v>#N/A</v>
          </cell>
        </row>
        <row r="45">
          <cell r="A45" t="str">
            <v>MGLHIYI</v>
          </cell>
          <cell r="B45" t="str">
            <v>From Risk - Fund Responsibility - Model Portfolios</v>
          </cell>
          <cell r="C45" t="e">
            <v>#N/A</v>
          </cell>
          <cell r="D45" t="str">
            <v>MODELLO GLOBAL HIGH YIELD</v>
          </cell>
          <cell r="E45" t="str">
            <v>AMUNDI SGR</v>
          </cell>
          <cell r="F45" t="str">
            <v>PIM LTD</v>
          </cell>
          <cell r="G45" t="str">
            <v>Italy</v>
          </cell>
          <cell r="H45" t="str">
            <v>Segregate Account</v>
          </cell>
          <cell r="I45" t="e">
            <v>#N/A</v>
          </cell>
          <cell r="J45" t="e">
            <v>#N/A</v>
          </cell>
          <cell r="K45" t="str">
            <v>Alan Butterly</v>
          </cell>
          <cell r="L45" t="str">
            <v>MQ102415</v>
          </cell>
          <cell r="M45" t="e">
            <v>#N/A</v>
          </cell>
        </row>
        <row r="46">
          <cell r="A46" t="str">
            <v>MGUPAMSF1</v>
          </cell>
          <cell r="B46" t="str">
            <v>From Risk - Fund Responsibility - Model Portfolios</v>
          </cell>
          <cell r="C46" t="str">
            <v>Yes</v>
          </cell>
          <cell r="D46" t="str">
            <v>UBP GLOBAL SF 1</v>
          </cell>
          <cell r="E46" t="str">
            <v>AMUNDI SGR</v>
          </cell>
          <cell r="F46" t="str">
            <v>PIM LTD</v>
          </cell>
          <cell r="G46" t="str">
            <v>Italy</v>
          </cell>
          <cell r="H46" t="str">
            <v>Segregate Account</v>
          </cell>
          <cell r="I46" t="str">
            <v>Asset Allocation</v>
          </cell>
          <cell r="J46" t="str">
            <v>Cautious</v>
          </cell>
          <cell r="K46" t="str">
            <v>PierPaolo Paparo</v>
          </cell>
          <cell r="L46" t="str">
            <v>MQ100459</v>
          </cell>
          <cell r="M46" t="e">
            <v>#N/A</v>
          </cell>
        </row>
        <row r="47">
          <cell r="A47" t="str">
            <v>MGUPAMSF2</v>
          </cell>
          <cell r="B47" t="str">
            <v>From Risk - Fund Responsibility - Model Portfolios</v>
          </cell>
          <cell r="C47" t="str">
            <v>Yes</v>
          </cell>
          <cell r="D47" t="str">
            <v>UBP GLOBAL SF 2</v>
          </cell>
          <cell r="E47" t="str">
            <v>AMUNDI SGR</v>
          </cell>
          <cell r="F47" t="str">
            <v>PIM LTD</v>
          </cell>
          <cell r="G47" t="str">
            <v>Italy</v>
          </cell>
          <cell r="H47" t="str">
            <v>Segregate Account</v>
          </cell>
          <cell r="I47" t="str">
            <v>Asset Allocation</v>
          </cell>
          <cell r="J47" t="str">
            <v>Cautious</v>
          </cell>
          <cell r="K47" t="str">
            <v>PierPaolo Paparo</v>
          </cell>
          <cell r="L47" t="str">
            <v>MQ100461</v>
          </cell>
          <cell r="M47" t="e">
            <v>#N/A</v>
          </cell>
        </row>
        <row r="48">
          <cell r="A48" t="str">
            <v>MGUPAMSF3</v>
          </cell>
          <cell r="B48" t="str">
            <v>From Risk - Fund Responsibility - Model Portfolios</v>
          </cell>
          <cell r="C48" t="str">
            <v>Yes</v>
          </cell>
          <cell r="D48" t="str">
            <v>UBP GLOBAL SF 3</v>
          </cell>
          <cell r="E48" t="str">
            <v>AMUNDI SGR</v>
          </cell>
          <cell r="F48" t="str">
            <v>PIM LTD</v>
          </cell>
          <cell r="G48" t="str">
            <v>Italy</v>
          </cell>
          <cell r="H48" t="str">
            <v>Segregate Account</v>
          </cell>
          <cell r="I48" t="str">
            <v>Asset Allocation</v>
          </cell>
          <cell r="J48" t="str">
            <v>Moderate</v>
          </cell>
          <cell r="K48" t="str">
            <v>PierPaolo Paparo</v>
          </cell>
          <cell r="L48" t="str">
            <v>MQ100463</v>
          </cell>
          <cell r="M48" t="e">
            <v>#N/A</v>
          </cell>
        </row>
        <row r="49">
          <cell r="A49" t="str">
            <v>MGUPAMSF4</v>
          </cell>
          <cell r="B49" t="str">
            <v>From Risk - Fund Responsibility - Model Portfolios</v>
          </cell>
          <cell r="C49" t="str">
            <v>Yes</v>
          </cell>
          <cell r="D49" t="str">
            <v>UBP GLOBAL SF 4</v>
          </cell>
          <cell r="E49" t="str">
            <v>AMUNDI SGR</v>
          </cell>
          <cell r="F49" t="str">
            <v>PIM LTD</v>
          </cell>
          <cell r="G49" t="str">
            <v>Italy</v>
          </cell>
          <cell r="H49" t="str">
            <v>Segregate Account</v>
          </cell>
          <cell r="I49" t="str">
            <v>Asset Allocation</v>
          </cell>
          <cell r="J49" t="str">
            <v>Moderate</v>
          </cell>
          <cell r="K49" t="str">
            <v>PierPaolo Paparo</v>
          </cell>
          <cell r="L49" t="str">
            <v>MQ100465</v>
          </cell>
          <cell r="M49" t="e">
            <v>#N/A</v>
          </cell>
        </row>
        <row r="50">
          <cell r="A50" t="str">
            <v>MGUPAMSF5</v>
          </cell>
          <cell r="B50" t="str">
            <v>From Risk - Fund Responsibility - Model Portfolios</v>
          </cell>
          <cell r="C50" t="str">
            <v>Yes</v>
          </cell>
          <cell r="D50" t="str">
            <v>UBP GLOBAL SF 5</v>
          </cell>
          <cell r="E50" t="str">
            <v>AMUNDI SGR</v>
          </cell>
          <cell r="F50" t="str">
            <v>PIM LTD</v>
          </cell>
          <cell r="G50" t="str">
            <v>Italy</v>
          </cell>
          <cell r="H50" t="str">
            <v>Segregate Account</v>
          </cell>
          <cell r="I50" t="str">
            <v>Asset Allocation</v>
          </cell>
          <cell r="J50" t="str">
            <v>Aggressive</v>
          </cell>
          <cell r="K50" t="str">
            <v>PierPaolo Paparo</v>
          </cell>
          <cell r="L50" t="str">
            <v>MQ100467</v>
          </cell>
          <cell r="M50" t="e">
            <v>#N/A</v>
          </cell>
        </row>
        <row r="51">
          <cell r="A51" t="str">
            <v>MGUPAMTF1</v>
          </cell>
          <cell r="B51" t="str">
            <v>From Risk - Fund Responsibility - Model Portfolios</v>
          </cell>
          <cell r="C51" t="str">
            <v>Yes</v>
          </cell>
          <cell r="D51" t="str">
            <v>UBP GLOBAL TF 1</v>
          </cell>
          <cell r="E51" t="str">
            <v>AMUNDI SGR</v>
          </cell>
          <cell r="F51" t="str">
            <v>PIM LTD</v>
          </cell>
          <cell r="G51" t="str">
            <v>Italy</v>
          </cell>
          <cell r="H51" t="str">
            <v>Segregate Account</v>
          </cell>
          <cell r="I51" t="e">
            <v>#N/A</v>
          </cell>
          <cell r="J51" t="e">
            <v>#N/A</v>
          </cell>
          <cell r="K51" t="str">
            <v>Elisabetta Brescacin</v>
          </cell>
          <cell r="L51" t="str">
            <v>MQ100469</v>
          </cell>
          <cell r="M51" t="e">
            <v>#N/A</v>
          </cell>
        </row>
        <row r="52">
          <cell r="A52" t="str">
            <v>MGUPAMTF2</v>
          </cell>
          <cell r="B52" t="str">
            <v>From Risk - Fund Responsibility - Model Portfolios</v>
          </cell>
          <cell r="C52" t="str">
            <v>Yes</v>
          </cell>
          <cell r="D52" t="str">
            <v>UBP GLOBAL TF 2</v>
          </cell>
          <cell r="E52" t="str">
            <v>AMUNDI SGR</v>
          </cell>
          <cell r="F52" t="str">
            <v>PIM LTD</v>
          </cell>
          <cell r="G52" t="str">
            <v>Italy</v>
          </cell>
          <cell r="H52" t="str">
            <v>Segregate Account</v>
          </cell>
          <cell r="I52" t="e">
            <v>#N/A</v>
          </cell>
          <cell r="J52" t="e">
            <v>#N/A</v>
          </cell>
          <cell r="K52" t="str">
            <v>Elisabetta Brescacin</v>
          </cell>
          <cell r="L52" t="str">
            <v>MQ100471</v>
          </cell>
          <cell r="M52" t="e">
            <v>#N/A</v>
          </cell>
        </row>
        <row r="53">
          <cell r="A53" t="str">
            <v>MGUPAMTF3</v>
          </cell>
          <cell r="B53" t="str">
            <v>From Risk - Fund Responsibility - Model Portfolios</v>
          </cell>
          <cell r="C53" t="str">
            <v>Yes</v>
          </cell>
          <cell r="D53" t="str">
            <v>UBP GLOBAL TF 3</v>
          </cell>
          <cell r="E53" t="str">
            <v>AMUNDI SGR</v>
          </cell>
          <cell r="F53" t="str">
            <v>PIM LTD</v>
          </cell>
          <cell r="G53" t="str">
            <v>Italy</v>
          </cell>
          <cell r="H53" t="str">
            <v>Segregate Account</v>
          </cell>
          <cell r="I53" t="e">
            <v>#N/A</v>
          </cell>
          <cell r="J53" t="e">
            <v>#N/A</v>
          </cell>
          <cell r="K53" t="str">
            <v>Elisabetta Brescacin</v>
          </cell>
          <cell r="L53" t="str">
            <v>MQ100473</v>
          </cell>
          <cell r="M53" t="e">
            <v>#N/A</v>
          </cell>
        </row>
        <row r="54">
          <cell r="A54" t="str">
            <v>MGUPAMTF4</v>
          </cell>
          <cell r="B54" t="str">
            <v>From Risk - Fund Responsibility - Model Portfolios</v>
          </cell>
          <cell r="C54" t="str">
            <v>Yes</v>
          </cell>
          <cell r="D54" t="str">
            <v>UBP GLOBAL TF 4</v>
          </cell>
          <cell r="E54" t="str">
            <v>AMUNDI SGR</v>
          </cell>
          <cell r="F54" t="str">
            <v>PIM LTD</v>
          </cell>
          <cell r="G54" t="str">
            <v>Italy</v>
          </cell>
          <cell r="H54" t="str">
            <v>Segregate Account</v>
          </cell>
          <cell r="I54" t="e">
            <v>#N/A</v>
          </cell>
          <cell r="J54" t="e">
            <v>#N/A</v>
          </cell>
          <cell r="K54" t="str">
            <v>Elisabetta Brescacin</v>
          </cell>
          <cell r="L54" t="str">
            <v>MQ100475</v>
          </cell>
          <cell r="M54" t="e">
            <v>#N/A</v>
          </cell>
        </row>
        <row r="55">
          <cell r="A55" t="str">
            <v>MGUPAMTF5</v>
          </cell>
          <cell r="B55" t="str">
            <v>From Risk - Fund Responsibility - Model Portfolios</v>
          </cell>
          <cell r="C55" t="str">
            <v>Yes</v>
          </cell>
          <cell r="D55" t="str">
            <v>UBP GLOBAL TF 5</v>
          </cell>
          <cell r="E55" t="str">
            <v>AMUNDI SGR</v>
          </cell>
          <cell r="F55" t="str">
            <v>PIM LTD</v>
          </cell>
          <cell r="G55" t="str">
            <v>Italy</v>
          </cell>
          <cell r="H55" t="str">
            <v>Segregate Account</v>
          </cell>
          <cell r="I55" t="e">
            <v>#N/A</v>
          </cell>
          <cell r="J55" t="e">
            <v>#N/A</v>
          </cell>
          <cell r="K55" t="str">
            <v>Elisabetta Brescacin</v>
          </cell>
          <cell r="L55" t="str">
            <v>MQ100477</v>
          </cell>
          <cell r="M55" t="e">
            <v>#N/A</v>
          </cell>
        </row>
        <row r="56">
          <cell r="A56" t="str">
            <v>MLIFEBND</v>
          </cell>
          <cell r="B56" t="str">
            <v>From Risk - Fund Responsibility - Model Portfolios</v>
          </cell>
          <cell r="C56" t="str">
            <v>Yes</v>
          </cell>
          <cell r="D56" t="str">
            <v>Life Program Bond</v>
          </cell>
          <cell r="E56" t="str">
            <v>AMUNDI SGR</v>
          </cell>
          <cell r="F56" t="str">
            <v>PIM LTD</v>
          </cell>
          <cell r="G56" t="str">
            <v>Italy</v>
          </cell>
          <cell r="H56" t="str">
            <v xml:space="preserve">Unit Linked </v>
          </cell>
          <cell r="I56" t="str">
            <v>Bond</v>
          </cell>
          <cell r="J56" t="str">
            <v>Aggregate</v>
          </cell>
          <cell r="K56" t="str">
            <v>PierPaolo Paparo</v>
          </cell>
          <cell r="L56" t="str">
            <v>MQ102345</v>
          </cell>
          <cell r="M56" t="e">
            <v>#N/A</v>
          </cell>
        </row>
        <row r="57">
          <cell r="A57" t="str">
            <v>MLINC</v>
          </cell>
          <cell r="B57" t="str">
            <v>From Risk - Fund Responsibility - Model Portfolios</v>
          </cell>
          <cell r="C57" t="str">
            <v>Yes</v>
          </cell>
          <cell r="D57" t="str">
            <v>UL Life Income</v>
          </cell>
          <cell r="E57" t="str">
            <v>AMUNDI SGR</v>
          </cell>
          <cell r="F57" t="str">
            <v>PIM LTD</v>
          </cell>
          <cell r="G57" t="str">
            <v>Italy</v>
          </cell>
          <cell r="H57" t="str">
            <v>Unit Linked</v>
          </cell>
          <cell r="I57" t="str">
            <v>Absolute Return</v>
          </cell>
          <cell r="J57" t="str">
            <v>Multi Asset</v>
          </cell>
          <cell r="K57" t="str">
            <v>Paul Weber</v>
          </cell>
          <cell r="L57" t="str">
            <v>MQ104381</v>
          </cell>
          <cell r="M57" t="e">
            <v>#N/A</v>
          </cell>
        </row>
        <row r="58">
          <cell r="A58" t="str">
            <v>MLPFLEX</v>
          </cell>
          <cell r="B58" t="str">
            <v>From Risk - Fund Responsibility - Model Portfolios</v>
          </cell>
          <cell r="C58" t="str">
            <v>Yes</v>
          </cell>
          <cell r="D58" t="str">
            <v>Life Program Flessibile</v>
          </cell>
          <cell r="E58" t="str">
            <v>AMUNDI SGR</v>
          </cell>
          <cell r="F58" t="str">
            <v>PIM LTD</v>
          </cell>
          <cell r="G58" t="str">
            <v>Italy</v>
          </cell>
          <cell r="H58" t="str">
            <v>Unit Linked</v>
          </cell>
          <cell r="I58" t="str">
            <v>Absolute Return</v>
          </cell>
          <cell r="J58" t="str">
            <v>Multi Asset</v>
          </cell>
          <cell r="K58" t="str">
            <v>Lorenzo Di Pietrantonio</v>
          </cell>
          <cell r="L58" t="str">
            <v>MQ102364</v>
          </cell>
          <cell r="M58" t="e">
            <v>#N/A</v>
          </cell>
        </row>
        <row r="59">
          <cell r="A59" t="str">
            <v>MMBAPXJ</v>
          </cell>
          <cell r="B59" t="str">
            <v>From Risk - Fund Responsibility - Model Portfolios</v>
          </cell>
          <cell r="C59" t="e">
            <v>#N/A</v>
          </cell>
          <cell r="D59" t="str">
            <v>Multibrand Azionario Asia pacific ex Japan</v>
          </cell>
          <cell r="E59" t="str">
            <v>AMUNDI SGR</v>
          </cell>
          <cell r="F59" t="str">
            <v>PIM LTD</v>
          </cell>
          <cell r="G59" t="str">
            <v>Italy</v>
          </cell>
          <cell r="H59" t="str">
            <v>Segregate Account</v>
          </cell>
          <cell r="I59" t="e">
            <v>#N/A</v>
          </cell>
          <cell r="J59" t="e">
            <v>#N/A</v>
          </cell>
          <cell r="K59" t="str">
            <v>Gary Moglione</v>
          </cell>
          <cell r="L59" t="str">
            <v>MQ102416</v>
          </cell>
          <cell r="M59" t="e">
            <v>#N/A</v>
          </cell>
        </row>
        <row r="60">
          <cell r="A60" t="str">
            <v>MMBAZJAP</v>
          </cell>
          <cell r="B60" t="str">
            <v>From Risk - Fund Responsibility - Model Portfolios</v>
          </cell>
          <cell r="C60" t="e">
            <v>#N/A</v>
          </cell>
          <cell r="D60" t="str">
            <v>Multibrand Azionario Giaponne</v>
          </cell>
          <cell r="E60" t="str">
            <v>AMUNDI SGR</v>
          </cell>
          <cell r="F60" t="str">
            <v>PIM LTD</v>
          </cell>
          <cell r="G60" t="str">
            <v>Italy</v>
          </cell>
          <cell r="H60" t="str">
            <v>Segregate Account</v>
          </cell>
          <cell r="I60" t="e">
            <v>#N/A</v>
          </cell>
          <cell r="J60" t="e">
            <v>#N/A</v>
          </cell>
          <cell r="K60" t="str">
            <v>Paul Weber</v>
          </cell>
          <cell r="L60" t="str">
            <v>MQ102420</v>
          </cell>
          <cell r="M60" t="e">
            <v>#N/A</v>
          </cell>
        </row>
        <row r="61">
          <cell r="A61" t="str">
            <v>MMBAZUSAHG</v>
          </cell>
          <cell r="B61" t="str">
            <v>From Risk - Fund Responsibility - Model Portfolios</v>
          </cell>
          <cell r="C61" t="e">
            <v>#N/A</v>
          </cell>
          <cell r="D61" t="str">
            <v>Multibrand Azionario America Hedged</v>
          </cell>
          <cell r="E61" t="str">
            <v>AMUNDI SGR</v>
          </cell>
          <cell r="F61" t="str">
            <v>PIM LTD</v>
          </cell>
          <cell r="G61" t="str">
            <v>Italy</v>
          </cell>
          <cell r="H61" t="str">
            <v>Segregate Account</v>
          </cell>
          <cell r="I61" t="e">
            <v>#N/A</v>
          </cell>
          <cell r="J61" t="e">
            <v>#N/A</v>
          </cell>
          <cell r="K61" t="str">
            <v>Frank Gans</v>
          </cell>
          <cell r="L61" t="str">
            <v>MQ102422</v>
          </cell>
          <cell r="M61" t="e">
            <v>#N/A</v>
          </cell>
        </row>
        <row r="62">
          <cell r="A62" t="str">
            <v>MMBOBEU</v>
          </cell>
          <cell r="B62" t="str">
            <v>From Risk - Fund Responsibility - Model Portfolios</v>
          </cell>
          <cell r="C62" t="e">
            <v>#N/A</v>
          </cell>
          <cell r="D62" t="str">
            <v>Multibrand Euro Bond</v>
          </cell>
          <cell r="E62" t="str">
            <v>AMUNDI SGR</v>
          </cell>
          <cell r="F62" t="str">
            <v>PIM LTD</v>
          </cell>
          <cell r="G62" t="str">
            <v>Italy</v>
          </cell>
          <cell r="H62" t="str">
            <v>Segregate Account</v>
          </cell>
          <cell r="I62" t="e">
            <v>#N/A</v>
          </cell>
          <cell r="J62" t="e">
            <v>#N/A</v>
          </cell>
          <cell r="K62" t="str">
            <v>Flavia Bucci</v>
          </cell>
          <cell r="L62" t="str">
            <v>MQ102425</v>
          </cell>
          <cell r="M62" t="e">
            <v>#N/A</v>
          </cell>
        </row>
        <row r="63">
          <cell r="A63" t="str">
            <v>MPPC</v>
          </cell>
          <cell r="B63" t="str">
            <v>From Risk - Fund Responsibility - Model Portfolios</v>
          </cell>
          <cell r="C63" t="e">
            <v>#N/A</v>
          </cell>
          <cell r="D63" t="str">
            <v>PP Commodities</v>
          </cell>
          <cell r="E63" t="str">
            <v>AMUNDI SGR</v>
          </cell>
          <cell r="F63" t="str">
            <v>PIM LTD</v>
          </cell>
          <cell r="G63" t="str">
            <v>Italy</v>
          </cell>
          <cell r="H63" t="str">
            <v>Segregate Account</v>
          </cell>
          <cell r="I63" t="e">
            <v>#N/A</v>
          </cell>
          <cell r="J63" t="e">
            <v>#N/A</v>
          </cell>
          <cell r="K63" t="str">
            <v>Gillian Jones</v>
          </cell>
          <cell r="L63" t="str">
            <v>MQ102745</v>
          </cell>
          <cell r="M63" t="e">
            <v>#N/A</v>
          </cell>
        </row>
        <row r="64">
          <cell r="A64" t="str">
            <v>MULLI360</v>
          </cell>
          <cell r="B64" t="str">
            <v>From Risk - Fund Responsibility - Model Portfolios</v>
          </cell>
          <cell r="C64" t="str">
            <v>Yes</v>
          </cell>
          <cell r="D64" t="str">
            <v>UL Life Income 360</v>
          </cell>
          <cell r="E64" t="str">
            <v>AMUNDI SGR</v>
          </cell>
          <cell r="F64" t="str">
            <v>PIM LTD</v>
          </cell>
          <cell r="G64" t="str">
            <v>Italy</v>
          </cell>
          <cell r="H64" t="str">
            <v>Unit Linked</v>
          </cell>
          <cell r="I64" t="str">
            <v>Absolute Return</v>
          </cell>
          <cell r="J64" t="str">
            <v>Multi Asset</v>
          </cell>
          <cell r="K64" t="str">
            <v>Paul Weber</v>
          </cell>
          <cell r="L64" t="str">
            <v>MQ104408</v>
          </cell>
          <cell r="M64" t="e">
            <v>#N/A</v>
          </cell>
        </row>
        <row r="65">
          <cell r="A65" t="str">
            <v>MUNIP</v>
          </cell>
          <cell r="B65" t="str">
            <v>From Risk - Fund Responsibility - Model Portfolios</v>
          </cell>
          <cell r="C65" t="str">
            <v>Yes</v>
          </cell>
          <cell r="D65" t="str">
            <v>Unit Linked AMix UNIPLAN</v>
          </cell>
          <cell r="E65" t="str">
            <v>AMUNDI SGR</v>
          </cell>
          <cell r="F65" t="str">
            <v>PIM LTD</v>
          </cell>
          <cell r="G65" t="str">
            <v>Italy</v>
          </cell>
          <cell r="H65" t="str">
            <v xml:space="preserve">Unit Linked </v>
          </cell>
          <cell r="I65" t="str">
            <v>Asset Allocation</v>
          </cell>
          <cell r="J65" t="str">
            <v>Moderate</v>
          </cell>
          <cell r="K65" t="str">
            <v>PierPaolo Paparo</v>
          </cell>
          <cell r="L65" t="str">
            <v>MQ101661</v>
          </cell>
          <cell r="M65" t="e">
            <v>#N/A</v>
          </cell>
        </row>
        <row r="66">
          <cell r="A66" t="str">
            <v>MUSI</v>
          </cell>
          <cell r="B66" t="str">
            <v>From Risk - Fund Responsibility - Model Portfolios</v>
          </cell>
          <cell r="C66" t="str">
            <v>Yes</v>
          </cell>
          <cell r="D66" t="str">
            <v>Univalore Stars Income</v>
          </cell>
          <cell r="E66" t="str">
            <v>AMUNDI SGR</v>
          </cell>
          <cell r="F66" t="str">
            <v>PIM LTD</v>
          </cell>
          <cell r="G66" t="str">
            <v>Italy</v>
          </cell>
          <cell r="H66" t="str">
            <v>Unit Linked</v>
          </cell>
          <cell r="I66" t="str">
            <v>Asset Allocation</v>
          </cell>
          <cell r="J66" t="str">
            <v>Cautious</v>
          </cell>
          <cell r="K66" t="str">
            <v>Paul Weber</v>
          </cell>
          <cell r="L66" t="str">
            <v>MQ104337</v>
          </cell>
          <cell r="M66" t="e">
            <v>#N/A</v>
          </cell>
        </row>
        <row r="67">
          <cell r="A67" t="str">
            <v>PLIC</v>
          </cell>
          <cell r="B67" t="str">
            <v>From Risk - Fund Responsibility - Model Portfolios</v>
          </cell>
          <cell r="C67" t="str">
            <v>Yes</v>
          </cell>
          <cell r="D67" t="str">
            <v>PL Income Clock</v>
          </cell>
          <cell r="E67" t="str">
            <v>AMUNDI SGR</v>
          </cell>
          <cell r="F67" t="str">
            <v>PIM LTD</v>
          </cell>
          <cell r="G67" t="str">
            <v>Italy</v>
          </cell>
          <cell r="H67" t="str">
            <v xml:space="preserve">Unit Linked </v>
          </cell>
          <cell r="I67" t="str">
            <v>Asset Allocation</v>
          </cell>
          <cell r="J67" t="str">
            <v>Aggressive</v>
          </cell>
          <cell r="K67" t="str">
            <v>Salvatore Buono</v>
          </cell>
          <cell r="L67" t="str">
            <v>MQ103840</v>
          </cell>
          <cell r="M67" t="e">
            <v>#N/A</v>
          </cell>
        </row>
        <row r="68">
          <cell r="A68" t="str">
            <v>PP1-3Y</v>
          </cell>
          <cell r="B68" t="str">
            <v>From Risk - Fund Responsibility - Model Portfolios</v>
          </cell>
          <cell r="C68" t="str">
            <v>Yes</v>
          </cell>
          <cell r="D68" t="str">
            <v>PL Euro Bond 1 to 3 years</v>
          </cell>
          <cell r="E68" t="str">
            <v>AMUNDI SGR</v>
          </cell>
          <cell r="F68" t="str">
            <v>PIM LTD</v>
          </cell>
          <cell r="G68" t="str">
            <v>Italy</v>
          </cell>
          <cell r="H68" t="str">
            <v xml:space="preserve">Unit Linked </v>
          </cell>
          <cell r="I68" t="str">
            <v>Bond</v>
          </cell>
          <cell r="J68" t="str">
            <v>Government</v>
          </cell>
          <cell r="K68" t="str">
            <v>Salvatore Buono</v>
          </cell>
          <cell r="L68" t="str">
            <v>MQ102741</v>
          </cell>
          <cell r="M68" t="e">
            <v>#N/A</v>
          </cell>
        </row>
        <row r="69">
          <cell r="A69" t="str">
            <v>PP3Y</v>
          </cell>
          <cell r="B69" t="str">
            <v>From Risk - Fund Responsibility - Model Portfolios</v>
          </cell>
          <cell r="C69" t="str">
            <v>Yes</v>
          </cell>
          <cell r="D69" t="str">
            <v>PL Euro Bond over 3 years</v>
          </cell>
          <cell r="E69" t="str">
            <v>AMUNDI SGR</v>
          </cell>
          <cell r="F69" t="str">
            <v>PIM LTD</v>
          </cell>
          <cell r="G69" t="str">
            <v>Italy</v>
          </cell>
          <cell r="H69" t="str">
            <v xml:space="preserve">Unit Linked </v>
          </cell>
          <cell r="I69" t="str">
            <v>Bond</v>
          </cell>
          <cell r="J69" t="str">
            <v>Government</v>
          </cell>
          <cell r="K69" t="str">
            <v>Salvatore Buono</v>
          </cell>
          <cell r="L69" t="str">
            <v>MQ102742</v>
          </cell>
          <cell r="M69" t="e">
            <v>#N/A</v>
          </cell>
        </row>
        <row r="70">
          <cell r="A70" t="str">
            <v>R1M</v>
          </cell>
          <cell r="B70" t="str">
            <v>From Risk - Fund Responsibility - Model Portfolios</v>
          </cell>
          <cell r="C70" t="str">
            <v>Yes</v>
          </cell>
          <cell r="D70" t="str">
            <v>CNP Linea Protetta Dinamica</v>
          </cell>
          <cell r="E70" t="str">
            <v>AMUNDI SGR</v>
          </cell>
          <cell r="F70" t="str">
            <v>PIM LTD</v>
          </cell>
          <cell r="G70" t="str">
            <v>Italy</v>
          </cell>
          <cell r="H70" t="str">
            <v>Unit Linked</v>
          </cell>
          <cell r="I70" t="str">
            <v>Asset Allocation</v>
          </cell>
          <cell r="J70" t="str">
            <v>Moderate</v>
          </cell>
          <cell r="K70" t="str">
            <v>Lorenzo Di Pietrantonio</v>
          </cell>
          <cell r="L70" t="str">
            <v>MQ103347</v>
          </cell>
          <cell r="M70" t="e">
            <v>#N/A</v>
          </cell>
        </row>
        <row r="71">
          <cell r="A71" t="str">
            <v>SFI-MONE</v>
          </cell>
          <cell r="B71" t="str">
            <v>From Risk - Fund Responsibility - Model Portfolios</v>
          </cell>
          <cell r="C71" t="e">
            <v>#N/A</v>
          </cell>
          <cell r="D71" t="str">
            <v>SFI+ Linea Monetaria</v>
          </cell>
          <cell r="E71" t="str">
            <v>AMUNDI SGR</v>
          </cell>
          <cell r="F71" t="str">
            <v>PIM LTD</v>
          </cell>
          <cell r="G71" t="str">
            <v>Italy</v>
          </cell>
          <cell r="H71" t="str">
            <v>Segregate Account</v>
          </cell>
          <cell r="I71" t="str">
            <v>Money Market</v>
          </cell>
          <cell r="J71" t="str">
            <v>Regular MM</v>
          </cell>
          <cell r="K71" t="str">
            <v>Pierpaolo Paparo</v>
          </cell>
          <cell r="L71" t="str">
            <v>MQ102932</v>
          </cell>
          <cell r="M71" t="e">
            <v>#N/A</v>
          </cell>
        </row>
        <row r="72">
          <cell r="A72" t="str">
            <v>SFI-PRUD</v>
          </cell>
          <cell r="B72" t="str">
            <v>From Risk - Fund Responsibility - Model Portfolios</v>
          </cell>
          <cell r="C72" t="e">
            <v>#N/A</v>
          </cell>
          <cell r="D72" t="str">
            <v>SFI+ Linea Prudente</v>
          </cell>
          <cell r="E72" t="str">
            <v>AMUNDI SGR</v>
          </cell>
          <cell r="F72" t="str">
            <v>PIM LTD</v>
          </cell>
          <cell r="G72" t="str">
            <v>Italy</v>
          </cell>
          <cell r="H72" t="str">
            <v>Segregate Account</v>
          </cell>
          <cell r="I72" t="e">
            <v>#N/A</v>
          </cell>
          <cell r="J72" t="e">
            <v>#N/A</v>
          </cell>
          <cell r="K72" t="str">
            <v>PierPaolo Paparo</v>
          </cell>
          <cell r="L72" t="str">
            <v>MQ102904</v>
          </cell>
          <cell r="M72" t="e">
            <v>#N/A</v>
          </cell>
        </row>
        <row r="73">
          <cell r="A73" t="str">
            <v>SFI-PRUD-</v>
          </cell>
          <cell r="B73" t="str">
            <v>From Risk - Fund Responsibility - Model Portfolios</v>
          </cell>
          <cell r="C73" t="e">
            <v>#N/A</v>
          </cell>
          <cell r="D73" t="str">
            <v>SFI+ Linea Prudente Piu</v>
          </cell>
          <cell r="E73" t="str">
            <v>AMUNDI SGR</v>
          </cell>
          <cell r="F73" t="str">
            <v>PIM LTD</v>
          </cell>
          <cell r="G73" t="str">
            <v>Italy</v>
          </cell>
          <cell r="H73" t="str">
            <v>Segregate Account</v>
          </cell>
          <cell r="I73" t="str">
            <v>Asset Allocation</v>
          </cell>
          <cell r="J73" t="str">
            <v>Moderate</v>
          </cell>
          <cell r="K73" t="str">
            <v>PierPaolo Paparo</v>
          </cell>
          <cell r="L73" t="str">
            <v>MQ102905</v>
          </cell>
          <cell r="M73" t="e">
            <v>#N/A</v>
          </cell>
        </row>
        <row r="74">
          <cell r="A74" t="str">
            <v>SFI-TR</v>
          </cell>
          <cell r="B74" t="str">
            <v>From Risk - Fund Responsibility - Model Portfolios</v>
          </cell>
          <cell r="C74" t="e">
            <v>#N/A</v>
          </cell>
          <cell r="D74" t="str">
            <v>SFI+ Linea Total Return</v>
          </cell>
          <cell r="E74" t="str">
            <v>AMUNDI SGR</v>
          </cell>
          <cell r="F74" t="str">
            <v>PIM LTD</v>
          </cell>
          <cell r="G74" t="str">
            <v>Italy</v>
          </cell>
          <cell r="H74" t="str">
            <v>Segregate Account</v>
          </cell>
          <cell r="I74" t="str">
            <v>Absolute Return</v>
          </cell>
          <cell r="J74" t="str">
            <v>Multi Asset</v>
          </cell>
          <cell r="K74" t="str">
            <v>Lorenzo Di Pietrantonio</v>
          </cell>
          <cell r="L74" t="str">
            <v>MQ102933</v>
          </cell>
          <cell r="M74" t="e">
            <v>#N/A</v>
          </cell>
        </row>
        <row r="75">
          <cell r="A75" t="str">
            <v>SHC</v>
          </cell>
          <cell r="B75" t="str">
            <v>From Risk - Fund Responsibility - Model Portfolios</v>
          </cell>
          <cell r="C75" t="e">
            <v>#N/A</v>
          </cell>
          <cell r="D75" t="str">
            <v>BB Sector Healthcare</v>
          </cell>
          <cell r="E75" t="str">
            <v>AMUNDI SGR</v>
          </cell>
          <cell r="F75" t="str">
            <v>PIM LTD</v>
          </cell>
          <cell r="G75" t="str">
            <v>Italy</v>
          </cell>
          <cell r="H75" t="str">
            <v>BB Multiasset Fund Solutions - FOFs &amp; Segregated Accounts</v>
          </cell>
          <cell r="I75" t="e">
            <v>#N/A</v>
          </cell>
          <cell r="J75" t="e">
            <v>#N/A</v>
          </cell>
          <cell r="K75" t="str">
            <v>Gillian Jones</v>
          </cell>
          <cell r="L75" t="str">
            <v>MQ104390</v>
          </cell>
          <cell r="M75" t="e">
            <v>#N/A</v>
          </cell>
        </row>
        <row r="76">
          <cell r="A76" t="str">
            <v>STEPONE</v>
          </cell>
          <cell r="B76" t="str">
            <v>From Risk - Fund Responsibility - Model Portfolios</v>
          </cell>
          <cell r="C76" t="str">
            <v>Yes</v>
          </cell>
          <cell r="D76" t="str">
            <v>CAM STEP ONE</v>
          </cell>
          <cell r="E76" t="str">
            <v>AMUNDI SGR</v>
          </cell>
          <cell r="F76" t="str">
            <v>PIM LTD</v>
          </cell>
          <cell r="G76" t="str">
            <v>Italy</v>
          </cell>
          <cell r="H76" t="str">
            <v>Segregate Account</v>
          </cell>
          <cell r="I76" t="e">
            <v>#N/A</v>
          </cell>
          <cell r="J76" t="e">
            <v>#N/A</v>
          </cell>
          <cell r="K76" t="str">
            <v>Salvatore Buono</v>
          </cell>
          <cell r="L76" t="str">
            <v>MQ103172</v>
          </cell>
          <cell r="M76" t="e">
            <v>#N/A</v>
          </cell>
        </row>
        <row r="77">
          <cell r="A77" t="str">
            <v>UES20</v>
          </cell>
          <cell r="B77" t="str">
            <v>From Risk - Fund Responsibility - Model Portfolios</v>
          </cell>
          <cell r="C77" t="str">
            <v>Yes</v>
          </cell>
          <cell r="D77" t="str">
            <v>Univalore E Strategia 20</v>
          </cell>
          <cell r="E77" t="str">
            <v>AMUNDI SGR</v>
          </cell>
          <cell r="F77" t="str">
            <v>PIM LTD</v>
          </cell>
          <cell r="G77" t="str">
            <v>Italy</v>
          </cell>
          <cell r="H77" t="str">
            <v>Unit Linked</v>
          </cell>
          <cell r="I77" t="str">
            <v>Asset Allocation</v>
          </cell>
          <cell r="J77" t="str">
            <v>Cautious</v>
          </cell>
          <cell r="K77" t="str">
            <v>Salvatore Buono</v>
          </cell>
          <cell r="L77" t="str">
            <v>MQ103678</v>
          </cell>
          <cell r="M77" t="e">
            <v>#N/A</v>
          </cell>
        </row>
        <row r="78">
          <cell r="A78" t="str">
            <v>UES30</v>
          </cell>
          <cell r="B78" t="str">
            <v>From Risk - Fund Responsibility - Model Portfolios</v>
          </cell>
          <cell r="C78" t="str">
            <v>Yes</v>
          </cell>
          <cell r="D78" t="str">
            <v>Univalore E Strategia 30</v>
          </cell>
          <cell r="E78" t="str">
            <v>AMUNDI SGR</v>
          </cell>
          <cell r="F78" t="str">
            <v>PIM LTD</v>
          </cell>
          <cell r="G78" t="str">
            <v>Italy</v>
          </cell>
          <cell r="H78" t="str">
            <v>Unit Linked</v>
          </cell>
          <cell r="I78" t="str">
            <v>Asset Allocation</v>
          </cell>
          <cell r="J78" t="str">
            <v>Moderate</v>
          </cell>
          <cell r="K78" t="str">
            <v>Salvatore Buono</v>
          </cell>
          <cell r="L78" t="str">
            <v>MQ103679</v>
          </cell>
          <cell r="M78" t="e">
            <v>#N/A</v>
          </cell>
        </row>
        <row r="79">
          <cell r="A79" t="str">
            <v>UES40</v>
          </cell>
          <cell r="B79" t="str">
            <v>From Risk - Fund Responsibility - Model Portfolios</v>
          </cell>
          <cell r="C79" t="str">
            <v>Yes</v>
          </cell>
          <cell r="D79" t="str">
            <v>Univalore E Strategia 40</v>
          </cell>
          <cell r="E79" t="str">
            <v>AMUNDI SGR</v>
          </cell>
          <cell r="F79" t="str">
            <v>PIM LTD</v>
          </cell>
          <cell r="G79" t="str">
            <v>Italy</v>
          </cell>
          <cell r="H79" t="str">
            <v>Unit Linked</v>
          </cell>
          <cell r="I79" t="str">
            <v>Asset Allocation</v>
          </cell>
          <cell r="J79" t="str">
            <v>Moderate</v>
          </cell>
          <cell r="K79" t="str">
            <v>Salvatore Buono</v>
          </cell>
          <cell r="L79" t="str">
            <v>MQ103680</v>
          </cell>
          <cell r="M79" t="e">
            <v>#N/A</v>
          </cell>
        </row>
        <row r="80">
          <cell r="A80" t="str">
            <v>UES50</v>
          </cell>
          <cell r="B80" t="str">
            <v>From Risk - Fund Responsibility - Model Portfolios</v>
          </cell>
          <cell r="C80" t="str">
            <v>Yes</v>
          </cell>
          <cell r="D80" t="str">
            <v>Univalore Stars Balanced</v>
          </cell>
          <cell r="E80" t="str">
            <v>AMUNDI SGR</v>
          </cell>
          <cell r="F80" t="str">
            <v>PIM LTD</v>
          </cell>
          <cell r="G80" t="str">
            <v>Italy</v>
          </cell>
          <cell r="H80" t="str">
            <v>Unit Linked</v>
          </cell>
          <cell r="I80" t="str">
            <v>Asset Allocation</v>
          </cell>
          <cell r="J80" t="str">
            <v>Aggressive</v>
          </cell>
          <cell r="K80" t="str">
            <v>Salvatore Buono</v>
          </cell>
          <cell r="L80" t="str">
            <v>MQ103681</v>
          </cell>
          <cell r="M80" t="e">
            <v>#N/A</v>
          </cell>
        </row>
        <row r="81">
          <cell r="A81" t="str">
            <v>UES70</v>
          </cell>
          <cell r="B81" t="str">
            <v>From Risk - Fund Responsibility - Model Portfolios</v>
          </cell>
          <cell r="C81" t="str">
            <v>Yes</v>
          </cell>
          <cell r="D81" t="str">
            <v>Univalore E Strategia 70</v>
          </cell>
          <cell r="E81" t="str">
            <v>AMUNDI SGR</v>
          </cell>
          <cell r="F81" t="str">
            <v>PIM LTD</v>
          </cell>
          <cell r="G81" t="str">
            <v>Italy</v>
          </cell>
          <cell r="H81" t="str">
            <v>Unit Linked</v>
          </cell>
          <cell r="I81" t="str">
            <v>Asset Allocation</v>
          </cell>
          <cell r="J81" t="str">
            <v>Aggressive</v>
          </cell>
          <cell r="K81" t="str">
            <v>Salvatore Buono</v>
          </cell>
          <cell r="L81" t="str">
            <v>MQ103682</v>
          </cell>
          <cell r="M81" t="e">
            <v>#N/A</v>
          </cell>
        </row>
        <row r="82">
          <cell r="A82" t="str">
            <v>ULACCO</v>
          </cell>
          <cell r="B82" t="str">
            <v>From Risk - Fund Responsibility - Model Portfolios</v>
          </cell>
          <cell r="C82" t="str">
            <v>Yes</v>
          </cell>
          <cell r="D82" t="str">
            <v>Unit Linked Multi Equity Accumulation</v>
          </cell>
          <cell r="E82" t="str">
            <v>AMUNDI SGR</v>
          </cell>
          <cell r="F82" t="str">
            <v>PIM LTD</v>
          </cell>
          <cell r="G82" t="str">
            <v>Italy</v>
          </cell>
          <cell r="H82" t="str">
            <v>Unit linked</v>
          </cell>
          <cell r="I82" t="str">
            <v>Asset Allocation</v>
          </cell>
          <cell r="J82" t="str">
            <v>Other</v>
          </cell>
          <cell r="K82" t="str">
            <v>Bertrand Paquot</v>
          </cell>
          <cell r="L82" t="str">
            <v>A507097</v>
          </cell>
          <cell r="M82" t="e">
            <v>#N/A</v>
          </cell>
        </row>
        <row r="83">
          <cell r="A83" t="str">
            <v>ULBER-</v>
          </cell>
          <cell r="B83" t="str">
            <v>From Risk - Fund Responsibility - Model Portfolios</v>
          </cell>
          <cell r="C83" t="str">
            <v>Yes</v>
          </cell>
          <cell r="D83" t="str">
            <v>UL_Bilanciata_+ERGO</v>
          </cell>
          <cell r="E83" t="str">
            <v>AMUNDI SGR</v>
          </cell>
          <cell r="F83" t="str">
            <v>PIM LTD</v>
          </cell>
          <cell r="G83" t="str">
            <v>Italy</v>
          </cell>
          <cell r="H83" t="str">
            <v>Segregate Account</v>
          </cell>
          <cell r="I83" t="e">
            <v>#N/A</v>
          </cell>
          <cell r="J83" t="e">
            <v>#N/A</v>
          </cell>
          <cell r="K83" t="str">
            <v>PierPaolo Paparo</v>
          </cell>
          <cell r="L83" t="str">
            <v>MQ103810</v>
          </cell>
          <cell r="M83" t="e">
            <v>#N/A</v>
          </cell>
        </row>
        <row r="84">
          <cell r="A84" t="str">
            <v>ULBIL</v>
          </cell>
          <cell r="B84" t="str">
            <v>From Risk - Fund Responsibility - Model Portfolios</v>
          </cell>
          <cell r="C84" t="str">
            <v>Yes</v>
          </cell>
          <cell r="D84" t="str">
            <v>UL Bilanciata</v>
          </cell>
          <cell r="E84" t="str">
            <v>AMUNDI SGR</v>
          </cell>
          <cell r="F84" t="str">
            <v>PIM LTD</v>
          </cell>
          <cell r="G84" t="str">
            <v>Italy</v>
          </cell>
          <cell r="H84" t="str">
            <v xml:space="preserve">Unit Linked </v>
          </cell>
          <cell r="I84" t="str">
            <v>Asset Allocation</v>
          </cell>
          <cell r="J84" t="str">
            <v>Moderate</v>
          </cell>
          <cell r="K84" t="str">
            <v>PierPaolo Paparo</v>
          </cell>
          <cell r="L84" t="str">
            <v>MQ102215</v>
          </cell>
          <cell r="M84" t="e">
            <v>#N/A</v>
          </cell>
        </row>
        <row r="85">
          <cell r="A85" t="str">
            <v>ULBILPIU</v>
          </cell>
          <cell r="B85" t="str">
            <v>From Risk - Fund Responsibility - Model Portfolios</v>
          </cell>
          <cell r="C85" t="str">
            <v>Yes</v>
          </cell>
          <cell r="D85" t="str">
            <v>Unidiamond + Bilanciata +</v>
          </cell>
          <cell r="E85" t="str">
            <v>AMUNDI SGR</v>
          </cell>
          <cell r="F85" t="str">
            <v>PIM LTD</v>
          </cell>
          <cell r="G85" t="str">
            <v>Italy</v>
          </cell>
          <cell r="H85" t="str">
            <v>Unit Linked</v>
          </cell>
          <cell r="I85" t="str">
            <v>Asset Allocation</v>
          </cell>
          <cell r="J85" t="str">
            <v>Aggressive</v>
          </cell>
          <cell r="K85" t="str">
            <v>Bertrand Paquot</v>
          </cell>
          <cell r="L85" t="str">
            <v>MQ102217</v>
          </cell>
          <cell r="M85" t="e">
            <v>#N/A</v>
          </cell>
        </row>
        <row r="86">
          <cell r="A86" t="str">
            <v>ULDER</v>
          </cell>
          <cell r="B86" t="str">
            <v>From Risk - Fund Responsibility - Model Portfolios</v>
          </cell>
          <cell r="C86" t="str">
            <v>Yes</v>
          </cell>
          <cell r="D86" t="str">
            <v>UL_Dinamica ERGO</v>
          </cell>
          <cell r="E86" t="str">
            <v>AMUNDI SGR</v>
          </cell>
          <cell r="F86" t="str">
            <v>PIM LTD</v>
          </cell>
          <cell r="G86" t="str">
            <v>Italy</v>
          </cell>
          <cell r="H86" t="str">
            <v>Segregate Account</v>
          </cell>
          <cell r="I86" t="e">
            <v>#N/A</v>
          </cell>
          <cell r="J86" t="e">
            <v>#N/A</v>
          </cell>
          <cell r="K86" t="str">
            <v>PierPaolo Paparo</v>
          </cell>
          <cell r="L86" t="str">
            <v>MQ103811</v>
          </cell>
          <cell r="M86" t="e">
            <v>#N/A</v>
          </cell>
        </row>
        <row r="87">
          <cell r="A87" t="str">
            <v>ULDIAM1-M</v>
          </cell>
          <cell r="B87" t="str">
            <v>From Risk - Fund Responsibility - Model Portfolios</v>
          </cell>
          <cell r="C87" t="str">
            <v>Yes</v>
          </cell>
          <cell r="D87" t="str">
            <v>UL Diamond 1</v>
          </cell>
          <cell r="E87" t="str">
            <v>AMUNDI SGR</v>
          </cell>
          <cell r="F87" t="str">
            <v>PIM LTD</v>
          </cell>
          <cell r="G87" t="str">
            <v>Italy</v>
          </cell>
          <cell r="H87" t="str">
            <v>Unit Linked</v>
          </cell>
          <cell r="I87" t="e">
            <v>#N/A</v>
          </cell>
          <cell r="J87" t="e">
            <v>#N/A</v>
          </cell>
          <cell r="K87" t="str">
            <v>Pierpaolo Paparo</v>
          </cell>
          <cell r="L87" t="str">
            <v>A545074</v>
          </cell>
          <cell r="M87" t="e">
            <v>#N/A</v>
          </cell>
        </row>
        <row r="88">
          <cell r="A88" t="str">
            <v>ULDIN</v>
          </cell>
          <cell r="B88" t="str">
            <v>From Risk - Fund Responsibility - Model Portfolios</v>
          </cell>
          <cell r="C88" t="str">
            <v>Yes</v>
          </cell>
          <cell r="D88" t="str">
            <v>Unidiamond + Dinamica</v>
          </cell>
          <cell r="E88" t="str">
            <v>AMUNDI SGR</v>
          </cell>
          <cell r="F88" t="str">
            <v>PIM LTD</v>
          </cell>
          <cell r="G88" t="str">
            <v>Italy</v>
          </cell>
          <cell r="H88" t="str">
            <v>Unit Linked</v>
          </cell>
          <cell r="I88" t="str">
            <v>Asset Allocation</v>
          </cell>
          <cell r="J88" t="str">
            <v>Aggressive</v>
          </cell>
          <cell r="K88" t="str">
            <v>PierPaolo Paparo</v>
          </cell>
          <cell r="L88" t="str">
            <v>MQ102219</v>
          </cell>
          <cell r="M88" t="e">
            <v>#N/A</v>
          </cell>
        </row>
        <row r="89">
          <cell r="A89" t="str">
            <v>ULG4NEW</v>
          </cell>
          <cell r="B89" t="str">
            <v>From Risk - Fund Responsibility - Model Portfolios</v>
          </cell>
          <cell r="C89" t="str">
            <v>Yes</v>
          </cell>
          <cell r="D89" t="str">
            <v>Unit Linked G4 new</v>
          </cell>
          <cell r="E89" t="str">
            <v>AMUNDI SGR</v>
          </cell>
          <cell r="F89" t="str">
            <v>PIM LTD</v>
          </cell>
          <cell r="G89" t="str">
            <v>Italy</v>
          </cell>
          <cell r="H89" t="str">
            <v>Unit Linked</v>
          </cell>
          <cell r="I89" t="str">
            <v>Asset Allocation</v>
          </cell>
          <cell r="J89" t="str">
            <v>Moderate</v>
          </cell>
          <cell r="K89" t="str">
            <v>Bertrand Paquot</v>
          </cell>
          <cell r="L89" t="str">
            <v>MQ100413</v>
          </cell>
          <cell r="M89" t="e">
            <v>#N/A</v>
          </cell>
        </row>
        <row r="90">
          <cell r="A90" t="str">
            <v>ULP</v>
          </cell>
          <cell r="B90" t="str">
            <v>From Risk - Fund Responsibility - Model Portfolios</v>
          </cell>
          <cell r="C90" t="str">
            <v>Yes</v>
          </cell>
          <cell r="D90" t="str">
            <v>Unidiamond + Prudente</v>
          </cell>
          <cell r="E90" t="str">
            <v>AMUNDI SGR</v>
          </cell>
          <cell r="F90" t="str">
            <v>PIM LTD</v>
          </cell>
          <cell r="G90" t="str">
            <v>Italy</v>
          </cell>
          <cell r="H90" t="str">
            <v xml:space="preserve">Unit Linked </v>
          </cell>
          <cell r="I90" t="str">
            <v>Asset Allocation</v>
          </cell>
          <cell r="J90" t="str">
            <v>Cautious</v>
          </cell>
          <cell r="K90" t="str">
            <v>PierPaolo Paparo</v>
          </cell>
          <cell r="L90" t="str">
            <v>MQ102211</v>
          </cell>
          <cell r="M90" t="e">
            <v>#N/A</v>
          </cell>
        </row>
        <row r="91">
          <cell r="A91" t="str">
            <v>ULPER</v>
          </cell>
          <cell r="B91" t="str">
            <v>From Risk - Fund Responsibility - Model Portfolios</v>
          </cell>
          <cell r="C91" t="str">
            <v>Yes</v>
          </cell>
          <cell r="D91" t="str">
            <v>UL_Prudente ERGO</v>
          </cell>
          <cell r="E91" t="str">
            <v>AMUNDI SGR</v>
          </cell>
          <cell r="F91" t="str">
            <v>PIM LTD</v>
          </cell>
          <cell r="G91" t="str">
            <v>Italy</v>
          </cell>
          <cell r="H91" t="str">
            <v>Segregate Account</v>
          </cell>
          <cell r="I91" t="e">
            <v>#N/A</v>
          </cell>
          <cell r="J91" t="e">
            <v>#N/A</v>
          </cell>
          <cell r="K91" t="str">
            <v>PierPaolo Paparo</v>
          </cell>
          <cell r="L91" t="str">
            <v>MQ103808</v>
          </cell>
          <cell r="M91" t="e">
            <v>#N/A</v>
          </cell>
        </row>
        <row r="92">
          <cell r="A92" t="str">
            <v>ULP-ER</v>
          </cell>
          <cell r="B92" t="str">
            <v>From Risk - Fund Responsibility - Model Portfolios</v>
          </cell>
          <cell r="C92" t="str">
            <v>Yes</v>
          </cell>
          <cell r="D92" t="str">
            <v>UL_Prudente_+ ERGO</v>
          </cell>
          <cell r="E92" t="str">
            <v>AMUNDI SGR</v>
          </cell>
          <cell r="F92" t="str">
            <v>PIM LTD</v>
          </cell>
          <cell r="G92" t="str">
            <v>Italy</v>
          </cell>
          <cell r="H92" t="str">
            <v>Segregate Account</v>
          </cell>
          <cell r="I92" t="e">
            <v>#N/A</v>
          </cell>
          <cell r="J92" t="e">
            <v>#N/A</v>
          </cell>
          <cell r="K92" t="str">
            <v>PierPaolo Paparo</v>
          </cell>
          <cell r="L92" t="str">
            <v>MQ103809</v>
          </cell>
          <cell r="M92" t="e">
            <v>#N/A</v>
          </cell>
        </row>
        <row r="93">
          <cell r="A93" t="str">
            <v>ULPRUD</v>
          </cell>
          <cell r="B93" t="str">
            <v>From Risk - Fund Responsibility - Model Portfolios</v>
          </cell>
          <cell r="C93" t="str">
            <v>Yes</v>
          </cell>
          <cell r="D93" t="str">
            <v>Unidiamond + Prudente +</v>
          </cell>
          <cell r="E93" t="str">
            <v>AMUNDI SGR</v>
          </cell>
          <cell r="F93" t="str">
            <v>PIM LTD</v>
          </cell>
          <cell r="G93" t="str">
            <v>Italy</v>
          </cell>
          <cell r="H93" t="str">
            <v xml:space="preserve">Unit Linked </v>
          </cell>
          <cell r="I93" t="str">
            <v>Asset Allocation</v>
          </cell>
          <cell r="J93" t="str">
            <v>Moderate</v>
          </cell>
          <cell r="K93" t="str">
            <v>PierPaolo Paparo</v>
          </cell>
          <cell r="L93" t="str">
            <v>MQ102213</v>
          </cell>
          <cell r="M93" t="e">
            <v>#N/A</v>
          </cell>
        </row>
        <row r="94">
          <cell r="A94" t="str">
            <v>BBMAR</v>
          </cell>
          <cell r="B94" t="str">
            <v>From Risk - Fund Responsibility - Model Portfolios</v>
          </cell>
          <cell r="C94" t="e">
            <v>#N/A</v>
          </cell>
          <cell r="D94" t="str">
            <v>BB Multi Absolute Return</v>
          </cell>
          <cell r="E94" t="str">
            <v>AMUNDI SGR</v>
          </cell>
          <cell r="F94" t="str">
            <v>PIM LTD</v>
          </cell>
          <cell r="G94" t="str">
            <v>Italy</v>
          </cell>
          <cell r="H94" t="str">
            <v>BB Multiasset Fund Solutions - FOFs &amp; Segregated Accounts</v>
          </cell>
          <cell r="I94" t="e">
            <v>#N/A</v>
          </cell>
          <cell r="J94" t="e">
            <v>#N/A</v>
          </cell>
          <cell r="K94" t="str">
            <v>Alan Butterly</v>
          </cell>
          <cell r="L94" t="str">
            <v>MQ104032</v>
          </cell>
          <cell r="M94" t="e">
            <v>#N/A</v>
          </cell>
        </row>
        <row r="95">
          <cell r="A95" t="str">
            <v>BBMEELC</v>
          </cell>
          <cell r="B95" t="str">
            <v>From Risk - Fund Responsibility - Model Portfolios</v>
          </cell>
          <cell r="C95" t="e">
            <v>#N/A</v>
          </cell>
          <cell r="D95" t="str">
            <v>BB Multi Equity Europe LC</v>
          </cell>
          <cell r="E95" t="str">
            <v>AMUNDI SGR</v>
          </cell>
          <cell r="F95" t="str">
            <v>PIM LTD</v>
          </cell>
          <cell r="G95" t="str">
            <v>Italy</v>
          </cell>
          <cell r="H95" t="str">
            <v>BB Multiasset Fund Solutions - FOFs &amp; Segregated Accounts</v>
          </cell>
          <cell r="I95" t="e">
            <v>#N/A</v>
          </cell>
          <cell r="J95" t="e">
            <v>#N/A</v>
          </cell>
          <cell r="K95" t="str">
            <v>Gary Moglione</v>
          </cell>
          <cell r="L95" t="str">
            <v>MQ103566</v>
          </cell>
          <cell r="M95" t="e">
            <v>#N/A</v>
          </cell>
        </row>
        <row r="96">
          <cell r="A96" t="str">
            <v>BBMEGLC</v>
          </cell>
          <cell r="B96" t="str">
            <v>From Risk - Fund Responsibility - Model Portfolios</v>
          </cell>
          <cell r="C96" t="e">
            <v>#N/A</v>
          </cell>
          <cell r="D96" t="str">
            <v>BB Multi Equity Global LC</v>
          </cell>
          <cell r="E96" t="str">
            <v>AMUNDI SGR</v>
          </cell>
          <cell r="F96" t="str">
            <v>PIM LTD</v>
          </cell>
          <cell r="G96" t="str">
            <v>Italy</v>
          </cell>
          <cell r="H96" t="str">
            <v>BB Multiasset Fund Solutions - FOFs &amp; Segregated Accounts</v>
          </cell>
          <cell r="I96" t="e">
            <v>#N/A</v>
          </cell>
          <cell r="J96" t="e">
            <v>#N/A</v>
          </cell>
          <cell r="K96" t="str">
            <v>Gillian Jones</v>
          </cell>
          <cell r="L96" t="str">
            <v>MQ103571</v>
          </cell>
          <cell r="M96" t="e">
            <v>#N/A</v>
          </cell>
        </row>
        <row r="97">
          <cell r="A97" t="str">
            <v>BBMEJLC</v>
          </cell>
          <cell r="B97" t="str">
            <v>From Risk - Fund Responsibility - Model Portfolios</v>
          </cell>
          <cell r="C97" t="e">
            <v>#N/A</v>
          </cell>
          <cell r="D97" t="str">
            <v>BB Multi Equity Japan LC</v>
          </cell>
          <cell r="E97" t="str">
            <v>AMUNDI SGR</v>
          </cell>
          <cell r="F97" t="str">
            <v>PIM LTD</v>
          </cell>
          <cell r="G97" t="str">
            <v>Italy</v>
          </cell>
          <cell r="H97" t="str">
            <v>BB Multiasset Fund Solutions - FOFs &amp; Segregated Accounts</v>
          </cell>
          <cell r="I97" t="e">
            <v>#N/A</v>
          </cell>
          <cell r="J97" t="e">
            <v>#N/A</v>
          </cell>
          <cell r="K97" t="str">
            <v>Paul Weber</v>
          </cell>
          <cell r="L97" t="str">
            <v>MQ103568</v>
          </cell>
          <cell r="M97" t="e">
            <v>#N/A</v>
          </cell>
        </row>
        <row r="98">
          <cell r="A98" t="str">
            <v>BBMEPXJLC</v>
          </cell>
          <cell r="B98" t="str">
            <v>From Risk - Fund Responsibility - Model Portfolios</v>
          </cell>
          <cell r="C98" t="e">
            <v>#N/A</v>
          </cell>
          <cell r="D98" t="str">
            <v>BB Multi Equity AC Pacific x Jap</v>
          </cell>
          <cell r="E98" t="str">
            <v>AMUNDI SGR</v>
          </cell>
          <cell r="F98" t="str">
            <v>PIM LTD</v>
          </cell>
          <cell r="G98" t="str">
            <v>Italy</v>
          </cell>
          <cell r="H98" t="str">
            <v>BB Multiasset Fund Solutions - FOFs &amp; Segregated Accounts</v>
          </cell>
          <cell r="I98" t="e">
            <v>#N/A</v>
          </cell>
          <cell r="J98" t="e">
            <v>#N/A</v>
          </cell>
          <cell r="K98" t="str">
            <v>Gary Moglione</v>
          </cell>
          <cell r="L98" t="str">
            <v>MQ103569</v>
          </cell>
          <cell r="M98" t="e">
            <v>#N/A</v>
          </cell>
        </row>
        <row r="99">
          <cell r="A99" t="str">
            <v>BBMEUSLC</v>
          </cell>
          <cell r="B99" t="str">
            <v>From Risk - Fund Responsibility - Model Portfolios</v>
          </cell>
          <cell r="C99" t="e">
            <v>#N/A</v>
          </cell>
          <cell r="D99" t="str">
            <v>BB Multi Equity US LC</v>
          </cell>
          <cell r="E99" t="str">
            <v>AMUNDI SGR</v>
          </cell>
          <cell r="F99" t="str">
            <v>PIM LTD</v>
          </cell>
          <cell r="G99" t="str">
            <v>Italy</v>
          </cell>
          <cell r="H99" t="str">
            <v>BB Multiasset Fund Solutions - FOFs &amp; Segregated Accounts</v>
          </cell>
          <cell r="I99" t="e">
            <v>#N/A</v>
          </cell>
          <cell r="J99" t="e">
            <v>#N/A</v>
          </cell>
          <cell r="K99" t="str">
            <v>Frank Gans</v>
          </cell>
          <cell r="L99" t="str">
            <v>MQ103567</v>
          </cell>
          <cell r="M99" t="e">
            <v>#N/A</v>
          </cell>
        </row>
        <row r="100">
          <cell r="A100" t="str">
            <v>BBMOBEC</v>
          </cell>
          <cell r="B100" t="str">
            <v>From Risk - Fund Responsibility - Model Portfolios</v>
          </cell>
          <cell r="C100" t="e">
            <v>#N/A</v>
          </cell>
          <cell r="D100" t="str">
            <v>BB Mono Absolute Return</v>
          </cell>
          <cell r="E100" t="str">
            <v>AMUNDI SGR</v>
          </cell>
          <cell r="F100" t="str">
            <v>PIM LTD</v>
          </cell>
          <cell r="G100" t="str">
            <v>Italy</v>
          </cell>
          <cell r="H100" t="str">
            <v>BB Multiasset Fund Solutions - FOFs &amp; Segregated Accounts</v>
          </cell>
          <cell r="I100" t="e">
            <v>#N/A</v>
          </cell>
          <cell r="J100" t="e">
            <v>#N/A</v>
          </cell>
          <cell r="K100" t="str">
            <v>Alan Butterly</v>
          </cell>
          <cell r="L100" t="str">
            <v>MQ103606</v>
          </cell>
          <cell r="M100" t="e">
            <v>#N/A</v>
          </cell>
        </row>
        <row r="101">
          <cell r="A101" t="str">
            <v>BBMOEELC</v>
          </cell>
          <cell r="B101" t="str">
            <v>From Risk - Fund Responsibility - Model Portfolios</v>
          </cell>
          <cell r="C101" t="e">
            <v>#N/A</v>
          </cell>
          <cell r="D101" t="str">
            <v>BB Mono Equity Europe LC</v>
          </cell>
          <cell r="E101" t="str">
            <v>AMUNDI SGR</v>
          </cell>
          <cell r="F101" t="str">
            <v>PIM LTD</v>
          </cell>
          <cell r="G101" t="str">
            <v>Italy</v>
          </cell>
          <cell r="H101" t="str">
            <v>BB Multiasset Fund Solutions - FOFs &amp; Segregated Accounts</v>
          </cell>
          <cell r="I101" t="e">
            <v>#N/A</v>
          </cell>
          <cell r="J101" t="e">
            <v>#N/A</v>
          </cell>
          <cell r="K101" t="str">
            <v>Gary Moglione</v>
          </cell>
          <cell r="L101" t="str">
            <v>MQ103592</v>
          </cell>
          <cell r="M101" t="e">
            <v>#N/A</v>
          </cell>
        </row>
        <row r="102">
          <cell r="A102" t="str">
            <v>BBMOEUSLC</v>
          </cell>
          <cell r="B102" t="str">
            <v>From Risk - Fund Responsibility - Model Portfolios</v>
          </cell>
          <cell r="C102" t="e">
            <v>#N/A</v>
          </cell>
          <cell r="D102" t="str">
            <v>BB Mono Equity US LC</v>
          </cell>
          <cell r="E102" t="str">
            <v>AMUNDI SGR</v>
          </cell>
          <cell r="F102" t="str">
            <v>PIM LTD</v>
          </cell>
          <cell r="G102" t="str">
            <v>Italy</v>
          </cell>
          <cell r="H102" t="str">
            <v>BB Multiasset Fund Solutions - FOFs &amp; Segregated Accounts</v>
          </cell>
          <cell r="I102" t="e">
            <v>#N/A</v>
          </cell>
          <cell r="J102" t="e">
            <v>#N/A</v>
          </cell>
          <cell r="K102" t="str">
            <v>Frank Gans</v>
          </cell>
          <cell r="L102" t="str">
            <v>MQ103594</v>
          </cell>
          <cell r="M102" t="e">
            <v>#N/A</v>
          </cell>
        </row>
        <row r="103">
          <cell r="A103" t="str">
            <v>BBMOULBEC</v>
          </cell>
          <cell r="B103" t="str">
            <v>From Risk - Fund Responsibility - Model Portfolios</v>
          </cell>
          <cell r="C103" t="e">
            <v>#N/A</v>
          </cell>
          <cell r="D103" t="str">
            <v>BB Mono UL Absolute Return</v>
          </cell>
          <cell r="E103" t="str">
            <v>AMUNDI SGR</v>
          </cell>
          <cell r="F103" t="str">
            <v>PIM LTD</v>
          </cell>
          <cell r="G103" t="str">
            <v>Italy</v>
          </cell>
          <cell r="H103" t="str">
            <v>BB Multiasset Fund Solutions - FOFs &amp; Segregated Accounts</v>
          </cell>
          <cell r="I103" t="e">
            <v>#N/A</v>
          </cell>
          <cell r="J103" t="e">
            <v>#N/A</v>
          </cell>
          <cell r="K103" t="str">
            <v>Alan Butterly</v>
          </cell>
          <cell r="L103" t="str">
            <v>MQ103620</v>
          </cell>
          <cell r="M103" t="e">
            <v>#N/A</v>
          </cell>
        </row>
        <row r="104">
          <cell r="A104" t="str">
            <v>BBMOULEELC</v>
          </cell>
          <cell r="B104" t="str">
            <v>From Risk - Fund Responsibility - Model Portfolios</v>
          </cell>
          <cell r="C104" t="e">
            <v>#N/A</v>
          </cell>
          <cell r="D104" t="str">
            <v>BB Mono UL Equity Europe LC</v>
          </cell>
          <cell r="E104" t="str">
            <v>AMUNDI SGR</v>
          </cell>
          <cell r="F104" t="str">
            <v>PIM LTD</v>
          </cell>
          <cell r="G104" t="str">
            <v>Italy</v>
          </cell>
          <cell r="H104" t="str">
            <v>BB Multiasset Fund Solutions - FOFs &amp; Segregated Accounts</v>
          </cell>
          <cell r="I104" t="e">
            <v>#N/A</v>
          </cell>
          <cell r="J104" t="e">
            <v>#N/A</v>
          </cell>
          <cell r="K104" t="str">
            <v>Gary Moglione</v>
          </cell>
          <cell r="L104" t="str">
            <v>MQ103608</v>
          </cell>
          <cell r="M104" t="e">
            <v>#N/A</v>
          </cell>
        </row>
        <row r="105">
          <cell r="A105" t="str">
            <v>BBMOULEUSL</v>
          </cell>
          <cell r="B105" t="str">
            <v>From Risk - Fund Responsibility - Model Portfolios</v>
          </cell>
          <cell r="C105" t="e">
            <v>#N/A</v>
          </cell>
          <cell r="D105" t="str">
            <v>BB Mono UL Equity US LC</v>
          </cell>
          <cell r="E105" t="str">
            <v>AMUNDI SGR</v>
          </cell>
          <cell r="F105" t="str">
            <v>PIM LTD</v>
          </cell>
          <cell r="G105" t="str">
            <v>Italy</v>
          </cell>
          <cell r="H105" t="str">
            <v>BB Multiasset Fund Solutions - FOFs &amp; Segregated Accounts</v>
          </cell>
          <cell r="I105" t="e">
            <v>#N/A</v>
          </cell>
          <cell r="J105" t="e">
            <v>#N/A</v>
          </cell>
          <cell r="K105" t="str">
            <v>Frank Gans</v>
          </cell>
          <cell r="L105" t="str">
            <v>MQ103610</v>
          </cell>
          <cell r="M105" t="e">
            <v>#N/A</v>
          </cell>
        </row>
        <row r="106">
          <cell r="A106" t="str">
            <v>BBMUARB</v>
          </cell>
          <cell r="B106" t="str">
            <v>From Risk - Fund Responsibility - Model Portfolios</v>
          </cell>
          <cell r="C106" t="e">
            <v>#N/A</v>
          </cell>
          <cell r="D106" t="str">
            <v>BB Multi UL Abs Return Bond</v>
          </cell>
          <cell r="E106" t="str">
            <v>AMUNDI SGR</v>
          </cell>
          <cell r="F106" t="str">
            <v>PIM LTD</v>
          </cell>
          <cell r="G106" t="str">
            <v>Italy</v>
          </cell>
          <cell r="H106" t="str">
            <v>BB Multiasset Fund Solutions - FOFs &amp; Segregated Accounts</v>
          </cell>
          <cell r="I106" t="e">
            <v>#N/A</v>
          </cell>
          <cell r="J106" t="e">
            <v>#N/A</v>
          </cell>
          <cell r="K106" t="str">
            <v>Alan Butterly</v>
          </cell>
          <cell r="L106" t="str">
            <v>A630078</v>
          </cell>
          <cell r="M106" t="e">
            <v>#N/A</v>
          </cell>
        </row>
        <row r="107">
          <cell r="A107" t="str">
            <v>BBMULAR</v>
          </cell>
          <cell r="B107" t="str">
            <v>From Risk - Fund Responsibility - Model Portfolios</v>
          </cell>
          <cell r="C107" t="e">
            <v>#N/A</v>
          </cell>
          <cell r="D107" t="str">
            <v>BB Multi UL Absolute Return</v>
          </cell>
          <cell r="E107" t="str">
            <v>AMUNDI SGR</v>
          </cell>
          <cell r="F107" t="str">
            <v>PIM LTD</v>
          </cell>
          <cell r="G107" t="str">
            <v>Italy</v>
          </cell>
          <cell r="H107" t="str">
            <v>BB Multiasset Fund Solutions - FOFs &amp; Segregated Accounts</v>
          </cell>
          <cell r="I107" t="e">
            <v>#N/A</v>
          </cell>
          <cell r="J107" t="e">
            <v>#N/A</v>
          </cell>
          <cell r="K107" t="str">
            <v>Alan Butterly</v>
          </cell>
          <cell r="L107" t="str">
            <v>MQ104033</v>
          </cell>
          <cell r="M107" t="e">
            <v>#N/A</v>
          </cell>
        </row>
        <row r="108">
          <cell r="A108" t="str">
            <v>BBMULEELC</v>
          </cell>
          <cell r="B108" t="str">
            <v>From Risk - Fund Responsibility - Model Portfolios</v>
          </cell>
          <cell r="C108" t="e">
            <v>#N/A</v>
          </cell>
          <cell r="D108" t="str">
            <v>BB Multi UL Equity Europe LC</v>
          </cell>
          <cell r="E108" t="str">
            <v>AMUNDI SGR</v>
          </cell>
          <cell r="F108" t="str">
            <v>PIM LTD</v>
          </cell>
          <cell r="G108" t="str">
            <v>Italy</v>
          </cell>
          <cell r="H108" t="str">
            <v>BB Multiasset Fund Solutions - FOFs &amp; Segregated Accounts</v>
          </cell>
          <cell r="I108" t="e">
            <v>#N/A</v>
          </cell>
          <cell r="J108" t="e">
            <v>#N/A</v>
          </cell>
          <cell r="K108" t="str">
            <v>Gary Moglione</v>
          </cell>
          <cell r="L108" t="str">
            <v>MQ103579</v>
          </cell>
          <cell r="M108" t="e">
            <v>#N/A</v>
          </cell>
        </row>
        <row r="109">
          <cell r="A109" t="str">
            <v>BBMULEUSLC</v>
          </cell>
          <cell r="B109" t="str">
            <v>From Risk - Fund Responsibility - Model Portfolios</v>
          </cell>
          <cell r="C109" t="e">
            <v>#N/A</v>
          </cell>
          <cell r="D109" t="str">
            <v>BB Multi UL Equity US LC</v>
          </cell>
          <cell r="E109" t="str">
            <v>AMUNDI SGR</v>
          </cell>
          <cell r="F109" t="str">
            <v>PIM LTD</v>
          </cell>
          <cell r="G109" t="str">
            <v>Italy</v>
          </cell>
          <cell r="H109" t="str">
            <v>BB Multiasset Fund Solutions - FOFs &amp; Segregated Accounts</v>
          </cell>
          <cell r="I109" t="e">
            <v>#N/A</v>
          </cell>
          <cell r="J109" t="e">
            <v>#N/A</v>
          </cell>
          <cell r="K109" t="str">
            <v>Frank Gans</v>
          </cell>
          <cell r="L109" t="str">
            <v>MQ103581</v>
          </cell>
          <cell r="M109" t="e">
            <v>#N/A</v>
          </cell>
        </row>
        <row r="110">
          <cell r="A110" t="str">
            <v>BBTSTPF1</v>
          </cell>
          <cell r="B110" t="str">
            <v>From Risk - Fund Responsibility - Model Portfolios</v>
          </cell>
          <cell r="C110" t="e">
            <v>#N/A</v>
          </cell>
          <cell r="D110" t="str">
            <v>BB Test Portfolio 1</v>
          </cell>
          <cell r="E110" t="str">
            <v>AMUNDI SGR</v>
          </cell>
          <cell r="F110" t="str">
            <v>PIM LTD</v>
          </cell>
          <cell r="G110" t="str">
            <v>Italy</v>
          </cell>
          <cell r="H110" t="str">
            <v>BB Multiasset Fund Solutions - FOFs &amp; Segregated Accounts</v>
          </cell>
          <cell r="I110" t="e">
            <v>#N/A</v>
          </cell>
          <cell r="J110" t="e">
            <v>#N/A</v>
          </cell>
          <cell r="K110" t="str">
            <v>O'TOOLE, JOHN</v>
          </cell>
          <cell r="L110" t="str">
            <v>A437071</v>
          </cell>
          <cell r="M110" t="e">
            <v>#N/A</v>
          </cell>
        </row>
        <row r="111">
          <cell r="A111" t="str">
            <v>MDIA3UL</v>
          </cell>
          <cell r="B111" t="str">
            <v>From Risk - Fund Responsibility - Model Portfolios</v>
          </cell>
          <cell r="C111" t="e">
            <v>#N/A</v>
          </cell>
          <cell r="D111" t="str">
            <v>Diamond 3 Unit Linked</v>
          </cell>
          <cell r="E111" t="str">
            <v>AMUNDI SGR</v>
          </cell>
          <cell r="F111" t="str">
            <v>PIM LTD</v>
          </cell>
          <cell r="G111" t="str">
            <v>Italy</v>
          </cell>
          <cell r="H111" t="str">
            <v>Unit Linked</v>
          </cell>
          <cell r="I111" t="str">
            <v>Equity</v>
          </cell>
          <cell r="J111" t="str">
            <v>Blend</v>
          </cell>
          <cell r="K111" t="str">
            <v>Gary Moglione</v>
          </cell>
          <cell r="L111" t="str">
            <v>MQ100097</v>
          </cell>
          <cell r="M111" t="e">
            <v>#N/A</v>
          </cell>
        </row>
        <row r="112">
          <cell r="A112" t="str">
            <v>MDIA4UL</v>
          </cell>
          <cell r="B112" t="str">
            <v>From Risk - Fund Responsibility - Model Portfolios</v>
          </cell>
          <cell r="C112" t="e">
            <v>#N/A</v>
          </cell>
          <cell r="D112" t="str">
            <v>Diamond 4 Unit Linked</v>
          </cell>
          <cell r="E112" t="str">
            <v>AMUNDI SGR</v>
          </cell>
          <cell r="F112" t="str">
            <v>PIM LTD</v>
          </cell>
          <cell r="G112" t="str">
            <v>Italy</v>
          </cell>
          <cell r="H112" t="str">
            <v>Unit Linked</v>
          </cell>
          <cell r="I112" t="str">
            <v>Equity</v>
          </cell>
          <cell r="J112" t="str">
            <v>Blend</v>
          </cell>
          <cell r="K112" t="str">
            <v>Frank Gans</v>
          </cell>
          <cell r="L112" t="str">
            <v>MQ100099</v>
          </cell>
          <cell r="M112" t="e">
            <v>#N/A</v>
          </cell>
        </row>
        <row r="113">
          <cell r="A113" t="str">
            <v>MEUPAMSF3</v>
          </cell>
          <cell r="B113" t="str">
            <v>From Risk - Fund Responsibility - Model Portfolios</v>
          </cell>
          <cell r="C113" t="str">
            <v>Yes</v>
          </cell>
          <cell r="D113" t="str">
            <v>UBP EURO SF 3</v>
          </cell>
          <cell r="E113" t="str">
            <v>AMUNDI SGR</v>
          </cell>
          <cell r="F113" t="str">
            <v>PIM LTD</v>
          </cell>
          <cell r="G113" t="str">
            <v>Italy</v>
          </cell>
          <cell r="H113" t="str">
            <v>Segregate Account</v>
          </cell>
          <cell r="I113" t="str">
            <v>Asset Allocation</v>
          </cell>
          <cell r="J113" t="str">
            <v>Cautious</v>
          </cell>
          <cell r="K113" t="str">
            <v>PierPaolo Paparo</v>
          </cell>
          <cell r="L113" t="str">
            <v>MQ100439</v>
          </cell>
          <cell r="M113" t="e">
            <v>#N/A</v>
          </cell>
        </row>
        <row r="114">
          <cell r="A114" t="str">
            <v>PLAP</v>
          </cell>
          <cell r="B114" t="str">
            <v>From Risk - Fund Responsibility - Model Portfolios</v>
          </cell>
          <cell r="C114" t="e">
            <v>#N/A</v>
          </cell>
          <cell r="D114" t="str">
            <v>Univalore E Azionario Pacifico</v>
          </cell>
          <cell r="E114" t="str">
            <v>AMUNDI SGR</v>
          </cell>
          <cell r="F114" t="str">
            <v>PIM LTD</v>
          </cell>
          <cell r="G114" t="str">
            <v>Italy</v>
          </cell>
          <cell r="H114" t="str">
            <v>Unit Linked</v>
          </cell>
          <cell r="I114" t="str">
            <v>Equity</v>
          </cell>
          <cell r="J114" t="str">
            <v>Blend</v>
          </cell>
          <cell r="K114" t="str">
            <v>Frank Gans</v>
          </cell>
          <cell r="L114" t="str">
            <v>MQ102862</v>
          </cell>
          <cell r="M114" t="e">
            <v>#N/A</v>
          </cell>
        </row>
        <row r="115">
          <cell r="A115" t="str">
            <v>PPIAZECEM</v>
          </cell>
          <cell r="B115" t="str">
            <v>From Risk - Fund Responsibility - Model Portfolios</v>
          </cell>
          <cell r="C115" t="e">
            <v>#N/A</v>
          </cell>
          <cell r="D115" t="str">
            <v>PPI Azionaria Economie Emergenti</v>
          </cell>
          <cell r="E115" t="str">
            <v>AMUNDI SGR</v>
          </cell>
          <cell r="F115" t="str">
            <v>PIM LTD</v>
          </cell>
          <cell r="G115" t="str">
            <v>Italy</v>
          </cell>
          <cell r="H115" t="str">
            <v>Segregate Account</v>
          </cell>
          <cell r="I115" t="e">
            <v>#N/A</v>
          </cell>
          <cell r="J115" t="e">
            <v>#N/A</v>
          </cell>
          <cell r="K115" t="str">
            <v>Filippo Valvona</v>
          </cell>
          <cell r="L115" t="str">
            <v>MQ102977</v>
          </cell>
          <cell r="M115" t="e">
            <v>#N/A</v>
          </cell>
        </row>
        <row r="116">
          <cell r="A116" t="str">
            <v>PPIAZEURO</v>
          </cell>
          <cell r="B116" t="str">
            <v>From Risk - Fund Responsibility - Model Portfolios</v>
          </cell>
          <cell r="C116" t="e">
            <v>#N/A</v>
          </cell>
          <cell r="D116" t="str">
            <v>PPI Azionaria Europa</v>
          </cell>
          <cell r="E116" t="str">
            <v>AMUNDI SGR</v>
          </cell>
          <cell r="F116" t="str">
            <v>PIM LTD</v>
          </cell>
          <cell r="G116" t="str">
            <v>Italy</v>
          </cell>
          <cell r="H116" t="str">
            <v>Segregate Account</v>
          </cell>
          <cell r="I116" t="e">
            <v>#N/A</v>
          </cell>
          <cell r="J116" t="e">
            <v>#N/A</v>
          </cell>
          <cell r="K116" t="str">
            <v>Gary Moglione</v>
          </cell>
          <cell r="L116" t="str">
            <v>MQ102973</v>
          </cell>
          <cell r="M116" t="e">
            <v>#N/A</v>
          </cell>
        </row>
        <row r="117">
          <cell r="A117" t="str">
            <v>PPIAZINTER</v>
          </cell>
          <cell r="B117" t="str">
            <v>From Risk - Fund Responsibility - Model Portfolios</v>
          </cell>
          <cell r="C117" t="e">
            <v>#N/A</v>
          </cell>
          <cell r="D117" t="str">
            <v>PPI Azionaria Internazionale</v>
          </cell>
          <cell r="E117" t="str">
            <v>AMUNDI SGR</v>
          </cell>
          <cell r="F117" t="str">
            <v>PIM LTD</v>
          </cell>
          <cell r="G117" t="str">
            <v>Italy</v>
          </cell>
          <cell r="H117" t="str">
            <v>Segregate Account</v>
          </cell>
          <cell r="I117" t="e">
            <v>#N/A</v>
          </cell>
          <cell r="J117" t="e">
            <v>#N/A</v>
          </cell>
          <cell r="K117" t="str">
            <v>Frank Gans</v>
          </cell>
          <cell r="L117" t="str">
            <v>MQ102976</v>
          </cell>
          <cell r="M117" t="e">
            <v>#N/A</v>
          </cell>
        </row>
        <row r="118">
          <cell r="A118" t="str">
            <v>PPIAZNAM</v>
          </cell>
          <cell r="B118" t="str">
            <v>From Risk - Fund Responsibility - Model Portfolios</v>
          </cell>
          <cell r="C118" t="e">
            <v>#N/A</v>
          </cell>
          <cell r="D118" t="str">
            <v>PPI Azionaria Nord America</v>
          </cell>
          <cell r="E118" t="str">
            <v>AMUNDI SGR</v>
          </cell>
          <cell r="F118" t="str">
            <v>PIM LTD</v>
          </cell>
          <cell r="G118" t="str">
            <v>Italy</v>
          </cell>
          <cell r="H118" t="str">
            <v>Segregate Account</v>
          </cell>
          <cell r="I118" t="e">
            <v>#N/A</v>
          </cell>
          <cell r="J118" t="e">
            <v>#N/A</v>
          </cell>
          <cell r="K118" t="str">
            <v>Frank Gans</v>
          </cell>
          <cell r="L118" t="str">
            <v>MQ102975</v>
          </cell>
          <cell r="M118" t="e">
            <v>#N/A</v>
          </cell>
        </row>
        <row r="119">
          <cell r="A119" t="str">
            <v>PPIAZPACIF</v>
          </cell>
          <cell r="B119" t="str">
            <v>From Risk - Fund Responsibility - Model Portfolios</v>
          </cell>
          <cell r="C119" t="e">
            <v>#N/A</v>
          </cell>
          <cell r="D119" t="str">
            <v>PPI Azionaria Pacifico</v>
          </cell>
          <cell r="E119" t="str">
            <v>AMUNDI SGR</v>
          </cell>
          <cell r="F119" t="str">
            <v>PIM LTD</v>
          </cell>
          <cell r="G119" t="str">
            <v>Italy</v>
          </cell>
          <cell r="H119" t="str">
            <v>Segregate Account</v>
          </cell>
          <cell r="I119" t="e">
            <v>#N/A</v>
          </cell>
          <cell r="J119" t="e">
            <v>#N/A</v>
          </cell>
          <cell r="K119" t="str">
            <v>Gary Moglione</v>
          </cell>
          <cell r="L119" t="str">
            <v>MQ102974</v>
          </cell>
          <cell r="M119" t="e">
            <v>#N/A</v>
          </cell>
        </row>
        <row r="120">
          <cell r="A120" t="str">
            <v>PPIBONDEN</v>
          </cell>
          <cell r="B120" t="str">
            <v>From Risk - Fund Responsibility - Model Portfolios</v>
          </cell>
          <cell r="C120" t="e">
            <v>#N/A</v>
          </cell>
          <cell r="D120" t="str">
            <v>PPI Obbligazionaria Euro Corporate</v>
          </cell>
          <cell r="E120" t="str">
            <v>AMUNDI SGR</v>
          </cell>
          <cell r="F120" t="str">
            <v>PIM LTD</v>
          </cell>
          <cell r="G120" t="str">
            <v>Italy</v>
          </cell>
          <cell r="H120" t="str">
            <v>Segregate Account</v>
          </cell>
          <cell r="I120" t="e">
            <v>#N/A</v>
          </cell>
          <cell r="J120" t="e">
            <v>#N/A</v>
          </cell>
          <cell r="K120" t="str">
            <v>Barbara Costa</v>
          </cell>
          <cell r="L120" t="str">
            <v>MQ102970</v>
          </cell>
          <cell r="M120" t="e">
            <v>#N/A</v>
          </cell>
        </row>
        <row r="121">
          <cell r="A121" t="str">
            <v>PPIUSBOND</v>
          </cell>
          <cell r="B121" t="str">
            <v>From Risk - Fund Responsibility - Model Portfolios</v>
          </cell>
          <cell r="C121" t="e">
            <v>#N/A</v>
          </cell>
          <cell r="D121" t="str">
            <v>PPI Obbligazionaria Dollaro</v>
          </cell>
          <cell r="E121" t="str">
            <v>AMUNDI SGR</v>
          </cell>
          <cell r="F121" t="str">
            <v>PIM LTD</v>
          </cell>
          <cell r="G121" t="str">
            <v>Italy</v>
          </cell>
          <cell r="H121" t="str">
            <v>Segregate Account</v>
          </cell>
          <cell r="I121" t="e">
            <v>#N/A</v>
          </cell>
          <cell r="J121" t="e">
            <v>#N/A</v>
          </cell>
          <cell r="K121" t="str">
            <v>Flavia Bucci</v>
          </cell>
          <cell r="L121" t="str">
            <v>MQ102971</v>
          </cell>
          <cell r="M121" t="e">
            <v>#N/A</v>
          </cell>
        </row>
        <row r="122">
          <cell r="A122" t="str">
            <v>R2M</v>
          </cell>
          <cell r="B122" t="str">
            <v>From Risk - Fund Responsibility - Model Portfolios</v>
          </cell>
          <cell r="C122" t="str">
            <v>Yes</v>
          </cell>
          <cell r="D122" t="str">
            <v>CNP Linea Protetta Dinamica Plus</v>
          </cell>
          <cell r="E122" t="str">
            <v>AMUNDI SGR</v>
          </cell>
          <cell r="F122" t="str">
            <v>PIM LTD</v>
          </cell>
          <cell r="G122" t="str">
            <v>Italy</v>
          </cell>
          <cell r="H122" t="str">
            <v>Unit Linked</v>
          </cell>
          <cell r="I122" t="str">
            <v>Asset Allocation</v>
          </cell>
          <cell r="J122" t="str">
            <v>Aggressive</v>
          </cell>
          <cell r="K122" t="str">
            <v>Lorenzo Di Pietrantonio</v>
          </cell>
          <cell r="L122" t="str">
            <v>MQ103348</v>
          </cell>
          <cell r="M122" t="e">
            <v>#N/A</v>
          </cell>
        </row>
        <row r="123">
          <cell r="A123" t="str">
            <v>UDM10</v>
          </cell>
          <cell r="B123" t="str">
            <v>From Risk - Fund Responsibility - Model Portfolios</v>
          </cell>
          <cell r="C123" t="e">
            <v>#N/A</v>
          </cell>
          <cell r="D123" t="str">
            <v>UDM10 European Small Cap</v>
          </cell>
          <cell r="E123" t="str">
            <v>AMUNDI SGR</v>
          </cell>
          <cell r="F123" t="str">
            <v>PIM LTD</v>
          </cell>
          <cell r="G123" t="str">
            <v>Italy</v>
          </cell>
          <cell r="H123" t="str">
            <v>Unit Linked</v>
          </cell>
          <cell r="I123" t="str">
            <v>Equity</v>
          </cell>
          <cell r="J123" t="str">
            <v>Blend</v>
          </cell>
          <cell r="K123" t="str">
            <v>Paul Weber</v>
          </cell>
          <cell r="L123" t="str">
            <v>MQ100377</v>
          </cell>
          <cell r="M123" t="e">
            <v>#N/A</v>
          </cell>
        </row>
        <row r="124">
          <cell r="A124" t="str">
            <v>UDM5</v>
          </cell>
          <cell r="B124" t="str">
            <v>From Risk - Fund Responsibility - Model Portfolios</v>
          </cell>
          <cell r="C124" t="e">
            <v>#N/A</v>
          </cell>
          <cell r="D124" t="str">
            <v>Unidiamond + Azionaria Europa</v>
          </cell>
          <cell r="E124" t="str">
            <v>AMUNDI SGR</v>
          </cell>
          <cell r="F124" t="str">
            <v>PIM LTD</v>
          </cell>
          <cell r="G124" t="str">
            <v>Italy</v>
          </cell>
          <cell r="H124" t="str">
            <v>Unit Linked</v>
          </cell>
          <cell r="I124" t="str">
            <v>Equity</v>
          </cell>
          <cell r="J124" t="str">
            <v>Blend</v>
          </cell>
          <cell r="K124" t="str">
            <v>Gary Moglione</v>
          </cell>
          <cell r="L124" t="str">
            <v>MQ100385</v>
          </cell>
          <cell r="M124" t="e">
            <v>#N/A</v>
          </cell>
        </row>
        <row r="125">
          <cell r="A125" t="str">
            <v>UDM6</v>
          </cell>
          <cell r="B125" t="str">
            <v>From Risk - Fund Responsibility - Model Portfolios</v>
          </cell>
          <cell r="C125" t="e">
            <v>#N/A</v>
          </cell>
          <cell r="D125" t="str">
            <v>Unidiamond + Azionaria America</v>
          </cell>
          <cell r="E125" t="str">
            <v>AMUNDI SGR</v>
          </cell>
          <cell r="F125" t="str">
            <v>PIM LTD</v>
          </cell>
          <cell r="G125" t="str">
            <v>Italy</v>
          </cell>
          <cell r="H125" t="str">
            <v>Unit Linked</v>
          </cell>
          <cell r="I125" t="str">
            <v>Equity</v>
          </cell>
          <cell r="J125" t="str">
            <v>Blend</v>
          </cell>
          <cell r="K125" t="str">
            <v>Frank Gans</v>
          </cell>
          <cell r="L125" t="str">
            <v>MQ100387</v>
          </cell>
          <cell r="M125" t="e">
            <v>#N/A</v>
          </cell>
        </row>
        <row r="126">
          <cell r="A126" t="str">
            <v>UDM7</v>
          </cell>
          <cell r="B126" t="str">
            <v>From Risk - Fund Responsibility - Model Portfolios</v>
          </cell>
          <cell r="C126" t="e">
            <v>#N/A</v>
          </cell>
          <cell r="D126" t="str">
            <v>Life Program Azionario Pacifico</v>
          </cell>
          <cell r="E126" t="str">
            <v>AMUNDI SGR</v>
          </cell>
          <cell r="F126" t="str">
            <v>PIM LTD</v>
          </cell>
          <cell r="G126" t="str">
            <v>Italy</v>
          </cell>
          <cell r="H126" t="str">
            <v>Unit Linked</v>
          </cell>
          <cell r="I126" t="str">
            <v>Equity</v>
          </cell>
          <cell r="J126" t="str">
            <v>Blend</v>
          </cell>
          <cell r="K126" t="str">
            <v>Paul Weber</v>
          </cell>
          <cell r="L126" t="str">
            <v>MQ100389</v>
          </cell>
          <cell r="M126" t="e">
            <v>#N/A</v>
          </cell>
        </row>
        <row r="127">
          <cell r="A127" t="str">
            <v>UDM9</v>
          </cell>
          <cell r="B127" t="str">
            <v>From Risk - Fund Responsibility - Model Portfolios</v>
          </cell>
          <cell r="C127" t="e">
            <v>#N/A</v>
          </cell>
          <cell r="D127" t="str">
            <v>Unidiamond + Azionaria Intl</v>
          </cell>
          <cell r="E127" t="str">
            <v>AMUNDI SGR</v>
          </cell>
          <cell r="F127" t="str">
            <v>PIM LTD</v>
          </cell>
          <cell r="G127" t="str">
            <v>Italy</v>
          </cell>
          <cell r="H127" t="str">
            <v>Unit Linked</v>
          </cell>
          <cell r="I127" t="str">
            <v>Equity</v>
          </cell>
          <cell r="J127" t="str">
            <v>Blend</v>
          </cell>
          <cell r="K127" t="str">
            <v>Frank Gans</v>
          </cell>
          <cell r="L127" t="str">
            <v>MQ100393</v>
          </cell>
          <cell r="M127" t="e">
            <v>#N/A</v>
          </cell>
        </row>
        <row r="128">
          <cell r="A128" t="str">
            <v>UEAAL</v>
          </cell>
          <cell r="B128" t="str">
            <v>From Risk - Fund Responsibility - Model Portfolios</v>
          </cell>
          <cell r="C128" t="e">
            <v>#N/A</v>
          </cell>
          <cell r="D128" t="str">
            <v>Univalore E Azionario America Latina</v>
          </cell>
          <cell r="E128" t="str">
            <v>AMUNDI SGR</v>
          </cell>
          <cell r="F128" t="str">
            <v>PIM LTD</v>
          </cell>
          <cell r="G128" t="str">
            <v>Italy</v>
          </cell>
          <cell r="H128" t="str">
            <v>Unit Linked</v>
          </cell>
          <cell r="I128" t="str">
            <v>Equity</v>
          </cell>
          <cell r="J128" t="str">
            <v>Blend</v>
          </cell>
          <cell r="K128" t="str">
            <v>Filippo Valvona</v>
          </cell>
          <cell r="L128" t="str">
            <v>MQ103688</v>
          </cell>
          <cell r="M128" t="e">
            <v>#N/A</v>
          </cell>
        </row>
        <row r="129">
          <cell r="A129" t="str">
            <v>UEAC</v>
          </cell>
          <cell r="B129" t="str">
            <v>From Risk - Fund Responsibility - Model Portfolios</v>
          </cell>
          <cell r="C129" t="e">
            <v>#N/A</v>
          </cell>
          <cell r="D129" t="str">
            <v>Univalore E Azionario Cina</v>
          </cell>
          <cell r="E129" t="str">
            <v>AMUNDI SGR</v>
          </cell>
          <cell r="F129" t="str">
            <v>PIM LTD</v>
          </cell>
          <cell r="G129" t="str">
            <v>Italy</v>
          </cell>
          <cell r="H129" t="str">
            <v>Unit Linked</v>
          </cell>
          <cell r="I129" t="str">
            <v>Equity</v>
          </cell>
          <cell r="J129" t="str">
            <v>Blend</v>
          </cell>
          <cell r="K129" t="str">
            <v>Filippo Valvona</v>
          </cell>
          <cell r="L129" t="str">
            <v>MQ103691</v>
          </cell>
          <cell r="M129" t="e">
            <v>#N/A</v>
          </cell>
        </row>
        <row r="130">
          <cell r="A130" t="str">
            <v>UEAIN</v>
          </cell>
          <cell r="B130" t="str">
            <v>From Risk - Fund Responsibility - Model Portfolios</v>
          </cell>
          <cell r="C130" t="e">
            <v>#N/A</v>
          </cell>
          <cell r="D130" t="str">
            <v>Univalore E Azionario India</v>
          </cell>
          <cell r="E130" t="str">
            <v>AMUNDI SGR</v>
          </cell>
          <cell r="F130" t="str">
            <v>PIM LTD</v>
          </cell>
          <cell r="G130" t="str">
            <v>Italy</v>
          </cell>
          <cell r="H130" t="str">
            <v>Unit Linked</v>
          </cell>
          <cell r="I130" t="str">
            <v>Equity</v>
          </cell>
          <cell r="J130" t="str">
            <v>Blend</v>
          </cell>
          <cell r="K130" t="str">
            <v>Filippo Valvona</v>
          </cell>
          <cell r="L130" t="str">
            <v>MQ103690</v>
          </cell>
          <cell r="M130" t="e">
            <v>#N/A</v>
          </cell>
        </row>
        <row r="131">
          <cell r="A131" t="str">
            <v>UEEEM</v>
          </cell>
          <cell r="B131" t="str">
            <v>From Risk - Fund Responsibility - Model Portfolios</v>
          </cell>
          <cell r="C131" t="e">
            <v>#N/A</v>
          </cell>
          <cell r="D131" t="str">
            <v>Univalore E Azionario Emerg Eu e Med</v>
          </cell>
          <cell r="E131" t="str">
            <v>AMUNDI SGR</v>
          </cell>
          <cell r="F131" t="str">
            <v>PIM LTD</v>
          </cell>
          <cell r="G131" t="str">
            <v>Italy</v>
          </cell>
          <cell r="H131" t="str">
            <v>Unit Linked</v>
          </cell>
          <cell r="I131" t="str">
            <v>Equity</v>
          </cell>
          <cell r="J131" t="str">
            <v>Blend</v>
          </cell>
          <cell r="K131" t="str">
            <v>Filippo Valvona</v>
          </cell>
          <cell r="L131" t="str">
            <v>MQ103692</v>
          </cell>
          <cell r="M131" t="e">
            <v>#N/A</v>
          </cell>
        </row>
        <row r="132">
          <cell r="A132" t="str">
            <v>ULECSTARS</v>
          </cell>
          <cell r="B132" t="str">
            <v>From Risk - Fund Responsibility - Model Portfolios</v>
          </cell>
          <cell r="C132" t="e">
            <v>#N/A</v>
          </cell>
          <cell r="D132" t="str">
            <v>UL Global Equity Dividend &amp; Subordinated Credit</v>
          </cell>
          <cell r="E132" t="str">
            <v>AMUNDI SGR</v>
          </cell>
          <cell r="F132" t="str">
            <v>PIM LTD</v>
          </cell>
          <cell r="G132" t="str">
            <v>Italy</v>
          </cell>
          <cell r="H132" t="str">
            <v>Unit linked</v>
          </cell>
          <cell r="I132" t="str">
            <v>Asset Allocation</v>
          </cell>
          <cell r="J132" t="str">
            <v>Aggressive</v>
          </cell>
          <cell r="K132" t="str">
            <v>Barbara Costa</v>
          </cell>
          <cell r="L132" t="str">
            <v>A506074</v>
          </cell>
          <cell r="M132" t="e">
            <v>#N/A</v>
          </cell>
        </row>
        <row r="133">
          <cell r="A133" t="str">
            <v>AAPROT80</v>
          </cell>
          <cell r="B133" t="str">
            <v>From Risk - Fund Responsibility - Model Portfolios</v>
          </cell>
          <cell r="C133" t="str">
            <v>Yes</v>
          </cell>
          <cell r="D133" t="str">
            <v xml:space="preserve">Internal Insurance Fund (IIF) for AVIVA Insurance Company </v>
          </cell>
          <cell r="M133" t="e">
            <v>#N/A</v>
          </cell>
        </row>
        <row r="134">
          <cell r="A134" t="str">
            <v>PPIAZNAMHEDG</v>
          </cell>
          <cell r="B134" t="str">
            <v>From Risk - Fund Responsibility - Model Portfolios</v>
          </cell>
          <cell r="C134" t="e">
            <v>#N/A</v>
          </cell>
          <cell r="M134" t="str">
            <v>Cordusio</v>
          </cell>
        </row>
        <row r="135">
          <cell r="A135" t="str">
            <v>PPIAZJAP</v>
          </cell>
          <cell r="B135" t="str">
            <v>From Risk - Fund Responsibility - Model Portfolios</v>
          </cell>
          <cell r="C135" t="e">
            <v>#N/A</v>
          </cell>
          <cell r="M135" t="str">
            <v>Cordusio</v>
          </cell>
        </row>
        <row r="136">
          <cell r="A136" t="str">
            <v>PPIAZJAPHG</v>
          </cell>
          <cell r="B136" t="str">
            <v>From Risk - Fund Responsibility - Model Portfolios</v>
          </cell>
          <cell r="C136" t="e">
            <v>#N/A</v>
          </cell>
          <cell r="M136" t="str">
            <v>Cordusio</v>
          </cell>
        </row>
        <row r="137">
          <cell r="A137" t="str">
            <v>PPICOMMOD</v>
          </cell>
          <cell r="B137" t="str">
            <v>From Risk - Fund Responsibility - Model Portfolios</v>
          </cell>
          <cell r="C137" t="e">
            <v>#N/A</v>
          </cell>
          <cell r="M137" t="str">
            <v>Cordusio</v>
          </cell>
        </row>
        <row r="138">
          <cell r="A138" t="str">
            <v>PPIAZINTER</v>
          </cell>
          <cell r="B138" t="str">
            <v>From Risk - Fund Responsibility - Model Portfolios</v>
          </cell>
          <cell r="C138" t="e">
            <v>#N/A</v>
          </cell>
          <cell r="M138" t="str">
            <v>Cordusio</v>
          </cell>
        </row>
        <row r="139">
          <cell r="A139" t="str">
            <v>UDM1</v>
          </cell>
          <cell r="C139" t="e">
            <v>#N/A</v>
          </cell>
          <cell r="D139" t="str">
            <v>UDM1 Liquidity</v>
          </cell>
          <cell r="E139" t="str">
            <v>AMUNDI SGR</v>
          </cell>
          <cell r="F139" t="str">
            <v>PIM LTD</v>
          </cell>
          <cell r="G139" t="str">
            <v>Italy</v>
          </cell>
        </row>
        <row r="140">
          <cell r="A140" t="str">
            <v>MULTHEM</v>
          </cell>
          <cell r="N140" t="str">
            <v>Salva asked for this to be included - but was already on From Risk - Models Master - Sheet 1</v>
          </cell>
        </row>
        <row r="141">
          <cell r="A141" t="str">
            <v>DIOP 1 to 4</v>
          </cell>
          <cell r="N141" t="str">
            <v>Not on a list anywhwer e- but verbally included by Salva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M Breakdown"/>
      <sheetName val="Sheet1"/>
      <sheetName val="Desk mapping"/>
      <sheetName val="Pivot for Jun AUM"/>
      <sheetName val="Pivot for product numb and AUM"/>
      <sheetName val="Sheet5"/>
      <sheetName val="Total AUM"/>
      <sheetName val="Sheet8"/>
      <sheetName val="Total AUM Data"/>
      <sheetName val="Sheet3"/>
      <sheetName val="Sheet4"/>
      <sheetName val="UL - SA"/>
      <sheetName val="Craig List"/>
    </sheetNames>
    <sheetDataSet>
      <sheetData sheetId="0" refreshError="1"/>
      <sheetData sheetId="1" refreshError="1"/>
      <sheetData sheetId="2">
        <row r="4">
          <cell r="G4" t="str">
            <v>Product Code</v>
          </cell>
          <cell r="H4" t="str">
            <v>Models AUM - Desk Mapping</v>
          </cell>
          <cell r="I4" t="str">
            <v>Product Name</v>
          </cell>
          <cell r="J4" t="str">
            <v>Desk in Dublin</v>
          </cell>
          <cell r="K4" t="str">
            <v>Strategy Type</v>
          </cell>
          <cell r="L4" t="str">
            <v>Strategy Risk</v>
          </cell>
        </row>
        <row r="5">
          <cell r="G5" t="str">
            <v>1PM</v>
          </cell>
          <cell r="H5" t="str">
            <v>Models AUM - Desk Mapping</v>
          </cell>
          <cell r="I5" t="str">
            <v>CAM Ares Risparmio Attivo M</v>
          </cell>
          <cell r="J5" t="str">
            <v>PM</v>
          </cell>
          <cell r="K5" t="str">
            <v>Allocation Driven Strategies</v>
          </cell>
          <cell r="L5" t="str">
            <v>Growth</v>
          </cell>
        </row>
        <row r="6">
          <cell r="G6" t="str">
            <v>1QM</v>
          </cell>
          <cell r="H6" t="str">
            <v>Models AUM - Desk Mapping</v>
          </cell>
          <cell r="I6" t="str">
            <v>CAM Ares Risparmio Bilanciato M</v>
          </cell>
          <cell r="J6" t="str">
            <v>PM</v>
          </cell>
          <cell r="K6" t="str">
            <v>Allocation Driven Strategies</v>
          </cell>
          <cell r="L6" t="str">
            <v>Moderate</v>
          </cell>
        </row>
        <row r="7">
          <cell r="G7" t="str">
            <v>1RM</v>
          </cell>
          <cell r="H7" t="str">
            <v>Models AUM - Desk Mapping</v>
          </cell>
          <cell r="I7" t="str">
            <v>CAM Ares Risparmio Obbligaz. M</v>
          </cell>
          <cell r="J7" t="str">
            <v>PM</v>
          </cell>
          <cell r="K7" t="str">
            <v>Allocation Driven Strategies</v>
          </cell>
          <cell r="L7" t="str">
            <v>Conservative</v>
          </cell>
        </row>
        <row r="8">
          <cell r="G8" t="str">
            <v>2RDIN</v>
          </cell>
          <cell r="H8" t="str">
            <v>Models AUM - Desk Mapping</v>
          </cell>
          <cell r="I8" t="str">
            <v>HNW 2R DIN</v>
          </cell>
          <cell r="J8" t="str">
            <v>FS</v>
          </cell>
        </row>
        <row r="9">
          <cell r="G9" t="str">
            <v>2RSIC</v>
          </cell>
          <cell r="H9" t="str">
            <v>Models AUM - Desk Mapping</v>
          </cell>
          <cell r="I9" t="str">
            <v>HNW 2R SIC</v>
          </cell>
          <cell r="J9" t="str">
            <v>FS</v>
          </cell>
        </row>
        <row r="10">
          <cell r="G10" t="str">
            <v>2RTRAN</v>
          </cell>
          <cell r="H10" t="str">
            <v>Models AUM - Desk Mapping</v>
          </cell>
          <cell r="I10" t="str">
            <v>HNW 2R TRAN</v>
          </cell>
          <cell r="J10" t="str">
            <v>FS</v>
          </cell>
        </row>
        <row r="11">
          <cell r="G11" t="str">
            <v>AAPROT80</v>
          </cell>
          <cell r="H11" t="str">
            <v>Models AUM - Desk Mapping</v>
          </cell>
          <cell r="I11" t="str">
            <v>ASSET ALLOCATION MODEL PROTETTO 80</v>
          </cell>
          <cell r="J11" t="str">
            <v>PM</v>
          </cell>
          <cell r="K11" t="str">
            <v>Outcome Oriented Strategies</v>
          </cell>
          <cell r="L11" t="str">
            <v>Capital Guaranteed</v>
          </cell>
        </row>
        <row r="12">
          <cell r="G12" t="str">
            <v>ARSTARS</v>
          </cell>
          <cell r="H12" t="str">
            <v>Models AUM - Desk Mapping</v>
          </cell>
          <cell r="I12" t="str">
            <v>Absolute Return Stars</v>
          </cell>
          <cell r="J12" t="str">
            <v>Other Team</v>
          </cell>
        </row>
        <row r="13">
          <cell r="G13" t="str">
            <v>CCRESCITA</v>
          </cell>
          <cell r="H13" t="str">
            <v>Models AUM - Desk Mapping</v>
          </cell>
          <cell r="I13" t="str">
            <v>CAM CRESCITA</v>
          </cell>
          <cell r="J13" t="str">
            <v>PM</v>
          </cell>
          <cell r="K13" t="str">
            <v>Allocation Driven Strategies</v>
          </cell>
          <cell r="L13" t="str">
            <v>Growth</v>
          </cell>
        </row>
        <row r="14">
          <cell r="G14" t="str">
            <v>CMEDIUM</v>
          </cell>
          <cell r="H14" t="str">
            <v>Models AUM - Desk Mapping</v>
          </cell>
          <cell r="I14" t="str">
            <v>CAM MEDIUM</v>
          </cell>
          <cell r="J14" t="str">
            <v>PM</v>
          </cell>
          <cell r="K14" t="str">
            <v>Allocation Driven Strategies</v>
          </cell>
          <cell r="L14" t="str">
            <v>Moderate</v>
          </cell>
        </row>
        <row r="15">
          <cell r="G15" t="str">
            <v>CNPDYNPR80</v>
          </cell>
          <cell r="H15" t="str">
            <v>Models AUM - Desk Mapping</v>
          </cell>
          <cell r="I15" t="str">
            <v>CNP Dynamic Protection 80</v>
          </cell>
          <cell r="J15" t="str">
            <v>PM</v>
          </cell>
          <cell r="K15" t="str">
            <v>Outcome Oriented Strategies</v>
          </cell>
          <cell r="L15" t="str">
            <v>Capital Guaranteed</v>
          </cell>
        </row>
        <row r="16">
          <cell r="G16" t="str">
            <v>COBBLEURO</v>
          </cell>
          <cell r="H16" t="str">
            <v>Models AUM - Desk Mapping</v>
          </cell>
          <cell r="I16" t="str">
            <v>CAM OBBLIGAZIONARIA EURO</v>
          </cell>
          <cell r="J16" t="str">
            <v>PM</v>
          </cell>
          <cell r="K16" t="str">
            <v>Allocation Driven Strategies</v>
          </cell>
          <cell r="L16" t="str">
            <v>Conservative</v>
          </cell>
        </row>
        <row r="17">
          <cell r="G17" t="str">
            <v>CREDDITO</v>
          </cell>
          <cell r="H17" t="str">
            <v>Models AUM - Desk Mapping</v>
          </cell>
          <cell r="I17" t="str">
            <v>CAM REDDITO</v>
          </cell>
          <cell r="J17" t="str">
            <v>PM</v>
          </cell>
          <cell r="K17" t="str">
            <v>Allocation Driven Strategies</v>
          </cell>
          <cell r="L17" t="str">
            <v>Conservative</v>
          </cell>
        </row>
        <row r="18">
          <cell r="G18" t="str">
            <v>CRVDYNPR80</v>
          </cell>
          <cell r="H18" t="str">
            <v>Models AUM - Desk Mapping</v>
          </cell>
          <cell r="I18" t="str">
            <v>CRV Dynamic Protection 80</v>
          </cell>
          <cell r="J18" t="str">
            <v>PM</v>
          </cell>
          <cell r="K18" t="str">
            <v>Outcome Oriented Strategies</v>
          </cell>
          <cell r="L18" t="str">
            <v>Capital Guaranteed</v>
          </cell>
        </row>
        <row r="19">
          <cell r="G19" t="str">
            <v>CSVILUPPO</v>
          </cell>
          <cell r="H19" t="str">
            <v>Models AUM - Desk Mapping</v>
          </cell>
          <cell r="I19" t="str">
            <v>CAM SVILUPPO</v>
          </cell>
          <cell r="J19" t="str">
            <v>PM</v>
          </cell>
          <cell r="K19" t="str">
            <v>Allocation Driven Strategies</v>
          </cell>
          <cell r="L19" t="str">
            <v>Growth</v>
          </cell>
        </row>
        <row r="20">
          <cell r="G20" t="str">
            <v>CTREND_20</v>
          </cell>
          <cell r="H20" t="str">
            <v>Models AUM - Desk Mapping</v>
          </cell>
          <cell r="I20" t="str">
            <v>CAM TREND 20</v>
          </cell>
          <cell r="J20" t="str">
            <v>PM</v>
          </cell>
          <cell r="K20" t="str">
            <v>Allocation Driven Strategies</v>
          </cell>
          <cell r="L20" t="str">
            <v>Conservative</v>
          </cell>
        </row>
        <row r="21">
          <cell r="G21" t="str">
            <v>DINAR1TF</v>
          </cell>
          <cell r="H21" t="str">
            <v>Models AUM - Desk Mapping</v>
          </cell>
          <cell r="I21" t="str">
            <v>Uniflex Active 1</v>
          </cell>
          <cell r="J21" t="str">
            <v>PM</v>
          </cell>
          <cell r="K21" t="str">
            <v>Allocation Driven Strategies</v>
          </cell>
          <cell r="L21" t="str">
            <v>Moderate</v>
          </cell>
        </row>
        <row r="22">
          <cell r="G22" t="str">
            <v>DINAR2TF</v>
          </cell>
          <cell r="H22" t="str">
            <v>Models AUM - Desk Mapping</v>
          </cell>
          <cell r="I22" t="str">
            <v>Uniflex Active 2</v>
          </cell>
          <cell r="J22" t="str">
            <v>PM</v>
          </cell>
          <cell r="K22" t="str">
            <v>Allocation Driven Strategies</v>
          </cell>
          <cell r="L22" t="str">
            <v>Moderate</v>
          </cell>
        </row>
        <row r="23">
          <cell r="G23" t="str">
            <v>DINAR3TF</v>
          </cell>
          <cell r="H23" t="str">
            <v>Models AUM - Desk Mapping</v>
          </cell>
          <cell r="I23" t="str">
            <v>Uniflex Active 3</v>
          </cell>
          <cell r="J23" t="str">
            <v>PM</v>
          </cell>
          <cell r="K23" t="str">
            <v>Allocation Driven Strategies</v>
          </cell>
          <cell r="L23" t="str">
            <v>Moderate</v>
          </cell>
        </row>
        <row r="24">
          <cell r="G24" t="str">
            <v>INCSMRT</v>
          </cell>
          <cell r="H24" t="str">
            <v>Models AUM - Desk Mapping</v>
          </cell>
          <cell r="I24" t="str">
            <v>INCOME SMART</v>
          </cell>
          <cell r="J24" t="str">
            <v>Other Team</v>
          </cell>
        </row>
        <row r="25">
          <cell r="G25" t="str">
            <v>LINBIL</v>
          </cell>
          <cell r="H25" t="str">
            <v>Models AUM - Desk Mapping</v>
          </cell>
          <cell r="I25" t="str">
            <v>Linea Bilanciata</v>
          </cell>
          <cell r="J25" t="str">
            <v>Milan</v>
          </cell>
        </row>
        <row r="26">
          <cell r="G26" t="str">
            <v>LINBILPIU</v>
          </cell>
          <cell r="H26" t="str">
            <v>Models AUM - Desk Mapping</v>
          </cell>
          <cell r="I26" t="str">
            <v>Linea Bilanciata Piu</v>
          </cell>
          <cell r="J26" t="str">
            <v>Milan</v>
          </cell>
        </row>
        <row r="27">
          <cell r="G27" t="str">
            <v>LINCAUTA</v>
          </cell>
          <cell r="H27" t="str">
            <v>Models AUM - Desk Mapping</v>
          </cell>
          <cell r="I27" t="str">
            <v>Linea Cauta</v>
          </cell>
          <cell r="J27" t="str">
            <v>Milan</v>
          </cell>
        </row>
        <row r="28">
          <cell r="G28" t="str">
            <v>LINDIN</v>
          </cell>
          <cell r="H28" t="str">
            <v>Models AUM - Desk Mapping</v>
          </cell>
          <cell r="I28" t="str">
            <v>Linea Dinamica</v>
          </cell>
          <cell r="J28" t="str">
            <v>Milan</v>
          </cell>
        </row>
        <row r="29">
          <cell r="G29" t="str">
            <v>LINPRO</v>
          </cell>
          <cell r="H29" t="str">
            <v>Models AUM - Desk Mapping</v>
          </cell>
          <cell r="I29" t="str">
            <v>Linea Protetta</v>
          </cell>
          <cell r="J29" t="str">
            <v>Milan</v>
          </cell>
        </row>
        <row r="30">
          <cell r="G30" t="str">
            <v>LINPRUD</v>
          </cell>
          <cell r="H30" t="str">
            <v>Models AUM - Desk Mapping</v>
          </cell>
          <cell r="I30" t="str">
            <v>Linea Prudente</v>
          </cell>
          <cell r="J30" t="str">
            <v>Milan</v>
          </cell>
        </row>
        <row r="31">
          <cell r="G31" t="str">
            <v>LINPRUPIU</v>
          </cell>
          <cell r="H31" t="str">
            <v>Models AUM - Desk Mapping</v>
          </cell>
          <cell r="I31" t="str">
            <v>Linea Prudente Piu</v>
          </cell>
          <cell r="J31" t="str">
            <v>Milan</v>
          </cell>
        </row>
        <row r="32">
          <cell r="G32" t="str">
            <v>MAA</v>
          </cell>
          <cell r="H32" t="str">
            <v>Models AUM - Desk Mapping</v>
          </cell>
          <cell r="I32" t="str">
            <v>CAM Novembre</v>
          </cell>
          <cell r="J32" t="str">
            <v>PM</v>
          </cell>
          <cell r="K32" t="str">
            <v>Outcome Oriented Strategies</v>
          </cell>
          <cell r="L32" t="str">
            <v>Capital Protection</v>
          </cell>
        </row>
        <row r="33">
          <cell r="G33" t="str">
            <v>MAB</v>
          </cell>
          <cell r="H33" t="str">
            <v>Models AUM - Desk Mapping</v>
          </cell>
          <cell r="I33" t="str">
            <v>CAM Dicembre</v>
          </cell>
          <cell r="J33" t="str">
            <v>PM</v>
          </cell>
          <cell r="K33" t="str">
            <v>Outcome Oriented Strategies</v>
          </cell>
          <cell r="L33" t="str">
            <v>Capital Protection</v>
          </cell>
        </row>
        <row r="34">
          <cell r="G34" t="str">
            <v>MAC</v>
          </cell>
          <cell r="H34" t="str">
            <v>Models AUM - Desk Mapping</v>
          </cell>
          <cell r="I34" t="str">
            <v>CAM Gennaio</v>
          </cell>
          <cell r="J34" t="str">
            <v>PM</v>
          </cell>
          <cell r="K34" t="str">
            <v>Outcome Oriented Strategies</v>
          </cell>
          <cell r="L34" t="str">
            <v>Capital Protection</v>
          </cell>
        </row>
        <row r="35">
          <cell r="G35" t="str">
            <v>MAD</v>
          </cell>
          <cell r="H35" t="str">
            <v>Models AUM - Desk Mapping</v>
          </cell>
          <cell r="I35" t="str">
            <v>CAM Febbraio</v>
          </cell>
          <cell r="J35" t="str">
            <v>PM</v>
          </cell>
          <cell r="K35" t="str">
            <v>Outcome Oriented Strategies</v>
          </cell>
          <cell r="L35" t="str">
            <v>Capital Protection</v>
          </cell>
        </row>
        <row r="36">
          <cell r="G36" t="str">
            <v>MAE</v>
          </cell>
          <cell r="H36" t="str">
            <v>Models AUM - Desk Mapping</v>
          </cell>
          <cell r="I36" t="str">
            <v>CAM Marzo</v>
          </cell>
          <cell r="J36" t="str">
            <v>PM</v>
          </cell>
          <cell r="K36" t="str">
            <v>Outcome Oriented Strategies</v>
          </cell>
          <cell r="L36" t="str">
            <v>Capital Protection</v>
          </cell>
        </row>
        <row r="37">
          <cell r="G37" t="str">
            <v>MAF</v>
          </cell>
          <cell r="H37" t="str">
            <v>Models AUM - Desk Mapping</v>
          </cell>
          <cell r="I37" t="str">
            <v>CAM Aprile</v>
          </cell>
          <cell r="J37" t="str">
            <v>PM</v>
          </cell>
          <cell r="K37" t="str">
            <v>Outcome Oriented Strategies</v>
          </cell>
          <cell r="L37" t="str">
            <v>Capital Protection</v>
          </cell>
        </row>
        <row r="38">
          <cell r="G38" t="str">
            <v>MAG</v>
          </cell>
          <cell r="H38" t="str">
            <v>Models AUM - Desk Mapping</v>
          </cell>
          <cell r="I38" t="str">
            <v>CAM Maggio</v>
          </cell>
          <cell r="J38" t="str">
            <v>PM</v>
          </cell>
          <cell r="K38" t="str">
            <v>Outcome Oriented Strategies</v>
          </cell>
          <cell r="L38" t="str">
            <v>Capital Protection</v>
          </cell>
        </row>
        <row r="39">
          <cell r="G39" t="str">
            <v>MAH</v>
          </cell>
          <cell r="H39" t="str">
            <v>Models AUM - Desk Mapping</v>
          </cell>
          <cell r="I39" t="str">
            <v>CAM Giugno</v>
          </cell>
          <cell r="J39" t="str">
            <v>PM</v>
          </cell>
          <cell r="K39" t="str">
            <v>Outcome Oriented Strategies</v>
          </cell>
          <cell r="L39" t="str">
            <v>Capital Protection</v>
          </cell>
        </row>
        <row r="40">
          <cell r="G40" t="str">
            <v>MAI</v>
          </cell>
          <cell r="H40" t="str">
            <v>Models AUM - Desk Mapping</v>
          </cell>
          <cell r="I40" t="str">
            <v>CAM Luglio</v>
          </cell>
          <cell r="J40" t="str">
            <v>PM</v>
          </cell>
          <cell r="K40" t="str">
            <v>Outcome Oriented Strategies</v>
          </cell>
          <cell r="L40" t="str">
            <v>Capital Protection</v>
          </cell>
        </row>
        <row r="41">
          <cell r="G41" t="str">
            <v>MAL</v>
          </cell>
          <cell r="H41" t="str">
            <v>Models AUM - Desk Mapping</v>
          </cell>
          <cell r="I41" t="str">
            <v>CAM Agosto</v>
          </cell>
          <cell r="J41" t="str">
            <v>PM</v>
          </cell>
          <cell r="K41" t="str">
            <v>Outcome Oriented Strategies</v>
          </cell>
          <cell r="L41" t="str">
            <v>Capital Protection</v>
          </cell>
        </row>
        <row r="42">
          <cell r="G42" t="str">
            <v>MAM</v>
          </cell>
          <cell r="H42" t="str">
            <v>Models AUM - Desk Mapping</v>
          </cell>
          <cell r="I42" t="str">
            <v>CAM Setttembre</v>
          </cell>
          <cell r="J42" t="str">
            <v>PM</v>
          </cell>
          <cell r="K42" t="str">
            <v>Outcome Oriented Strategies</v>
          </cell>
          <cell r="L42" t="str">
            <v>Capital Protection</v>
          </cell>
        </row>
        <row r="43">
          <cell r="G43" t="str">
            <v>MAN</v>
          </cell>
          <cell r="H43" t="str">
            <v>Models AUM - Desk Mapping</v>
          </cell>
          <cell r="I43" t="str">
            <v>CAM Ottobre</v>
          </cell>
          <cell r="J43" t="str">
            <v>PM</v>
          </cell>
          <cell r="K43" t="str">
            <v>Outcome Oriented Strategies</v>
          </cell>
          <cell r="L43" t="str">
            <v>Capital Protection</v>
          </cell>
        </row>
        <row r="44">
          <cell r="G44" t="str">
            <v>MATRUNIP</v>
          </cell>
          <cell r="H44" t="str">
            <v>Models AUM - Desk Mapping</v>
          </cell>
          <cell r="I44" t="str">
            <v>Unit Linked A TR UNIPLAN</v>
          </cell>
          <cell r="J44" t="str">
            <v>PM</v>
          </cell>
          <cell r="K44" t="str">
            <v>Allocation Driven Strategies</v>
          </cell>
          <cell r="L44" t="str">
            <v>Flexible</v>
          </cell>
        </row>
        <row r="45">
          <cell r="G45" t="str">
            <v>MDIA2UL</v>
          </cell>
          <cell r="H45" t="str">
            <v>Models AUM - Desk Mapping</v>
          </cell>
          <cell r="I45" t="str">
            <v>Unit Linked Mono Bond Global</v>
          </cell>
          <cell r="J45" t="str">
            <v>FS</v>
          </cell>
        </row>
        <row r="46">
          <cell r="G46" t="str">
            <v>MDIA3UL</v>
          </cell>
          <cell r="H46" t="str">
            <v>Models AUM - Desk Mapping</v>
          </cell>
          <cell r="I46" t="str">
            <v>Unit Linked Mono Equity Europe</v>
          </cell>
          <cell r="J46" t="str">
            <v>FS</v>
          </cell>
        </row>
        <row r="47">
          <cell r="G47" t="str">
            <v>MDIA4UL</v>
          </cell>
          <cell r="H47" t="str">
            <v>Models AUM - Desk Mapping</v>
          </cell>
          <cell r="I47" t="str">
            <v>Unit Linked Mono Equity North America</v>
          </cell>
          <cell r="J47" t="str">
            <v>FS</v>
          </cell>
        </row>
        <row r="48">
          <cell r="G48" t="str">
            <v>MDINPIR</v>
          </cell>
          <cell r="H48" t="str">
            <v>Models AUM - Desk Mapping</v>
          </cell>
          <cell r="I48" t="str">
            <v>Dinamico PIR</v>
          </cell>
          <cell r="J48" t="str">
            <v>Other Team</v>
          </cell>
        </row>
        <row r="49">
          <cell r="G49" t="str">
            <v>MEBM</v>
          </cell>
          <cell r="H49" t="str">
            <v>Models AUM - Desk Mapping</v>
          </cell>
          <cell r="I49" t="str">
            <v>Euro Bond Model</v>
          </cell>
          <cell r="J49" t="str">
            <v>Other Team</v>
          </cell>
        </row>
        <row r="50">
          <cell r="G50" t="str">
            <v>MEPF10</v>
          </cell>
          <cell r="H50" t="str">
            <v>Models AUM - Desk Mapping</v>
          </cell>
          <cell r="I50" t="str">
            <v>Unit Linked G5 New</v>
          </cell>
          <cell r="J50" t="str">
            <v>PM</v>
          </cell>
          <cell r="K50" t="str">
            <v>Allocation Driven Strategies</v>
          </cell>
          <cell r="L50" t="str">
            <v>Growth</v>
          </cell>
        </row>
        <row r="51">
          <cell r="G51" t="str">
            <v>MEPF2N</v>
          </cell>
          <cell r="H51" t="str">
            <v>Models AUM - Desk Mapping</v>
          </cell>
          <cell r="I51" t="str">
            <v>Unit Linked E2 New</v>
          </cell>
          <cell r="J51" t="str">
            <v>PM</v>
          </cell>
          <cell r="K51" t="str">
            <v>Allocation Driven Strategies</v>
          </cell>
          <cell r="L51" t="str">
            <v>Conservative</v>
          </cell>
        </row>
        <row r="52">
          <cell r="G52" t="str">
            <v>MEPF4</v>
          </cell>
          <cell r="H52" t="str">
            <v>Models AUM - Desk Mapping</v>
          </cell>
          <cell r="I52" t="str">
            <v>Unit Linked OLD 4</v>
          </cell>
          <cell r="J52" t="str">
            <v>PM</v>
          </cell>
          <cell r="K52" t="str">
            <v>Allocation Driven Strategies</v>
          </cell>
          <cell r="L52" t="str">
            <v>Conservative</v>
          </cell>
        </row>
        <row r="53">
          <cell r="G53" t="str">
            <v>MEPF5</v>
          </cell>
          <cell r="H53" t="str">
            <v>Models AUM - Desk Mapping</v>
          </cell>
          <cell r="I53" t="str">
            <v>Unit Linked E3 new</v>
          </cell>
          <cell r="J53" t="str">
            <v>PM</v>
          </cell>
          <cell r="K53" t="str">
            <v>Allocation Driven Strategies</v>
          </cell>
          <cell r="L53" t="str">
            <v>Conservative</v>
          </cell>
        </row>
        <row r="54">
          <cell r="G54" t="str">
            <v>MEPF6</v>
          </cell>
          <cell r="H54" t="str">
            <v>Models AUM - Desk Mapping</v>
          </cell>
          <cell r="I54" t="str">
            <v>Unit Linked E4 new</v>
          </cell>
          <cell r="J54" t="str">
            <v>PM</v>
          </cell>
          <cell r="K54" t="str">
            <v>Allocation Driven Strategies</v>
          </cell>
          <cell r="L54" t="str">
            <v>Moderate</v>
          </cell>
        </row>
        <row r="55">
          <cell r="G55" t="str">
            <v>MEPF8</v>
          </cell>
          <cell r="H55" t="str">
            <v>Models AUM - Desk Mapping</v>
          </cell>
          <cell r="I55" t="str">
            <v>Unit Linked E6 New</v>
          </cell>
          <cell r="J55" t="str">
            <v>PM</v>
          </cell>
          <cell r="K55" t="str">
            <v>Allocation Driven Strategies</v>
          </cell>
          <cell r="L55" t="str">
            <v>Growth</v>
          </cell>
        </row>
        <row r="56">
          <cell r="G56" t="str">
            <v>MEP-M</v>
          </cell>
          <cell r="H56" t="str">
            <v>Models AUM - Desk Mapping</v>
          </cell>
          <cell r="I56" t="str">
            <v>Europrofilo</v>
          </cell>
          <cell r="J56" t="str">
            <v>Other Team</v>
          </cell>
        </row>
        <row r="57">
          <cell r="G57" t="str">
            <v>MEUROC</v>
          </cell>
          <cell r="H57" t="str">
            <v>Models AUM - Desk Mapping</v>
          </cell>
          <cell r="I57" t="str">
            <v>EURO CASH</v>
          </cell>
          <cell r="J57" t="str">
            <v>Other Team</v>
          </cell>
        </row>
        <row r="58">
          <cell r="G58" t="str">
            <v>MLIFEBND</v>
          </cell>
          <cell r="H58" t="str">
            <v>Models AUM - Desk Mapping</v>
          </cell>
          <cell r="I58" t="str">
            <v>Life Program Bond</v>
          </cell>
          <cell r="J58" t="str">
            <v>PM</v>
          </cell>
          <cell r="K58" t="str">
            <v>Allocation Driven Strategies</v>
          </cell>
          <cell r="L58" t="str">
            <v>Conservative</v>
          </cell>
        </row>
        <row r="59">
          <cell r="G59" t="str">
            <v>MLINC</v>
          </cell>
          <cell r="H59" t="str">
            <v>Models AUM - Desk Mapping</v>
          </cell>
          <cell r="I59" t="str">
            <v>Unit Linked Life Income</v>
          </cell>
          <cell r="J59" t="str">
            <v>PM</v>
          </cell>
          <cell r="K59" t="str">
            <v>Outcome Oriented Strategies</v>
          </cell>
          <cell r="L59" t="str">
            <v>Income</v>
          </cell>
        </row>
        <row r="60">
          <cell r="G60" t="str">
            <v>MLPFLEX</v>
          </cell>
          <cell r="H60" t="str">
            <v>Models AUM - Desk Mapping</v>
          </cell>
          <cell r="I60" t="str">
            <v>Life Program Flexible</v>
          </cell>
          <cell r="J60" t="str">
            <v>PM</v>
          </cell>
          <cell r="K60" t="str">
            <v>Allocation Driven Strategies</v>
          </cell>
          <cell r="L60" t="str">
            <v>Flexible</v>
          </cell>
        </row>
        <row r="61">
          <cell r="G61" t="str">
            <v>MOEELC-M</v>
          </cell>
          <cell r="H61" t="str">
            <v>Models AUM - Desk Mapping</v>
          </cell>
          <cell r="I61" t="str">
            <v>PERS INVEST AZIONARIA</v>
          </cell>
          <cell r="J61" t="str">
            <v>PM</v>
          </cell>
          <cell r="K61" t="str">
            <v>Allocation Driven Strategies</v>
          </cell>
          <cell r="L61" t="str">
            <v>Growth</v>
          </cell>
        </row>
        <row r="62">
          <cell r="G62" t="str">
            <v>MPRUPIR</v>
          </cell>
          <cell r="H62" t="str">
            <v>Models AUM - Desk Mapping</v>
          </cell>
          <cell r="I62" t="str">
            <v>Prudente PIR</v>
          </cell>
          <cell r="J62" t="str">
            <v>Other Team</v>
          </cell>
        </row>
        <row r="63">
          <cell r="G63" t="str">
            <v>MULLI360</v>
          </cell>
          <cell r="H63" t="str">
            <v>Models AUM - Desk Mapping</v>
          </cell>
          <cell r="I63" t="str">
            <v>Unit Linked LIFE INCOME 360</v>
          </cell>
          <cell r="J63" t="str">
            <v>PM</v>
          </cell>
          <cell r="K63" t="str">
            <v>Outcome Oriented Strategies</v>
          </cell>
          <cell r="L63" t="str">
            <v>Income</v>
          </cell>
        </row>
        <row r="64">
          <cell r="G64" t="str">
            <v>MULSTEP</v>
          </cell>
          <cell r="H64" t="str">
            <v>Models AUM - Desk Mapping</v>
          </cell>
          <cell r="I64" t="str">
            <v>STEP CRESCITA</v>
          </cell>
          <cell r="J64" t="str">
            <v>PM</v>
          </cell>
          <cell r="K64" t="str">
            <v>Outcome Oriented Strategies</v>
          </cell>
          <cell r="L64" t="str">
            <v>Risk Accumulation</v>
          </cell>
        </row>
        <row r="65">
          <cell r="G65" t="str">
            <v>MULTHEM</v>
          </cell>
          <cell r="H65" t="str">
            <v>Models AUM - Desk Mapping</v>
          </cell>
          <cell r="I65" t="str">
            <v>Unit Linked Multi Thematic Equity</v>
          </cell>
          <cell r="J65" t="str">
            <v>PM</v>
          </cell>
          <cell r="K65" t="str">
            <v>Outcome Oriented Strategies</v>
          </cell>
          <cell r="L65" t="str">
            <v>Thematic</v>
          </cell>
        </row>
        <row r="66">
          <cell r="G66" t="str">
            <v>MUNIP</v>
          </cell>
          <cell r="H66" t="str">
            <v>Models AUM - Desk Mapping</v>
          </cell>
          <cell r="I66" t="str">
            <v>Unit Linked AMix UNIPLAN</v>
          </cell>
          <cell r="J66" t="str">
            <v>PM</v>
          </cell>
          <cell r="K66" t="str">
            <v>Allocation Driven Strategies</v>
          </cell>
          <cell r="L66" t="str">
            <v>Moderate</v>
          </cell>
        </row>
        <row r="67">
          <cell r="G67" t="str">
            <v>MUSE</v>
          </cell>
          <cell r="H67" t="str">
            <v>Models AUM - Desk Mapping</v>
          </cell>
          <cell r="I67" t="str">
            <v>Unit Linked Multi Bond Euro Government &amp; Corporate</v>
          </cell>
          <cell r="J67" t="str">
            <v>FS</v>
          </cell>
        </row>
        <row r="68">
          <cell r="G68" t="str">
            <v>MUSEST</v>
          </cell>
          <cell r="H68" t="str">
            <v>Models AUM - Desk Mapping</v>
          </cell>
          <cell r="I68" t="str">
            <v>Unit Linked Multi Bond Euro Short Term</v>
          </cell>
          <cell r="J68" t="str">
            <v>FS</v>
          </cell>
        </row>
        <row r="69">
          <cell r="G69" t="str">
            <v>MUSG</v>
          </cell>
          <cell r="H69" t="str">
            <v>Models AUM - Desk Mapping</v>
          </cell>
          <cell r="I69" t="str">
            <v>Unit Linked Multi Equity Global &amp; Emerging Market</v>
          </cell>
          <cell r="J69" t="str">
            <v>PM</v>
          </cell>
          <cell r="K69" t="str">
            <v>Outcome Oriented Strategies</v>
          </cell>
          <cell r="L69" t="str">
            <v>Thematic</v>
          </cell>
        </row>
        <row r="70">
          <cell r="G70" t="str">
            <v>MUSI</v>
          </cell>
          <cell r="H70" t="str">
            <v>Models AUM - Desk Mapping</v>
          </cell>
          <cell r="I70" t="str">
            <v>Univalore Stars Income</v>
          </cell>
          <cell r="J70" t="str">
            <v>PM</v>
          </cell>
          <cell r="K70" t="str">
            <v>Outcome Oriented Strategies</v>
          </cell>
          <cell r="L70" t="str">
            <v>Income</v>
          </cell>
        </row>
        <row r="71">
          <cell r="G71" t="str">
            <v>Not Available</v>
          </cell>
          <cell r="H71" t="str">
            <v>Models AUM - Desk Mapping</v>
          </cell>
          <cell r="I71" t="str">
            <v>NULL</v>
          </cell>
          <cell r="J71" t="str">
            <v>Other Team</v>
          </cell>
        </row>
        <row r="72">
          <cell r="G72" t="str">
            <v>NULL</v>
          </cell>
          <cell r="H72" t="str">
            <v>Models AUM - Desk Mapping</v>
          </cell>
          <cell r="I72" t="str">
            <v>NULL</v>
          </cell>
          <cell r="J72" t="str">
            <v>Other Team</v>
          </cell>
        </row>
        <row r="73">
          <cell r="G73" t="str">
            <v>PATRIMONIO</v>
          </cell>
          <cell r="H73" t="str">
            <v>Models AUM - Desk Mapping</v>
          </cell>
          <cell r="I73" t="str">
            <v>Patrimonio Stars</v>
          </cell>
          <cell r="J73" t="str">
            <v>Other Team</v>
          </cell>
        </row>
        <row r="74">
          <cell r="G74" t="str">
            <v>PLAP</v>
          </cell>
          <cell r="H74" t="str">
            <v>Models AUM - Desk Mapping</v>
          </cell>
          <cell r="I74" t="str">
            <v>Unit Linked Multi Equity AC Pacific</v>
          </cell>
          <cell r="J74" t="str">
            <v>FS</v>
          </cell>
        </row>
        <row r="75">
          <cell r="G75" t="str">
            <v>PLEBE</v>
          </cell>
          <cell r="H75" t="str">
            <v>Models AUM - Desk Mapping</v>
          </cell>
          <cell r="I75" t="str">
            <v>Unit Linked Multi Bond Euro Corporate</v>
          </cell>
          <cell r="J75" t="str">
            <v>FS</v>
          </cell>
        </row>
        <row r="76">
          <cell r="G76" t="str">
            <v>PLIC</v>
          </cell>
          <cell r="H76" t="str">
            <v>Models AUM - Desk Mapping</v>
          </cell>
          <cell r="I76" t="str">
            <v>PL Income Clock</v>
          </cell>
          <cell r="J76" t="str">
            <v>PM</v>
          </cell>
          <cell r="K76" t="str">
            <v>Allocation Driven Strategies</v>
          </cell>
          <cell r="L76" t="str">
            <v>Flexible</v>
          </cell>
        </row>
        <row r="77">
          <cell r="G77" t="str">
            <v>PLUSB</v>
          </cell>
          <cell r="H77" t="str">
            <v>Models AUM - Desk Mapping</v>
          </cell>
          <cell r="I77" t="str">
            <v>Unit Linked Multi Bond US</v>
          </cell>
          <cell r="J77" t="str">
            <v>FS</v>
          </cell>
        </row>
        <row r="78">
          <cell r="G78" t="str">
            <v>PP1-3Y</v>
          </cell>
          <cell r="H78" t="str">
            <v>Models AUM - Desk Mapping</v>
          </cell>
          <cell r="I78" t="str">
            <v>PL Euro Bond 1-3 years</v>
          </cell>
          <cell r="J78" t="str">
            <v>PM</v>
          </cell>
          <cell r="K78" t="str">
            <v>Allocation Driven Strategies</v>
          </cell>
          <cell r="L78" t="str">
            <v>Conservative</v>
          </cell>
        </row>
        <row r="79">
          <cell r="G79" t="str">
            <v>PP3Y</v>
          </cell>
          <cell r="H79" t="str">
            <v>Models AUM - Desk Mapping</v>
          </cell>
          <cell r="I79" t="str">
            <v>PL Euro Bond over 3 years</v>
          </cell>
          <cell r="J79" t="str">
            <v>PM</v>
          </cell>
          <cell r="K79" t="str">
            <v>Allocation Driven Strategies</v>
          </cell>
          <cell r="L79" t="str">
            <v>Conservative</v>
          </cell>
        </row>
        <row r="80">
          <cell r="G80" t="str">
            <v>PUPORTF20</v>
          </cell>
          <cell r="H80" t="str">
            <v>Models AUM - Desk Mapping</v>
          </cell>
          <cell r="I80" t="str">
            <v>PU PORTFOLIO 20</v>
          </cell>
          <cell r="J80" t="str">
            <v>Milan</v>
          </cell>
        </row>
        <row r="81">
          <cell r="G81" t="str">
            <v>PUPORTF30</v>
          </cell>
          <cell r="H81" t="str">
            <v>Models AUM - Desk Mapping</v>
          </cell>
          <cell r="I81" t="str">
            <v>PU PORTFOLIO 30</v>
          </cell>
          <cell r="J81" t="str">
            <v>Milan</v>
          </cell>
        </row>
        <row r="82">
          <cell r="G82" t="str">
            <v>PUPORTF40</v>
          </cell>
          <cell r="H82" t="str">
            <v>Models AUM - Desk Mapping</v>
          </cell>
          <cell r="I82" t="str">
            <v>PU PORTFOLIO 40</v>
          </cell>
          <cell r="J82" t="str">
            <v>Milan</v>
          </cell>
        </row>
        <row r="83">
          <cell r="G83" t="str">
            <v>PUPORTF50</v>
          </cell>
          <cell r="H83" t="str">
            <v>Models AUM - Desk Mapping</v>
          </cell>
          <cell r="I83" t="str">
            <v>PU PORTFOLIO 50</v>
          </cell>
          <cell r="J83" t="str">
            <v>Milan</v>
          </cell>
        </row>
        <row r="84">
          <cell r="G84" t="str">
            <v>PUPORTF70</v>
          </cell>
          <cell r="H84" t="str">
            <v>Models AUM - Desk Mapping</v>
          </cell>
          <cell r="I84" t="str">
            <v>PU PORTFOLIO 70</v>
          </cell>
          <cell r="J84" t="str">
            <v>Milan</v>
          </cell>
        </row>
        <row r="85">
          <cell r="G85" t="str">
            <v>R1M</v>
          </cell>
          <cell r="H85" t="str">
            <v>Models AUM - Desk Mapping</v>
          </cell>
          <cell r="I85" t="str">
            <v>CAM CNP - Linea  Dinamica</v>
          </cell>
          <cell r="J85" t="str">
            <v>PM</v>
          </cell>
          <cell r="K85" t="str">
            <v>Allocation Driven Strategies</v>
          </cell>
          <cell r="L85" t="str">
            <v>Growth</v>
          </cell>
        </row>
        <row r="86">
          <cell r="G86" t="str">
            <v>R2M</v>
          </cell>
          <cell r="H86" t="str">
            <v>Models AUM - Desk Mapping</v>
          </cell>
          <cell r="I86" t="str">
            <v>CAM CNP - Linea Dinamica Plus</v>
          </cell>
          <cell r="J86" t="str">
            <v>PM</v>
          </cell>
          <cell r="K86" t="str">
            <v>Allocation Driven Strategies</v>
          </cell>
          <cell r="L86" t="str">
            <v>Growth</v>
          </cell>
        </row>
        <row r="87">
          <cell r="G87" t="str">
            <v>SFI-MONE</v>
          </cell>
          <cell r="H87" t="str">
            <v>Models AUM - Desk Mapping</v>
          </cell>
          <cell r="I87" t="str">
            <v>PU PORTFOLIO CASH</v>
          </cell>
          <cell r="J87" t="str">
            <v>Other Team</v>
          </cell>
        </row>
        <row r="88">
          <cell r="H88" t="str">
            <v>Models AUM - Desk Mapping</v>
          </cell>
          <cell r="I88" t="str">
            <v>SFI+ Linea Monetaria</v>
          </cell>
          <cell r="J88" t="str">
            <v>Milan</v>
          </cell>
        </row>
        <row r="89">
          <cell r="G89" t="str">
            <v>SFI-PPIU-M</v>
          </cell>
          <cell r="H89" t="str">
            <v>Models AUM - Desk Mapping</v>
          </cell>
          <cell r="I89" t="str">
            <v>SFI+ Linea Prudente Piu</v>
          </cell>
          <cell r="J89" t="str">
            <v>Milan</v>
          </cell>
        </row>
        <row r="90">
          <cell r="G90" t="str">
            <v>SFI-PRUD-M</v>
          </cell>
          <cell r="H90" t="str">
            <v>Models AUM - Desk Mapping</v>
          </cell>
          <cell r="I90" t="str">
            <v>SFI+ Linea Prudente</v>
          </cell>
          <cell r="J90" t="str">
            <v>Milan</v>
          </cell>
        </row>
        <row r="91">
          <cell r="G91" t="str">
            <v>SFI-TR</v>
          </cell>
          <cell r="H91" t="str">
            <v>Models AUM - Desk Mapping</v>
          </cell>
          <cell r="I91" t="str">
            <v>SFI+ Linea Total Return</v>
          </cell>
          <cell r="J91" t="str">
            <v>Milan</v>
          </cell>
        </row>
        <row r="92">
          <cell r="G92" t="str">
            <v>STEPONE</v>
          </cell>
          <cell r="H92" t="str">
            <v>Models AUM - Desk Mapping</v>
          </cell>
          <cell r="I92" t="str">
            <v>CAM STEP ONE</v>
          </cell>
          <cell r="J92" t="str">
            <v>PM</v>
          </cell>
          <cell r="K92" t="str">
            <v>Allocation Driven Strategies</v>
          </cell>
          <cell r="L92" t="str">
            <v>Conservative</v>
          </cell>
        </row>
        <row r="93">
          <cell r="G93" t="str">
            <v>TG125</v>
          </cell>
          <cell r="H93" t="str">
            <v>Models AUM - Desk Mapping</v>
          </cell>
          <cell r="I93" t="str">
            <v>TARGET 125</v>
          </cell>
          <cell r="J93" t="str">
            <v>Other Team</v>
          </cell>
        </row>
        <row r="94">
          <cell r="G94" t="str">
            <v>TG250</v>
          </cell>
          <cell r="H94" t="str">
            <v>Models AUM - Desk Mapping</v>
          </cell>
          <cell r="I94" t="str">
            <v>TARGET 250</v>
          </cell>
          <cell r="J94" t="str">
            <v>Other Team</v>
          </cell>
        </row>
        <row r="95">
          <cell r="G95" t="str">
            <v>UDM1</v>
          </cell>
          <cell r="H95" t="str">
            <v>Models AUM - Desk Mapping</v>
          </cell>
          <cell r="I95" t="str">
            <v>Unit Linked Multi Money Market Euro</v>
          </cell>
          <cell r="J95" t="str">
            <v>FS</v>
          </cell>
        </row>
        <row r="96">
          <cell r="G96" t="str">
            <v>UDM10</v>
          </cell>
          <cell r="H96" t="str">
            <v>Models AUM - Desk Mapping</v>
          </cell>
          <cell r="I96" t="str">
            <v>Unit Linked Multi Equity Europe Small Cap</v>
          </cell>
          <cell r="J96" t="str">
            <v>FS</v>
          </cell>
        </row>
        <row r="97">
          <cell r="G97" t="str">
            <v>UDM2</v>
          </cell>
          <cell r="H97" t="str">
            <v>Models AUM - Desk Mapping</v>
          </cell>
          <cell r="I97" t="str">
            <v>Unit Linked Multi Bond Euro</v>
          </cell>
          <cell r="J97" t="str">
            <v>FS</v>
          </cell>
        </row>
        <row r="98">
          <cell r="G98" t="str">
            <v>UDM3</v>
          </cell>
          <cell r="H98" t="str">
            <v>Models AUM - Desk Mapping</v>
          </cell>
          <cell r="I98" t="str">
            <v>Unit Linked Multi Bond Global</v>
          </cell>
          <cell r="J98" t="str">
            <v>FS</v>
          </cell>
        </row>
        <row r="99">
          <cell r="G99" t="str">
            <v>UDM5</v>
          </cell>
          <cell r="H99" t="str">
            <v>Models AUM - Desk Mapping</v>
          </cell>
          <cell r="I99" t="str">
            <v>Unit Linked Multi Equity Europe</v>
          </cell>
          <cell r="J99" t="str">
            <v>FS</v>
          </cell>
        </row>
        <row r="100">
          <cell r="G100" t="str">
            <v>UDM6</v>
          </cell>
          <cell r="H100" t="str">
            <v>Models AUM - Desk Mapping</v>
          </cell>
          <cell r="I100" t="str">
            <v>Unit Linked Multi Equity North America</v>
          </cell>
          <cell r="J100" t="str">
            <v>FS</v>
          </cell>
        </row>
        <row r="101">
          <cell r="G101" t="str">
            <v>UDM7</v>
          </cell>
          <cell r="H101" t="str">
            <v>Models AUM - Desk Mapping</v>
          </cell>
          <cell r="I101" t="str">
            <v>Unit Linked Multi Equity Pacific</v>
          </cell>
          <cell r="J101" t="str">
            <v>FS</v>
          </cell>
        </row>
        <row r="102">
          <cell r="G102" t="str">
            <v>UDM8</v>
          </cell>
          <cell r="H102" t="str">
            <v>Models AUM - Desk Mapping</v>
          </cell>
          <cell r="I102" t="str">
            <v>Unit Linked Multi Equity Global Emerging Markets</v>
          </cell>
          <cell r="J102" t="str">
            <v>FS</v>
          </cell>
        </row>
        <row r="103">
          <cell r="G103" t="str">
            <v>UDM9</v>
          </cell>
          <cell r="H103" t="str">
            <v>Models AUM - Desk Mapping</v>
          </cell>
          <cell r="I103" t="str">
            <v>Unit Linked Multi Equity Global</v>
          </cell>
          <cell r="J103" t="str">
            <v>FS</v>
          </cell>
        </row>
        <row r="104">
          <cell r="G104" t="str">
            <v>UEAAL</v>
          </cell>
          <cell r="H104" t="str">
            <v>Models AUM - Desk Mapping</v>
          </cell>
          <cell r="I104" t="str">
            <v>Unit Linked Multi Equity Latin America</v>
          </cell>
          <cell r="J104" t="str">
            <v>FS</v>
          </cell>
        </row>
        <row r="105">
          <cell r="G105" t="str">
            <v>UEAC</v>
          </cell>
          <cell r="H105" t="str">
            <v>Models AUM - Desk Mapping</v>
          </cell>
          <cell r="I105" t="str">
            <v>Unit Linked Multi Equity Greater China</v>
          </cell>
          <cell r="J105" t="str">
            <v>FS</v>
          </cell>
        </row>
        <row r="106">
          <cell r="G106" t="str">
            <v>UEAIN</v>
          </cell>
          <cell r="H106" t="str">
            <v>Models AUM - Desk Mapping</v>
          </cell>
          <cell r="I106" t="str">
            <v>Unit Linked Multi Equity India</v>
          </cell>
          <cell r="J106" t="str">
            <v>FS</v>
          </cell>
        </row>
        <row r="107">
          <cell r="G107" t="str">
            <v>UEEEM</v>
          </cell>
          <cell r="H107" t="str">
            <v>Models AUM - Desk Mapping</v>
          </cell>
          <cell r="I107" t="str">
            <v>Unit Linked Multi Equity Emerging Europe</v>
          </cell>
          <cell r="J107" t="str">
            <v>FS</v>
          </cell>
        </row>
        <row r="108">
          <cell r="G108" t="str">
            <v>UES20</v>
          </cell>
          <cell r="H108" t="str">
            <v>Models AUM - Desk Mapping</v>
          </cell>
          <cell r="I108" t="str">
            <v>Univalore E Strategia 20</v>
          </cell>
          <cell r="J108" t="str">
            <v>PM</v>
          </cell>
          <cell r="K108" t="str">
            <v>Allocation Driven Strategies</v>
          </cell>
          <cell r="L108" t="str">
            <v>Flexible</v>
          </cell>
        </row>
        <row r="109">
          <cell r="G109" t="str">
            <v>UES30</v>
          </cell>
          <cell r="H109" t="str">
            <v>Models AUM - Desk Mapping</v>
          </cell>
          <cell r="I109" t="str">
            <v>Univalore E Strategia 30</v>
          </cell>
          <cell r="J109" t="str">
            <v>PM</v>
          </cell>
          <cell r="K109" t="str">
            <v>Allocation Driven Strategies</v>
          </cell>
          <cell r="L109" t="str">
            <v>Flexible</v>
          </cell>
        </row>
        <row r="110">
          <cell r="G110" t="str">
            <v>UES40</v>
          </cell>
          <cell r="H110" t="str">
            <v>Models AUM - Desk Mapping</v>
          </cell>
          <cell r="I110" t="str">
            <v>Univalore E Strategia 40</v>
          </cell>
          <cell r="J110" t="str">
            <v>PM</v>
          </cell>
          <cell r="K110" t="str">
            <v>Allocation Driven Strategies</v>
          </cell>
          <cell r="L110" t="str">
            <v>Flexible</v>
          </cell>
        </row>
        <row r="111">
          <cell r="G111" t="str">
            <v>UES50</v>
          </cell>
          <cell r="H111" t="str">
            <v>Models AUM - Desk Mapping</v>
          </cell>
          <cell r="I111" t="str">
            <v>Univalore E Strategia 50</v>
          </cell>
          <cell r="J111" t="str">
            <v>PM</v>
          </cell>
          <cell r="K111" t="str">
            <v>Allocation Driven Strategies</v>
          </cell>
          <cell r="L111" t="str">
            <v>Flexible</v>
          </cell>
        </row>
        <row r="112">
          <cell r="H112" t="str">
            <v>Models AUM - Desk Mapping</v>
          </cell>
          <cell r="I112" t="str">
            <v>Univalore Stars Balanced</v>
          </cell>
          <cell r="J112" t="str">
            <v>PM</v>
          </cell>
          <cell r="K112" t="str">
            <v>Allocation Driven Strategies</v>
          </cell>
          <cell r="L112" t="str">
            <v>Flexible</v>
          </cell>
        </row>
        <row r="113">
          <cell r="G113" t="str">
            <v>UES70</v>
          </cell>
          <cell r="H113" t="str">
            <v>Models AUM - Desk Mapping</v>
          </cell>
          <cell r="I113" t="str">
            <v>Univalore E Strategia 70</v>
          </cell>
          <cell r="J113" t="str">
            <v>PM</v>
          </cell>
          <cell r="K113" t="str">
            <v>Allocation Driven Strategies</v>
          </cell>
          <cell r="L113" t="str">
            <v>Flexible</v>
          </cell>
        </row>
        <row r="114">
          <cell r="G114" t="str">
            <v>ULACCO</v>
          </cell>
          <cell r="H114" t="str">
            <v>Models AUM - Desk Mapping</v>
          </cell>
          <cell r="I114" t="str">
            <v>Unit Linked Multi Equity Accumulation</v>
          </cell>
          <cell r="J114" t="str">
            <v>PM</v>
          </cell>
          <cell r="K114" t="str">
            <v>Outcome Oriented Strategies</v>
          </cell>
          <cell r="L114" t="str">
            <v>Risk Accumulation</v>
          </cell>
        </row>
        <row r="115">
          <cell r="G115" t="str">
            <v>ULBIL</v>
          </cell>
          <cell r="H115" t="str">
            <v>Models AUM - Desk Mapping</v>
          </cell>
          <cell r="I115" t="str">
            <v>UL Bilanciata</v>
          </cell>
          <cell r="J115" t="str">
            <v>PM</v>
          </cell>
          <cell r="K115" t="str">
            <v>Allocation Driven Strategies</v>
          </cell>
          <cell r="L115" t="str">
            <v>Moderate</v>
          </cell>
        </row>
        <row r="116">
          <cell r="G116" t="str">
            <v>ULBILPIU</v>
          </cell>
          <cell r="H116" t="str">
            <v>Models AUM - Desk Mapping</v>
          </cell>
          <cell r="I116" t="str">
            <v>UL Bilanciata Piu</v>
          </cell>
          <cell r="J116" t="str">
            <v>PM</v>
          </cell>
          <cell r="K116" t="str">
            <v>Allocation Driven Strategies</v>
          </cell>
          <cell r="L116" t="str">
            <v>Moderate</v>
          </cell>
        </row>
        <row r="117">
          <cell r="G117" t="str">
            <v>ULC</v>
          </cell>
          <cell r="H117" t="str">
            <v>Models AUM - Desk Mapping</v>
          </cell>
          <cell r="I117" t="str">
            <v>Diamond 1 Unit Linked</v>
          </cell>
          <cell r="J117" t="str">
            <v>PM</v>
          </cell>
          <cell r="K117" t="str">
            <v>Allocation Driven Strategies</v>
          </cell>
          <cell r="L117" t="str">
            <v>Conservative</v>
          </cell>
        </row>
        <row r="118">
          <cell r="H118" t="str">
            <v>Models AUM - Desk Mapping</v>
          </cell>
          <cell r="I118" t="str">
            <v>UL Cauta</v>
          </cell>
          <cell r="J118" t="str">
            <v>PM</v>
          </cell>
          <cell r="K118" t="str">
            <v>Allocation Driven Strategies</v>
          </cell>
          <cell r="L118" t="str">
            <v>Conservative</v>
          </cell>
        </row>
        <row r="119">
          <cell r="H119" t="str">
            <v>Models AUM - Desk Mapping</v>
          </cell>
          <cell r="I119" t="str">
            <v>Unit Linked OLD 2</v>
          </cell>
          <cell r="J119" t="str">
            <v>PM</v>
          </cell>
          <cell r="K119" t="str">
            <v>Allocation Driven Strategies</v>
          </cell>
          <cell r="L119" t="str">
            <v>Conservative</v>
          </cell>
        </row>
        <row r="120">
          <cell r="G120" t="str">
            <v>ULDIN</v>
          </cell>
          <cell r="H120" t="str">
            <v>Models AUM - Desk Mapping</v>
          </cell>
          <cell r="I120" t="str">
            <v>UL Dinamica</v>
          </cell>
          <cell r="J120" t="str">
            <v>PM</v>
          </cell>
          <cell r="K120" t="str">
            <v>Allocation Driven Strategies</v>
          </cell>
          <cell r="L120" t="str">
            <v>Growth</v>
          </cell>
        </row>
        <row r="121">
          <cell r="G121" t="str">
            <v>ULECSTARS</v>
          </cell>
          <cell r="H121" t="str">
            <v>Models AUM - Desk Mapping</v>
          </cell>
          <cell r="I121" t="str">
            <v>UL Global Equity Dividend &amp; Subordinated</v>
          </cell>
          <cell r="J121" t="str">
            <v>FS</v>
          </cell>
        </row>
        <row r="122">
          <cell r="G122" t="str">
            <v>ULG4NEW</v>
          </cell>
          <cell r="H122" t="str">
            <v>Models AUM - Desk Mapping</v>
          </cell>
          <cell r="I122" t="str">
            <v>Unit Linked G4 new</v>
          </cell>
          <cell r="J122" t="str">
            <v>PM</v>
          </cell>
          <cell r="K122" t="str">
            <v>Allocation Driven Strategies</v>
          </cell>
          <cell r="L122" t="str">
            <v>Growth</v>
          </cell>
        </row>
        <row r="123">
          <cell r="G123" t="str">
            <v>ULP</v>
          </cell>
          <cell r="H123" t="str">
            <v>Models AUM - Desk Mapping</v>
          </cell>
          <cell r="I123" t="str">
            <v>UL Prudente</v>
          </cell>
          <cell r="J123" t="str">
            <v>PM</v>
          </cell>
          <cell r="K123" t="str">
            <v>Allocation Driven Strategies</v>
          </cell>
          <cell r="L123" t="str">
            <v>Conservative</v>
          </cell>
        </row>
        <row r="124">
          <cell r="G124" t="str">
            <v>ULPRUD</v>
          </cell>
          <cell r="H124" t="str">
            <v>Models AUM - Desk Mapping</v>
          </cell>
          <cell r="I124" t="str">
            <v>UL Prudente Piu</v>
          </cell>
          <cell r="J124" t="str">
            <v>PM</v>
          </cell>
          <cell r="K124" t="str">
            <v>Allocation Driven Strategies</v>
          </cell>
          <cell r="L124" t="str">
            <v>Conservative</v>
          </cell>
        </row>
      </sheetData>
      <sheetData sheetId="3">
        <row r="5">
          <cell r="A5" t="str">
            <v>1PM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1">
          <cell r="A1" t="str">
            <v>Fund Code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List"/>
      <sheetName val="AUM History Current"/>
      <sheetName val="Last AUM History "/>
      <sheetName val="Total Flows"/>
      <sheetName val="Models Flows Table"/>
      <sheetName val="Flows on Dub Models"/>
      <sheetName val="Descrittivo smit"/>
      <sheetName val="Funds Flows Table"/>
      <sheetName val="Funds Flows"/>
    </sheetNames>
    <sheetDataSet>
      <sheetData sheetId="0"/>
      <sheetData sheetId="1">
        <row r="1">
          <cell r="A1" t="str">
            <v>+</v>
          </cell>
          <cell r="B1" t="str">
            <v>AUM</v>
          </cell>
        </row>
        <row r="2">
          <cell r="A2" t="str">
            <v>1PM</v>
          </cell>
          <cell r="B2">
            <v>285559369</v>
          </cell>
        </row>
        <row r="3">
          <cell r="A3" t="str">
            <v>1QM</v>
          </cell>
          <cell r="B3">
            <v>44627273</v>
          </cell>
        </row>
        <row r="4">
          <cell r="A4" t="str">
            <v>1RM</v>
          </cell>
          <cell r="B4">
            <v>29565609</v>
          </cell>
        </row>
        <row r="5">
          <cell r="A5" t="str">
            <v>AAPROT80</v>
          </cell>
          <cell r="B5">
            <v>105718402</v>
          </cell>
        </row>
        <row r="6">
          <cell r="A6" t="str">
            <v>AMPSBALCEUR</v>
          </cell>
          <cell r="B6">
            <v>107049283.68100001</v>
          </cell>
        </row>
        <row r="7">
          <cell r="A7" t="str">
            <v>AMPSCONCEUR</v>
          </cell>
          <cell r="B7">
            <v>105188296.58899999</v>
          </cell>
        </row>
        <row r="8">
          <cell r="A8" t="str">
            <v>AMPSDYNCEUR</v>
          </cell>
          <cell r="B8">
            <v>109188814.18519998</v>
          </cell>
        </row>
        <row r="9">
          <cell r="A9" t="str">
            <v>AMPSEQCEUR</v>
          </cell>
          <cell r="B9">
            <v>114034329.263</v>
          </cell>
        </row>
        <row r="10">
          <cell r="A10" t="str">
            <v>AMPSINCEUR</v>
          </cell>
          <cell r="B10">
            <v>102614598.20419997</v>
          </cell>
        </row>
        <row r="11">
          <cell r="A11" t="str">
            <v>CCRESCITA</v>
          </cell>
          <cell r="B11">
            <v>1271550</v>
          </cell>
        </row>
        <row r="12">
          <cell r="A12" t="str">
            <v>CMEDIUM</v>
          </cell>
          <cell r="B12">
            <v>221675</v>
          </cell>
        </row>
        <row r="13">
          <cell r="A13" t="str">
            <v>CNPDYNPR80</v>
          </cell>
          <cell r="B13">
            <v>115957326</v>
          </cell>
        </row>
        <row r="14">
          <cell r="A14" t="str">
            <v>CNPPROT80</v>
          </cell>
          <cell r="B14">
            <v>96066220</v>
          </cell>
        </row>
        <row r="15">
          <cell r="A15" t="str">
            <v>CNPTHEMPROT</v>
          </cell>
          <cell r="B15">
            <v>194823287</v>
          </cell>
        </row>
        <row r="16">
          <cell r="A16" t="str">
            <v>COBBLEURO</v>
          </cell>
          <cell r="B16">
            <v>2649</v>
          </cell>
        </row>
        <row r="17">
          <cell r="A17" t="str">
            <v>CREDDITO</v>
          </cell>
          <cell r="B17">
            <v>82550</v>
          </cell>
        </row>
        <row r="18">
          <cell r="A18" t="str">
            <v>CRVDYNPR80</v>
          </cell>
          <cell r="B18">
            <v>277838515</v>
          </cell>
        </row>
        <row r="19">
          <cell r="A19" t="str">
            <v>CRVPROT80</v>
          </cell>
          <cell r="B19">
            <v>106181073</v>
          </cell>
        </row>
        <row r="20">
          <cell r="A20" t="str">
            <v>CRVTHEMPROT</v>
          </cell>
          <cell r="B20">
            <v>306660320</v>
          </cell>
        </row>
        <row r="21">
          <cell r="A21" t="str">
            <v>CSVILUPPO</v>
          </cell>
          <cell r="B21">
            <v>33771</v>
          </cell>
        </row>
        <row r="22">
          <cell r="A22" t="str">
            <v>CTREND_20</v>
          </cell>
          <cell r="B22">
            <v>23564</v>
          </cell>
        </row>
        <row r="23">
          <cell r="A23" t="str">
            <v>DINAR1TF</v>
          </cell>
          <cell r="B23">
            <v>1357354</v>
          </cell>
        </row>
        <row r="24">
          <cell r="A24" t="str">
            <v>DINAR2TF</v>
          </cell>
          <cell r="B24">
            <v>26842216</v>
          </cell>
        </row>
        <row r="25">
          <cell r="A25" t="str">
            <v>DINAR3TF</v>
          </cell>
          <cell r="B25">
            <v>792796</v>
          </cell>
        </row>
        <row r="26">
          <cell r="A26" t="str">
            <v>E118</v>
          </cell>
          <cell r="B26">
            <v>7436857.5700000003</v>
          </cell>
        </row>
        <row r="27">
          <cell r="A27" t="str">
            <v>E119</v>
          </cell>
          <cell r="B27">
            <v>58065450</v>
          </cell>
        </row>
        <row r="28">
          <cell r="A28" t="str">
            <v>E120</v>
          </cell>
          <cell r="B28">
            <v>120944516.60000001</v>
          </cell>
        </row>
        <row r="29">
          <cell r="A29" t="str">
            <v>E142</v>
          </cell>
          <cell r="B29">
            <v>322230421.99000001</v>
          </cell>
        </row>
        <row r="30">
          <cell r="A30" t="str">
            <v>E143</v>
          </cell>
          <cell r="B30">
            <v>240873428.55000001</v>
          </cell>
        </row>
        <row r="31">
          <cell r="A31" t="str">
            <v>E144</v>
          </cell>
          <cell r="B31">
            <v>83161102.870000005</v>
          </cell>
        </row>
        <row r="32">
          <cell r="A32" t="str">
            <v>E193</v>
          </cell>
          <cell r="B32">
            <v>135589310.01000002</v>
          </cell>
        </row>
        <row r="33">
          <cell r="A33" t="str">
            <v>E207</v>
          </cell>
          <cell r="B33">
            <v>52842263.580000006</v>
          </cell>
        </row>
        <row r="34">
          <cell r="A34" t="str">
            <v>E208</v>
          </cell>
          <cell r="B34">
            <v>74067512.060000002</v>
          </cell>
        </row>
        <row r="35">
          <cell r="A35" t="str">
            <v>E209</v>
          </cell>
          <cell r="B35">
            <v>198367484.84</v>
          </cell>
        </row>
        <row r="36">
          <cell r="A36" t="str">
            <v>E224</v>
          </cell>
          <cell r="B36">
            <v>59379104.93</v>
          </cell>
        </row>
        <row r="37">
          <cell r="A37" t="str">
            <v>F100123</v>
          </cell>
          <cell r="B37">
            <v>11042632357</v>
          </cell>
        </row>
        <row r="38">
          <cell r="A38" t="str">
            <v>LINPRO</v>
          </cell>
          <cell r="B38">
            <v>888997</v>
          </cell>
        </row>
        <row r="39">
          <cell r="A39" t="str">
            <v>MAA</v>
          </cell>
          <cell r="B39">
            <v>279361</v>
          </cell>
        </row>
        <row r="40">
          <cell r="A40" t="str">
            <v>MAB</v>
          </cell>
          <cell r="B40">
            <v>4880540</v>
          </cell>
        </row>
        <row r="41">
          <cell r="A41" t="str">
            <v>MAC</v>
          </cell>
          <cell r="B41">
            <v>187925</v>
          </cell>
        </row>
        <row r="42">
          <cell r="A42" t="str">
            <v>MAD</v>
          </cell>
          <cell r="B42">
            <v>338741</v>
          </cell>
        </row>
        <row r="43">
          <cell r="A43" t="str">
            <v>MAE</v>
          </cell>
          <cell r="B43">
            <v>155065</v>
          </cell>
        </row>
        <row r="44">
          <cell r="A44" t="str">
            <v>MAF</v>
          </cell>
          <cell r="B44">
            <v>87281</v>
          </cell>
        </row>
        <row r="45">
          <cell r="A45" t="str">
            <v>MAG</v>
          </cell>
          <cell r="B45">
            <v>135031</v>
          </cell>
        </row>
        <row r="46">
          <cell r="A46" t="str">
            <v>MAH</v>
          </cell>
          <cell r="B46">
            <v>635258</v>
          </cell>
        </row>
        <row r="47">
          <cell r="A47" t="str">
            <v>MAL</v>
          </cell>
          <cell r="B47">
            <v>142799</v>
          </cell>
        </row>
        <row r="48">
          <cell r="A48" t="str">
            <v>MAM</v>
          </cell>
          <cell r="B48">
            <v>16569</v>
          </cell>
        </row>
        <row r="49">
          <cell r="A49" t="str">
            <v>MAN</v>
          </cell>
          <cell r="B49">
            <v>28094</v>
          </cell>
        </row>
        <row r="50">
          <cell r="A50" t="str">
            <v>MATRUNIP</v>
          </cell>
          <cell r="B50">
            <v>12222309</v>
          </cell>
        </row>
        <row r="51">
          <cell r="A51" t="str">
            <v>MDIA4UL</v>
          </cell>
          <cell r="B51">
            <v>6083464</v>
          </cell>
        </row>
        <row r="52">
          <cell r="A52" t="str">
            <v>MEPF10</v>
          </cell>
          <cell r="B52">
            <v>395210</v>
          </cell>
        </row>
        <row r="53">
          <cell r="A53" t="str">
            <v>MEPF2N</v>
          </cell>
          <cell r="B53">
            <v>7589779</v>
          </cell>
        </row>
        <row r="54">
          <cell r="A54" t="str">
            <v>MEPF4</v>
          </cell>
          <cell r="B54">
            <v>1061075</v>
          </cell>
        </row>
        <row r="55">
          <cell r="A55" t="str">
            <v>MEPF5</v>
          </cell>
          <cell r="B55">
            <v>72177481</v>
          </cell>
        </row>
        <row r="56">
          <cell r="A56" t="str">
            <v>MEPF6</v>
          </cell>
          <cell r="B56">
            <v>63929232</v>
          </cell>
        </row>
        <row r="57">
          <cell r="A57" t="str">
            <v>MEPF8</v>
          </cell>
          <cell r="B57">
            <v>127936118</v>
          </cell>
        </row>
        <row r="58">
          <cell r="A58" t="str">
            <v>MLIFEBND</v>
          </cell>
          <cell r="B58">
            <v>85892136</v>
          </cell>
        </row>
        <row r="59">
          <cell r="A59" t="str">
            <v>MLINC</v>
          </cell>
          <cell r="B59">
            <v>214538635</v>
          </cell>
        </row>
        <row r="60">
          <cell r="A60" t="str">
            <v>MLPFLEX</v>
          </cell>
          <cell r="B60">
            <v>24629869</v>
          </cell>
        </row>
        <row r="61">
          <cell r="A61" t="str">
            <v>MODETFBAL</v>
          </cell>
          <cell r="B61">
            <v>114016281.07012431</v>
          </cell>
        </row>
        <row r="62">
          <cell r="A62" t="str">
            <v>MODETFBALUS</v>
          </cell>
          <cell r="B62">
            <v>101994110.13026774</v>
          </cell>
        </row>
        <row r="63">
          <cell r="A63" t="str">
            <v>MODETFDYN</v>
          </cell>
          <cell r="B63">
            <v>126861386.14410143</v>
          </cell>
        </row>
        <row r="64">
          <cell r="A64" t="str">
            <v>MODETFDYNUS</v>
          </cell>
          <cell r="B64">
            <v>127908398.11532584</v>
          </cell>
        </row>
        <row r="65">
          <cell r="A65" t="str">
            <v>MODETFPRU</v>
          </cell>
          <cell r="B65">
            <v>102229900.25411479</v>
          </cell>
        </row>
        <row r="66">
          <cell r="A66" t="str">
            <v>MODETFPRUUS</v>
          </cell>
          <cell r="B66">
            <v>112776622.56959768</v>
          </cell>
        </row>
        <row r="67">
          <cell r="A67" t="str">
            <v>MODSAXAC</v>
          </cell>
        </row>
        <row r="68">
          <cell r="A68" t="str">
            <v>MODSAXAERO</v>
          </cell>
          <cell r="B68">
            <v>110062094.39095688</v>
          </cell>
        </row>
        <row r="69">
          <cell r="A69" t="str">
            <v>MODSAXEC</v>
          </cell>
        </row>
        <row r="70">
          <cell r="A70" t="str">
            <v>MODSAXLRO</v>
          </cell>
          <cell r="B70">
            <v>111101841.3160847</v>
          </cell>
        </row>
        <row r="71">
          <cell r="A71" t="str">
            <v>MODSAXRO</v>
          </cell>
          <cell r="B71">
            <v>90538775.02139999</v>
          </cell>
        </row>
        <row r="72">
          <cell r="A72" t="str">
            <v>MPSGBPBAL</v>
          </cell>
        </row>
        <row r="73">
          <cell r="A73" t="str">
            <v>MPSGBPGRO</v>
          </cell>
        </row>
        <row r="74">
          <cell r="A74" t="str">
            <v>MULLI360</v>
          </cell>
          <cell r="B74">
            <v>153951234</v>
          </cell>
        </row>
        <row r="75">
          <cell r="A75" t="str">
            <v>MULSTEP</v>
          </cell>
          <cell r="B75">
            <v>8209354</v>
          </cell>
        </row>
        <row r="76">
          <cell r="A76" t="str">
            <v>MULTHEM</v>
          </cell>
          <cell r="B76">
            <v>1805610458</v>
          </cell>
        </row>
        <row r="77">
          <cell r="A77" t="str">
            <v>MUNIP</v>
          </cell>
          <cell r="B77">
            <v>253822</v>
          </cell>
        </row>
        <row r="78">
          <cell r="A78" t="str">
            <v>MUSG</v>
          </cell>
          <cell r="B78">
            <v>970765566</v>
          </cell>
        </row>
        <row r="79">
          <cell r="A79" t="str">
            <v>MUSI</v>
          </cell>
          <cell r="B79">
            <v>238309510</v>
          </cell>
        </row>
        <row r="80">
          <cell r="A80" t="str">
            <v>PF103025</v>
          </cell>
          <cell r="B80">
            <v>93110643.319999993</v>
          </cell>
        </row>
        <row r="81">
          <cell r="A81" t="str">
            <v>PF115036</v>
          </cell>
          <cell r="B81">
            <v>98145264.699999988</v>
          </cell>
        </row>
        <row r="82">
          <cell r="A82" t="str">
            <v>PF201311</v>
          </cell>
          <cell r="B82">
            <v>290251592.92000002</v>
          </cell>
        </row>
        <row r="83">
          <cell r="A83" t="str">
            <v>PF204806</v>
          </cell>
          <cell r="B83">
            <v>27570061.568894248</v>
          </cell>
        </row>
        <row r="84">
          <cell r="A84" t="str">
            <v>PF71664</v>
          </cell>
          <cell r="B84">
            <v>29235594.449999999</v>
          </cell>
        </row>
        <row r="85">
          <cell r="A85" t="str">
            <v>PF76580</v>
          </cell>
          <cell r="B85">
            <v>19225106.809999999</v>
          </cell>
        </row>
        <row r="86">
          <cell r="A86" t="str">
            <v>PF78195</v>
          </cell>
          <cell r="B86">
            <v>24599610.579999998</v>
          </cell>
        </row>
        <row r="87">
          <cell r="A87" t="str">
            <v>PF79139</v>
          </cell>
          <cell r="B87">
            <v>20889994.030000001</v>
          </cell>
        </row>
        <row r="88">
          <cell r="A88" t="str">
            <v>PF80513</v>
          </cell>
          <cell r="B88">
            <v>22967775.329999998</v>
          </cell>
        </row>
        <row r="89">
          <cell r="A89" t="str">
            <v>PF82304</v>
          </cell>
          <cell r="B89">
            <v>20068945.129999999</v>
          </cell>
        </row>
        <row r="90">
          <cell r="A90" t="str">
            <v>PF87100</v>
          </cell>
          <cell r="B90">
            <v>6970226.1600000001</v>
          </cell>
        </row>
        <row r="91">
          <cell r="A91" t="str">
            <v>PF87115</v>
          </cell>
          <cell r="B91">
            <v>3927561.09</v>
          </cell>
        </row>
        <row r="92">
          <cell r="A92" t="str">
            <v>PF88300</v>
          </cell>
          <cell r="B92">
            <v>450090309.56</v>
          </cell>
        </row>
        <row r="93">
          <cell r="A93" t="str">
            <v>PF88524</v>
          </cell>
          <cell r="B93">
            <v>641546599.19999993</v>
          </cell>
        </row>
        <row r="94">
          <cell r="A94" t="str">
            <v>PF89408</v>
          </cell>
          <cell r="B94">
            <v>276806248.65000004</v>
          </cell>
        </row>
        <row r="95">
          <cell r="A95" t="str">
            <v>PF92127</v>
          </cell>
          <cell r="B95">
            <v>333770194.04999995</v>
          </cell>
        </row>
        <row r="96">
          <cell r="A96" t="str">
            <v>PF95239</v>
          </cell>
          <cell r="B96">
            <v>318662550.81</v>
          </cell>
        </row>
        <row r="97">
          <cell r="A97" t="str">
            <v>PLAP</v>
          </cell>
          <cell r="B97">
            <v>21014305</v>
          </cell>
        </row>
        <row r="98">
          <cell r="A98" t="str">
            <v>PLIC</v>
          </cell>
          <cell r="B98">
            <v>33403855</v>
          </cell>
        </row>
        <row r="99">
          <cell r="A99" t="str">
            <v>PMAI</v>
          </cell>
          <cell r="B99">
            <v>77632</v>
          </cell>
        </row>
        <row r="100">
          <cell r="A100" t="str">
            <v>PP1-3Y</v>
          </cell>
          <cell r="B100">
            <v>91723046</v>
          </cell>
        </row>
        <row r="101">
          <cell r="A101" t="str">
            <v>PP3Y</v>
          </cell>
          <cell r="B101">
            <v>121763648</v>
          </cell>
        </row>
        <row r="102">
          <cell r="A102" t="str">
            <v>PPIAZINTER</v>
          </cell>
          <cell r="B102">
            <v>39309465</v>
          </cell>
        </row>
        <row r="103">
          <cell r="A103" t="str">
            <v>PPIAZJAP</v>
          </cell>
          <cell r="B103">
            <v>35111106</v>
          </cell>
        </row>
        <row r="104">
          <cell r="A104" t="str">
            <v>PPIAZNAM</v>
          </cell>
          <cell r="B104">
            <v>109694807</v>
          </cell>
        </row>
        <row r="105">
          <cell r="A105" t="str">
            <v>PPIAZNAMHEDG</v>
          </cell>
          <cell r="B105">
            <v>54875889</v>
          </cell>
        </row>
        <row r="106">
          <cell r="A106" t="str">
            <v>PPIAZPACIF</v>
          </cell>
          <cell r="B106">
            <v>8374683</v>
          </cell>
        </row>
        <row r="107">
          <cell r="A107" t="str">
            <v>PSUKLD1</v>
          </cell>
          <cell r="B107">
            <v>141079789.02999997</v>
          </cell>
        </row>
        <row r="108">
          <cell r="A108" t="str">
            <v>R1M</v>
          </cell>
          <cell r="B108">
            <v>20473809</v>
          </cell>
        </row>
        <row r="109">
          <cell r="A109" t="str">
            <v>R2M</v>
          </cell>
          <cell r="B109">
            <v>4017874</v>
          </cell>
        </row>
        <row r="110">
          <cell r="A110" t="str">
            <v>STEPONE</v>
          </cell>
          <cell r="B110">
            <v>78070</v>
          </cell>
        </row>
        <row r="111">
          <cell r="A111" t="str">
            <v>UDM6</v>
          </cell>
          <cell r="B111">
            <v>1112678320</v>
          </cell>
        </row>
        <row r="112">
          <cell r="A112" t="str">
            <v>UDM7</v>
          </cell>
          <cell r="B112">
            <v>46095839</v>
          </cell>
        </row>
        <row r="113">
          <cell r="A113" t="str">
            <v>UDM9</v>
          </cell>
          <cell r="B113">
            <v>174362993</v>
          </cell>
        </row>
        <row r="114">
          <cell r="A114" t="str">
            <v>UES20</v>
          </cell>
          <cell r="B114">
            <v>22871133</v>
          </cell>
        </row>
        <row r="115">
          <cell r="A115" t="str">
            <v>UES30</v>
          </cell>
          <cell r="B115">
            <v>232909856</v>
          </cell>
        </row>
        <row r="116">
          <cell r="A116" t="str">
            <v>UES40</v>
          </cell>
          <cell r="B116">
            <v>17548605</v>
          </cell>
        </row>
        <row r="117">
          <cell r="A117" t="str">
            <v>UES50</v>
          </cell>
          <cell r="B117">
            <v>544284583</v>
          </cell>
        </row>
        <row r="118">
          <cell r="A118" t="str">
            <v>UES70</v>
          </cell>
          <cell r="B118">
            <v>324745916</v>
          </cell>
        </row>
        <row r="119">
          <cell r="A119" t="str">
            <v>ULACCO</v>
          </cell>
          <cell r="B119">
            <v>4695301</v>
          </cell>
        </row>
        <row r="120">
          <cell r="A120" t="str">
            <v>ULBER-</v>
          </cell>
        </row>
        <row r="121">
          <cell r="A121" t="str">
            <v>ULBIL</v>
          </cell>
          <cell r="B121">
            <v>10452786</v>
          </cell>
        </row>
        <row r="122">
          <cell r="A122" t="str">
            <v>ULBILPIU</v>
          </cell>
          <cell r="B122">
            <v>17094216</v>
          </cell>
        </row>
        <row r="123">
          <cell r="A123" t="str">
            <v>ULC</v>
          </cell>
          <cell r="B123">
            <v>27300227</v>
          </cell>
        </row>
        <row r="124">
          <cell r="A124" t="str">
            <v>ULDER</v>
          </cell>
        </row>
        <row r="125">
          <cell r="A125" t="str">
            <v>ULDIN</v>
          </cell>
          <cell r="B125">
            <v>18008125</v>
          </cell>
        </row>
        <row r="126">
          <cell r="A126" t="str">
            <v>ULECSTARS</v>
          </cell>
          <cell r="B126">
            <v>1906769438</v>
          </cell>
        </row>
        <row r="127">
          <cell r="A127" t="str">
            <v>ULFTREND</v>
          </cell>
          <cell r="B127">
            <v>162597339</v>
          </cell>
        </row>
        <row r="128">
          <cell r="A128" t="str">
            <v>ULG4NEW</v>
          </cell>
          <cell r="B128">
            <v>410470</v>
          </cell>
        </row>
        <row r="129">
          <cell r="A129" t="str">
            <v>ULMATREND</v>
          </cell>
          <cell r="B129">
            <v>253333398</v>
          </cell>
        </row>
        <row r="130">
          <cell r="A130" t="str">
            <v>ULP</v>
          </cell>
          <cell r="B130">
            <v>11960594</v>
          </cell>
        </row>
        <row r="131">
          <cell r="A131" t="str">
            <v>ULPER</v>
          </cell>
        </row>
        <row r="132">
          <cell r="A132" t="str">
            <v>ULP-ER</v>
          </cell>
        </row>
        <row r="133">
          <cell r="A133" t="str">
            <v>ULPRUD</v>
          </cell>
          <cell r="B133">
            <v>15473269</v>
          </cell>
        </row>
        <row r="134">
          <cell r="A134" t="str">
            <v>UNGOALS</v>
          </cell>
          <cell r="B134">
            <v>917442674</v>
          </cell>
        </row>
        <row r="135">
          <cell r="A135" t="str">
            <v>31/12/24 11:58:05</v>
          </cell>
        </row>
      </sheetData>
      <sheetData sheetId="2">
        <row r="1">
          <cell r="A1" t="str">
            <v>+</v>
          </cell>
          <cell r="B1" t="str">
            <v>AUM</v>
          </cell>
        </row>
        <row r="2">
          <cell r="A2" t="str">
            <v>1PM</v>
          </cell>
          <cell r="B2">
            <v>276712413</v>
          </cell>
        </row>
        <row r="3">
          <cell r="A3" t="str">
            <v>1QM</v>
          </cell>
          <cell r="B3">
            <v>44663645</v>
          </cell>
        </row>
        <row r="4">
          <cell r="A4" t="str">
            <v>1RM</v>
          </cell>
          <cell r="B4">
            <v>29944309</v>
          </cell>
        </row>
        <row r="5">
          <cell r="A5" t="str">
            <v>AAPROT80</v>
          </cell>
          <cell r="B5">
            <v>108101631</v>
          </cell>
        </row>
        <row r="6">
          <cell r="A6" t="str">
            <v>CCRESCITA</v>
          </cell>
          <cell r="B6">
            <v>1226192</v>
          </cell>
        </row>
        <row r="7">
          <cell r="A7" t="str">
            <v>CMEDIUM</v>
          </cell>
          <cell r="B7">
            <v>215898</v>
          </cell>
        </row>
        <row r="8">
          <cell r="A8" t="str">
            <v>CNPDYNPR80</v>
          </cell>
          <cell r="B8">
            <v>132260888</v>
          </cell>
        </row>
        <row r="9">
          <cell r="A9" t="str">
            <v>CNPPROT80</v>
          </cell>
          <cell r="B9">
            <v>92942418</v>
          </cell>
        </row>
        <row r="10">
          <cell r="A10" t="str">
            <v>CNPTHEMPROT</v>
          </cell>
          <cell r="B10">
            <v>201751089</v>
          </cell>
        </row>
        <row r="11">
          <cell r="A11" t="str">
            <v>COBBLEURO</v>
          </cell>
          <cell r="B11">
            <v>2649</v>
          </cell>
        </row>
        <row r="12">
          <cell r="A12" t="str">
            <v>CREDDITO</v>
          </cell>
          <cell r="B12">
            <v>82952</v>
          </cell>
        </row>
        <row r="13">
          <cell r="A13" t="str">
            <v>CRVDYNPR80</v>
          </cell>
          <cell r="B13">
            <v>303707882</v>
          </cell>
        </row>
        <row r="14">
          <cell r="A14" t="str">
            <v>CRVPROT80</v>
          </cell>
          <cell r="B14">
            <v>101671056</v>
          </cell>
        </row>
        <row r="15">
          <cell r="A15" t="str">
            <v>CRVTHEMPROT</v>
          </cell>
          <cell r="B15">
            <v>312423908</v>
          </cell>
        </row>
        <row r="16">
          <cell r="A16" t="str">
            <v>CSVILUPPO</v>
          </cell>
          <cell r="B16">
            <v>33771</v>
          </cell>
        </row>
        <row r="17">
          <cell r="A17" t="str">
            <v>CTREND_20</v>
          </cell>
          <cell r="B17">
            <v>23564</v>
          </cell>
        </row>
        <row r="18">
          <cell r="A18" t="str">
            <v>DINAR1TF</v>
          </cell>
          <cell r="B18">
            <v>1364632</v>
          </cell>
        </row>
        <row r="19">
          <cell r="A19" t="str">
            <v>DINAR2TF</v>
          </cell>
          <cell r="B19">
            <v>26955727</v>
          </cell>
        </row>
        <row r="20">
          <cell r="A20" t="str">
            <v>DINAR3TF</v>
          </cell>
          <cell r="B20">
            <v>794524</v>
          </cell>
        </row>
        <row r="21">
          <cell r="A21" t="str">
            <v>E118</v>
          </cell>
          <cell r="B21">
            <v>8321680.0099999998</v>
          </cell>
        </row>
        <row r="22">
          <cell r="A22" t="str">
            <v>E119</v>
          </cell>
          <cell r="B22">
            <v>56591525.729999997</v>
          </cell>
        </row>
        <row r="23">
          <cell r="A23" t="str">
            <v>E120</v>
          </cell>
          <cell r="B23">
            <v>123937506.37</v>
          </cell>
        </row>
        <row r="24">
          <cell r="A24" t="str">
            <v>E142</v>
          </cell>
          <cell r="B24">
            <v>323150343.74000001</v>
          </cell>
        </row>
        <row r="25">
          <cell r="A25" t="str">
            <v>E143</v>
          </cell>
          <cell r="B25">
            <v>247147097.28</v>
          </cell>
        </row>
        <row r="26">
          <cell r="A26" t="str">
            <v>E144</v>
          </cell>
          <cell r="B26">
            <v>85685108.980000004</v>
          </cell>
        </row>
        <row r="27">
          <cell r="A27" t="str">
            <v>E193</v>
          </cell>
          <cell r="B27">
            <v>137814615.19</v>
          </cell>
        </row>
        <row r="28">
          <cell r="A28" t="str">
            <v>E207</v>
          </cell>
          <cell r="B28">
            <v>56764604.780000001</v>
          </cell>
        </row>
        <row r="29">
          <cell r="A29" t="str">
            <v>E208</v>
          </cell>
          <cell r="B29">
            <v>77232789.670000002</v>
          </cell>
        </row>
        <row r="30">
          <cell r="A30" t="str">
            <v>E209</v>
          </cell>
          <cell r="B30">
            <v>234214073.75999999</v>
          </cell>
        </row>
        <row r="31">
          <cell r="A31" t="str">
            <v>E224</v>
          </cell>
          <cell r="B31">
            <v>74824881.549999997</v>
          </cell>
        </row>
        <row r="32">
          <cell r="A32" t="str">
            <v>F100123</v>
          </cell>
          <cell r="B32">
            <v>13134605716</v>
          </cell>
        </row>
        <row r="33">
          <cell r="A33" t="str">
            <v>LINPRO</v>
          </cell>
          <cell r="B33">
            <v>918320</v>
          </cell>
        </row>
        <row r="34">
          <cell r="A34" t="str">
            <v>MAA</v>
          </cell>
          <cell r="B34">
            <v>278072</v>
          </cell>
        </row>
        <row r="35">
          <cell r="A35" t="str">
            <v>MAB</v>
          </cell>
          <cell r="B35">
            <v>4891405</v>
          </cell>
        </row>
        <row r="36">
          <cell r="A36" t="str">
            <v>MAC</v>
          </cell>
          <cell r="B36">
            <v>187915</v>
          </cell>
        </row>
        <row r="37">
          <cell r="A37" t="str">
            <v>MAD</v>
          </cell>
          <cell r="B37">
            <v>340831</v>
          </cell>
        </row>
        <row r="38">
          <cell r="A38" t="str">
            <v>MAE</v>
          </cell>
          <cell r="B38">
            <v>155214</v>
          </cell>
        </row>
        <row r="39">
          <cell r="A39" t="str">
            <v>MAF</v>
          </cell>
          <cell r="B39">
            <v>87979</v>
          </cell>
        </row>
        <row r="40">
          <cell r="A40" t="str">
            <v>MAG</v>
          </cell>
          <cell r="B40">
            <v>135227</v>
          </cell>
        </row>
        <row r="41">
          <cell r="A41" t="str">
            <v>MAH</v>
          </cell>
          <cell r="B41">
            <v>631685</v>
          </cell>
        </row>
        <row r="42">
          <cell r="A42" t="str">
            <v>MAL</v>
          </cell>
          <cell r="B42">
            <v>143073</v>
          </cell>
        </row>
        <row r="43">
          <cell r="A43" t="str">
            <v>MAM</v>
          </cell>
          <cell r="B43">
            <v>16991</v>
          </cell>
        </row>
        <row r="44">
          <cell r="A44" t="str">
            <v>MAN</v>
          </cell>
          <cell r="B44">
            <v>29020</v>
          </cell>
        </row>
        <row r="45">
          <cell r="A45" t="str">
            <v>MATRUNIP</v>
          </cell>
          <cell r="B45">
            <v>12897265</v>
          </cell>
        </row>
        <row r="46">
          <cell r="A46" t="str">
            <v>MDIA4UL</v>
          </cell>
          <cell r="B46">
            <v>5812215</v>
          </cell>
        </row>
        <row r="47">
          <cell r="A47" t="str">
            <v>MEPF10</v>
          </cell>
          <cell r="B47">
            <v>393174</v>
          </cell>
        </row>
        <row r="48">
          <cell r="A48" t="str">
            <v>MEPF2N</v>
          </cell>
          <cell r="B48">
            <v>7920799</v>
          </cell>
        </row>
        <row r="49">
          <cell r="A49" t="str">
            <v>MEPF4</v>
          </cell>
          <cell r="B49">
            <v>1249574</v>
          </cell>
        </row>
        <row r="50">
          <cell r="A50" t="str">
            <v>MEPF5</v>
          </cell>
          <cell r="B50">
            <v>73864832</v>
          </cell>
        </row>
        <row r="51">
          <cell r="A51" t="str">
            <v>MEPF6</v>
          </cell>
          <cell r="B51">
            <v>65910670</v>
          </cell>
        </row>
        <row r="52">
          <cell r="A52" t="str">
            <v>MEPF8</v>
          </cell>
          <cell r="B52">
            <v>132733973</v>
          </cell>
        </row>
        <row r="53">
          <cell r="A53" t="str">
            <v>MLIFEBND</v>
          </cell>
          <cell r="B53">
            <v>89492990</v>
          </cell>
        </row>
        <row r="54">
          <cell r="A54" t="str">
            <v>MLINC</v>
          </cell>
          <cell r="B54">
            <v>230490457</v>
          </cell>
        </row>
        <row r="55">
          <cell r="A55" t="str">
            <v>MLPFLEX</v>
          </cell>
          <cell r="B55">
            <v>25631869</v>
          </cell>
        </row>
        <row r="56">
          <cell r="A56" t="str">
            <v>MODETFBAL</v>
          </cell>
          <cell r="B56">
            <v>111326553.33</v>
          </cell>
        </row>
        <row r="57">
          <cell r="A57" t="str">
            <v>MODETFBALUS</v>
          </cell>
          <cell r="B57">
            <v>104298656.51000001</v>
          </cell>
        </row>
        <row r="58">
          <cell r="A58" t="str">
            <v>MODETFDYN</v>
          </cell>
          <cell r="B58">
            <v>122203660.09999999</v>
          </cell>
        </row>
        <row r="59">
          <cell r="A59" t="str">
            <v>MODETFDYNUS</v>
          </cell>
          <cell r="B59">
            <v>130965685.53</v>
          </cell>
        </row>
        <row r="60">
          <cell r="A60" t="str">
            <v>MODETFPRU</v>
          </cell>
          <cell r="B60">
            <v>101141452.59</v>
          </cell>
        </row>
        <row r="61">
          <cell r="A61" t="str">
            <v>MODETFPRUUS</v>
          </cell>
          <cell r="B61">
            <v>115468244.65000001</v>
          </cell>
        </row>
        <row r="62">
          <cell r="A62" t="str">
            <v>MODSAXAC</v>
          </cell>
        </row>
        <row r="63">
          <cell r="A63" t="str">
            <v>MODSAXAERO</v>
          </cell>
          <cell r="B63">
            <v>112258579.25</v>
          </cell>
        </row>
        <row r="64">
          <cell r="A64" t="str">
            <v>MODSAXEC</v>
          </cell>
        </row>
        <row r="65">
          <cell r="A65" t="str">
            <v>MODSAXLRO</v>
          </cell>
          <cell r="B65">
            <v>113278666.40000001</v>
          </cell>
        </row>
        <row r="66">
          <cell r="A66" t="str">
            <v>MODSAXRO</v>
          </cell>
          <cell r="B66">
            <v>92505556.010000005</v>
          </cell>
        </row>
        <row r="67">
          <cell r="A67" t="str">
            <v>MULLI360</v>
          </cell>
          <cell r="B67">
            <v>170018725</v>
          </cell>
        </row>
        <row r="68">
          <cell r="A68" t="str">
            <v>MULSTEP</v>
          </cell>
          <cell r="B68">
            <v>8373945</v>
          </cell>
        </row>
        <row r="69">
          <cell r="A69" t="str">
            <v>MULTHEM</v>
          </cell>
          <cell r="B69">
            <v>1777255098</v>
          </cell>
        </row>
        <row r="70">
          <cell r="A70" t="str">
            <v>MUNIP</v>
          </cell>
          <cell r="B70">
            <v>272765</v>
          </cell>
        </row>
        <row r="71">
          <cell r="A71" t="str">
            <v>MUSG</v>
          </cell>
          <cell r="B71">
            <v>1080105960</v>
          </cell>
        </row>
        <row r="72">
          <cell r="A72" t="str">
            <v>MUSI</v>
          </cell>
          <cell r="B72">
            <v>263555955</v>
          </cell>
        </row>
        <row r="73">
          <cell r="A73" t="str">
            <v>PF103025</v>
          </cell>
          <cell r="B73">
            <v>111680002.01000001</v>
          </cell>
        </row>
        <row r="74">
          <cell r="A74" t="str">
            <v>PF115036</v>
          </cell>
          <cell r="B74">
            <v>98124607.040000007</v>
          </cell>
        </row>
        <row r="75">
          <cell r="A75" t="str">
            <v>PF201311</v>
          </cell>
          <cell r="B75">
            <v>291991455.05000001</v>
          </cell>
        </row>
        <row r="76">
          <cell r="A76" t="str">
            <v>PF87100</v>
          </cell>
          <cell r="B76">
            <v>6970226.1600000001</v>
          </cell>
        </row>
        <row r="77">
          <cell r="A77" t="str">
            <v>PF87115</v>
          </cell>
          <cell r="B77">
            <v>3927561.09</v>
          </cell>
        </row>
        <row r="78">
          <cell r="A78" t="str">
            <v>PF88300</v>
          </cell>
          <cell r="B78">
            <v>555495066.75999999</v>
          </cell>
        </row>
        <row r="79">
          <cell r="A79" t="str">
            <v>PF88524</v>
          </cell>
          <cell r="B79">
            <v>532844870.06999999</v>
          </cell>
        </row>
        <row r="80">
          <cell r="A80" t="str">
            <v>PF89408</v>
          </cell>
          <cell r="B80">
            <v>341822371.30000001</v>
          </cell>
        </row>
        <row r="81">
          <cell r="A81" t="str">
            <v>PF92127</v>
          </cell>
          <cell r="B81">
            <v>473820490.07999998</v>
          </cell>
        </row>
        <row r="82">
          <cell r="A82" t="str">
            <v>PF95239</v>
          </cell>
          <cell r="B82">
            <v>408635787.25</v>
          </cell>
        </row>
        <row r="83">
          <cell r="A83" t="str">
            <v>PLAP</v>
          </cell>
          <cell r="B83">
            <v>21788476</v>
          </cell>
        </row>
        <row r="84">
          <cell r="A84" t="str">
            <v>PLIC</v>
          </cell>
          <cell r="B84">
            <v>33951455</v>
          </cell>
        </row>
        <row r="85">
          <cell r="A85" t="str">
            <v>PMAI</v>
          </cell>
          <cell r="B85">
            <v>78336</v>
          </cell>
        </row>
        <row r="86">
          <cell r="A86" t="str">
            <v>PP1-3Y</v>
          </cell>
          <cell r="B86">
            <v>91452737</v>
          </cell>
        </row>
        <row r="87">
          <cell r="A87" t="str">
            <v>PP3Y</v>
          </cell>
          <cell r="B87">
            <v>121839302</v>
          </cell>
        </row>
        <row r="88">
          <cell r="A88" t="str">
            <v>PPIAZINTER</v>
          </cell>
          <cell r="B88">
            <v>40861520</v>
          </cell>
        </row>
        <row r="89">
          <cell r="A89" t="str">
            <v>PPIAZJAP</v>
          </cell>
          <cell r="B89">
            <v>38356461</v>
          </cell>
        </row>
        <row r="90">
          <cell r="A90" t="str">
            <v>PPIAZNAM</v>
          </cell>
          <cell r="B90">
            <v>107634059</v>
          </cell>
        </row>
        <row r="91">
          <cell r="A91" t="str">
            <v>PPIAZNAMHEDG</v>
          </cell>
          <cell r="B91">
            <v>58654597</v>
          </cell>
        </row>
        <row r="92">
          <cell r="A92" t="str">
            <v>PPIAZPACIF</v>
          </cell>
          <cell r="B92">
            <v>8717907</v>
          </cell>
        </row>
        <row r="93">
          <cell r="A93" t="str">
            <v>PSUKLD1</v>
          </cell>
          <cell r="B93">
            <v>138220003.58000001</v>
          </cell>
        </row>
        <row r="94">
          <cell r="A94" t="str">
            <v>R1M</v>
          </cell>
          <cell r="B94">
            <v>20364888</v>
          </cell>
        </row>
        <row r="95">
          <cell r="A95" t="str">
            <v>R2M</v>
          </cell>
          <cell r="B95">
            <v>3913810</v>
          </cell>
        </row>
        <row r="96">
          <cell r="A96" t="str">
            <v>STEPONE</v>
          </cell>
          <cell r="B96">
            <v>77392</v>
          </cell>
        </row>
        <row r="97">
          <cell r="A97" t="str">
            <v>UDM6</v>
          </cell>
          <cell r="B97">
            <v>1020119648</v>
          </cell>
        </row>
        <row r="98">
          <cell r="A98" t="str">
            <v>UDM7</v>
          </cell>
          <cell r="B98">
            <v>49761394</v>
          </cell>
        </row>
        <row r="99">
          <cell r="A99" t="str">
            <v>UDM9</v>
          </cell>
          <cell r="B99">
            <v>173466024</v>
          </cell>
        </row>
        <row r="100">
          <cell r="A100" t="str">
            <v>UES20</v>
          </cell>
          <cell r="B100">
            <v>24509694</v>
          </cell>
        </row>
        <row r="101">
          <cell r="A101" t="str">
            <v>UES30</v>
          </cell>
          <cell r="B101">
            <v>250680875</v>
          </cell>
        </row>
        <row r="102">
          <cell r="A102" t="str">
            <v>UES40</v>
          </cell>
          <cell r="B102">
            <v>19212387</v>
          </cell>
        </row>
        <row r="103">
          <cell r="A103" t="str">
            <v>UES50</v>
          </cell>
          <cell r="B103">
            <v>613264658</v>
          </cell>
        </row>
        <row r="104">
          <cell r="A104" t="str">
            <v>UES70</v>
          </cell>
          <cell r="B104">
            <v>366473118</v>
          </cell>
        </row>
        <row r="105">
          <cell r="A105" t="str">
            <v>ULACCO</v>
          </cell>
          <cell r="B105">
            <v>5173858</v>
          </cell>
        </row>
        <row r="106">
          <cell r="A106" t="str">
            <v>ULBER-</v>
          </cell>
        </row>
        <row r="107">
          <cell r="A107" t="str">
            <v>ULBIL</v>
          </cell>
          <cell r="B107">
            <v>11114645</v>
          </cell>
        </row>
        <row r="108">
          <cell r="A108" t="str">
            <v>ULBILPIU</v>
          </cell>
          <cell r="B108">
            <v>17726631</v>
          </cell>
        </row>
        <row r="109">
          <cell r="A109" t="str">
            <v>ULC</v>
          </cell>
          <cell r="B109">
            <v>27597514</v>
          </cell>
        </row>
        <row r="110">
          <cell r="A110" t="str">
            <v>ULDER</v>
          </cell>
        </row>
        <row r="111">
          <cell r="A111" t="str">
            <v>ULDIN</v>
          </cell>
          <cell r="B111">
            <v>19013976</v>
          </cell>
        </row>
        <row r="112">
          <cell r="A112" t="str">
            <v>ULECSTARS</v>
          </cell>
          <cell r="B112">
            <v>1877332566</v>
          </cell>
        </row>
        <row r="113">
          <cell r="A113" t="str">
            <v>ULFTREND</v>
          </cell>
          <cell r="B113">
            <v>153569443</v>
          </cell>
        </row>
        <row r="114">
          <cell r="A114" t="str">
            <v>ULG4NEW</v>
          </cell>
          <cell r="B114">
            <v>406916</v>
          </cell>
        </row>
        <row r="115">
          <cell r="A115" t="str">
            <v>ULMATREND</v>
          </cell>
          <cell r="B115">
            <v>239873847</v>
          </cell>
        </row>
        <row r="116">
          <cell r="A116" t="str">
            <v>ULP</v>
          </cell>
          <cell r="B116">
            <v>12689996</v>
          </cell>
        </row>
        <row r="117">
          <cell r="A117" t="str">
            <v>ULPER</v>
          </cell>
        </row>
        <row r="118">
          <cell r="A118" t="str">
            <v>ULP-ER</v>
          </cell>
        </row>
        <row r="119">
          <cell r="A119" t="str">
            <v>ULPRUD</v>
          </cell>
          <cell r="B119">
            <v>16167560</v>
          </cell>
        </row>
        <row r="120">
          <cell r="A120" t="str">
            <v>UNGOALS</v>
          </cell>
          <cell r="B120">
            <v>869067080</v>
          </cell>
        </row>
        <row r="121">
          <cell r="A121" t="str">
            <v>PF78195</v>
          </cell>
          <cell r="B121">
            <v>26376564</v>
          </cell>
        </row>
        <row r="122">
          <cell r="A122">
            <v>45565.474745370368</v>
          </cell>
        </row>
      </sheetData>
      <sheetData sheetId="3">
        <row r="1">
          <cell r="A1" t="str">
            <v>Name</v>
          </cell>
          <cell r="B1" t="str">
            <v>Flow</v>
          </cell>
        </row>
        <row r="2">
          <cell r="A2" t="str">
            <v>1PM</v>
          </cell>
          <cell r="B2">
            <v>-9165717.5100000035</v>
          </cell>
        </row>
        <row r="3">
          <cell r="A3" t="str">
            <v>1QM</v>
          </cell>
          <cell r="B3">
            <v>-1090320.0699999998</v>
          </cell>
        </row>
        <row r="4">
          <cell r="A4" t="str">
            <v>1RM</v>
          </cell>
          <cell r="B4">
            <v>-582340.87000000011</v>
          </cell>
        </row>
        <row r="5">
          <cell r="A5" t="str">
            <v>2RDIN</v>
          </cell>
          <cell r="B5">
            <v>-47.02</v>
          </cell>
        </row>
        <row r="6">
          <cell r="A6" t="str">
            <v>2RTRAN</v>
          </cell>
          <cell r="B6">
            <v>-142.79000000000002</v>
          </cell>
        </row>
        <row r="7">
          <cell r="A7" t="str">
            <v>AAPROT80</v>
          </cell>
          <cell r="B7">
            <v>-3074648.8299999991</v>
          </cell>
        </row>
        <row r="8">
          <cell r="A8" t="str">
            <v>ARSTARS</v>
          </cell>
          <cell r="B8">
            <v>-40270323.669999972</v>
          </cell>
        </row>
        <row r="9">
          <cell r="A9" t="str">
            <v>CCRESCITA</v>
          </cell>
          <cell r="B9">
            <v>-19473.099999999995</v>
          </cell>
        </row>
        <row r="10">
          <cell r="A10" t="str">
            <v>CNP AZIONARIO INFRASTRUTTURE</v>
          </cell>
          <cell r="B10">
            <v>-460288.35999999987</v>
          </cell>
        </row>
        <row r="11">
          <cell r="A11" t="str">
            <v>CNP MULTIASSET ABSOLUTE</v>
          </cell>
          <cell r="B11">
            <v>-1078728.5399999998</v>
          </cell>
        </row>
        <row r="12">
          <cell r="A12" t="str">
            <v>CNPDYNPR80</v>
          </cell>
          <cell r="B12">
            <v>-16726670.740000002</v>
          </cell>
        </row>
        <row r="13">
          <cell r="A13" t="str">
            <v>CNPPROT80</v>
          </cell>
          <cell r="B13">
            <v>-19908.650000000169</v>
          </cell>
        </row>
        <row r="14">
          <cell r="A14" t="str">
            <v>CNPTHEMPROT</v>
          </cell>
          <cell r="B14">
            <v>-10873093.450000003</v>
          </cell>
        </row>
        <row r="15">
          <cell r="A15" t="str">
            <v>CRVDYNPR80</v>
          </cell>
          <cell r="B15">
            <v>-27240350.970000014</v>
          </cell>
        </row>
        <row r="16">
          <cell r="A16" t="str">
            <v>CRVPROT80</v>
          </cell>
          <cell r="B16">
            <v>1089505.3800000004</v>
          </cell>
        </row>
        <row r="17">
          <cell r="A17" t="str">
            <v>CRVTHEMPROT</v>
          </cell>
          <cell r="B17">
            <v>-12008190.73</v>
          </cell>
        </row>
        <row r="18">
          <cell r="A18" t="str">
            <v>DINAR1TF</v>
          </cell>
          <cell r="B18">
            <v>-8576.35</v>
          </cell>
        </row>
        <row r="19">
          <cell r="A19" t="str">
            <v>DINAR2TF</v>
          </cell>
          <cell r="B19">
            <v>-121085.93000000005</v>
          </cell>
        </row>
        <row r="20">
          <cell r="A20" t="str">
            <v>DINAR3TF</v>
          </cell>
          <cell r="B20">
            <v>-3668.2900000000009</v>
          </cell>
        </row>
        <row r="21">
          <cell r="A21" t="str">
            <v>INCSMRT</v>
          </cell>
          <cell r="B21">
            <v>-21466886.61999999</v>
          </cell>
        </row>
        <row r="22">
          <cell r="A22" t="str">
            <v>MAA</v>
          </cell>
          <cell r="B22">
            <v>-1958.1100000000001</v>
          </cell>
        </row>
        <row r="23">
          <cell r="A23" t="str">
            <v>MAB</v>
          </cell>
          <cell r="B23">
            <v>-65440.870000000024</v>
          </cell>
        </row>
        <row r="24">
          <cell r="A24" t="str">
            <v>MAC</v>
          </cell>
          <cell r="B24">
            <v>-1740.22</v>
          </cell>
        </row>
        <row r="25">
          <cell r="A25" t="str">
            <v>MAD</v>
          </cell>
          <cell r="B25">
            <v>-4878.46</v>
          </cell>
        </row>
        <row r="26">
          <cell r="A26" t="str">
            <v>MAE</v>
          </cell>
          <cell r="B26">
            <v>-1644.49</v>
          </cell>
        </row>
        <row r="27">
          <cell r="A27" t="str">
            <v>MAF</v>
          </cell>
          <cell r="B27">
            <v>-1505.89</v>
          </cell>
        </row>
        <row r="28">
          <cell r="A28" t="str">
            <v>MAG</v>
          </cell>
          <cell r="B28">
            <v>-1605.7</v>
          </cell>
        </row>
        <row r="29">
          <cell r="A29" t="str">
            <v>MAH</v>
          </cell>
          <cell r="B29">
            <v>-2758.01</v>
          </cell>
        </row>
        <row r="30">
          <cell r="A30" t="str">
            <v>MAI</v>
          </cell>
          <cell r="B30">
            <v>-1475.16</v>
          </cell>
        </row>
        <row r="31">
          <cell r="A31" t="str">
            <v>MAL</v>
          </cell>
          <cell r="B31">
            <v>-1625.16</v>
          </cell>
        </row>
        <row r="32">
          <cell r="A32" t="str">
            <v>MAM</v>
          </cell>
          <cell r="B32">
            <v>-579.68999999999983</v>
          </cell>
        </row>
        <row r="33">
          <cell r="A33" t="str">
            <v>MAN</v>
          </cell>
          <cell r="B33">
            <v>-1209.0000000000002</v>
          </cell>
        </row>
        <row r="34">
          <cell r="A34" t="str">
            <v>MATRUNIP</v>
          </cell>
          <cell r="B34">
            <v>-666860.46999999962</v>
          </cell>
        </row>
        <row r="35">
          <cell r="A35" t="str">
            <v>MDIA2UL</v>
          </cell>
          <cell r="B35">
            <v>-45140.160000000003</v>
          </cell>
        </row>
        <row r="36">
          <cell r="A36" t="str">
            <v>MDIA3UL</v>
          </cell>
          <cell r="B36">
            <v>-125570.52999999998</v>
          </cell>
        </row>
        <row r="37">
          <cell r="A37" t="str">
            <v>MDIA4UL</v>
          </cell>
          <cell r="B37">
            <v>-191358.46000000005</v>
          </cell>
        </row>
        <row r="38">
          <cell r="A38" t="str">
            <v>MEBM</v>
          </cell>
          <cell r="B38">
            <v>-208954.65000000005</v>
          </cell>
        </row>
        <row r="39">
          <cell r="A39" t="str">
            <v>MEP</v>
          </cell>
          <cell r="B39">
            <v>82600.08</v>
          </cell>
        </row>
        <row r="40">
          <cell r="A40" t="str">
            <v>MEPF10</v>
          </cell>
          <cell r="B40">
            <v>-1323.01</v>
          </cell>
        </row>
        <row r="41">
          <cell r="A41" t="str">
            <v>MEPF2N</v>
          </cell>
          <cell r="B41">
            <v>-372502.52999999991</v>
          </cell>
        </row>
        <row r="42">
          <cell r="A42" t="str">
            <v>MEPF4</v>
          </cell>
          <cell r="B42">
            <v>-182908.58999999997</v>
          </cell>
        </row>
        <row r="43">
          <cell r="A43" t="str">
            <v>MEPF5</v>
          </cell>
          <cell r="B43">
            <v>-1318530.4800000007</v>
          </cell>
        </row>
        <row r="44">
          <cell r="A44" t="str">
            <v>MEPF6</v>
          </cell>
          <cell r="B44">
            <v>-1553900.2200000004</v>
          </cell>
        </row>
        <row r="45">
          <cell r="A45" t="str">
            <v>MEPF8</v>
          </cell>
          <cell r="B45">
            <v>-2254054.9899999993</v>
          </cell>
        </row>
        <row r="46">
          <cell r="A46" t="str">
            <v>MEUROC</v>
          </cell>
          <cell r="B46">
            <v>-3383653.53</v>
          </cell>
        </row>
        <row r="47">
          <cell r="A47" t="str">
            <v>MLIFEBND</v>
          </cell>
          <cell r="B47">
            <v>-4021916.1300000008</v>
          </cell>
        </row>
        <row r="48">
          <cell r="A48" t="str">
            <v>MLINC</v>
          </cell>
          <cell r="B48">
            <v>-15585921.889999999</v>
          </cell>
        </row>
        <row r="49">
          <cell r="A49" t="str">
            <v>MLPFLEX</v>
          </cell>
          <cell r="B49">
            <v>-1046265.4699999995</v>
          </cell>
        </row>
        <row r="50">
          <cell r="A50" t="str">
            <v>MULLI360</v>
          </cell>
          <cell r="B50">
            <v>-15687265.600000005</v>
          </cell>
        </row>
        <row r="51">
          <cell r="A51" t="str">
            <v>MULSTEP</v>
          </cell>
          <cell r="B51">
            <v>-432255.85000000003</v>
          </cell>
        </row>
        <row r="52">
          <cell r="A52" t="str">
            <v>MULTHEM</v>
          </cell>
          <cell r="B52">
            <v>-84353610.069999933</v>
          </cell>
        </row>
        <row r="53">
          <cell r="A53" t="str">
            <v>MUNIP</v>
          </cell>
          <cell r="B53">
            <v>-17807.07</v>
          </cell>
        </row>
        <row r="54">
          <cell r="A54" t="str">
            <v>MUSE</v>
          </cell>
          <cell r="B54">
            <v>-5128411.8600000003</v>
          </cell>
        </row>
        <row r="55">
          <cell r="A55" t="str">
            <v>MUSEST</v>
          </cell>
          <cell r="B55">
            <v>-3863900.54</v>
          </cell>
        </row>
        <row r="56">
          <cell r="A56" t="str">
            <v>MUSG</v>
          </cell>
          <cell r="B56">
            <v>-143884818.78999984</v>
          </cell>
        </row>
        <row r="57">
          <cell r="A57" t="str">
            <v>MUSI</v>
          </cell>
          <cell r="B57">
            <v>-24934080.980000012</v>
          </cell>
        </row>
        <row r="58">
          <cell r="A58" t="str">
            <v>PATRIMONIO</v>
          </cell>
          <cell r="B58">
            <v>-5034533.9199999971</v>
          </cell>
        </row>
        <row r="59">
          <cell r="A59" t="str">
            <v>PLAP</v>
          </cell>
          <cell r="B59">
            <v>-923913.26</v>
          </cell>
        </row>
        <row r="60">
          <cell r="A60" t="str">
            <v>PLEBE</v>
          </cell>
          <cell r="B60">
            <v>-10117626.990000002</v>
          </cell>
        </row>
        <row r="61">
          <cell r="A61" t="str">
            <v>PLIC</v>
          </cell>
          <cell r="B61">
            <v>-374930.32999999996</v>
          </cell>
        </row>
        <row r="62">
          <cell r="A62" t="str">
            <v>PLUSB</v>
          </cell>
          <cell r="B62">
            <v>-10234452.17999999</v>
          </cell>
        </row>
        <row r="63">
          <cell r="A63" t="str">
            <v>PP1-3Y</v>
          </cell>
          <cell r="B63">
            <v>-681275.55000000063</v>
          </cell>
        </row>
        <row r="64">
          <cell r="A64" t="str">
            <v>PP3Y</v>
          </cell>
          <cell r="B64">
            <v>-4642.7000000000826</v>
          </cell>
        </row>
        <row r="65">
          <cell r="A65" t="str">
            <v>R1M</v>
          </cell>
          <cell r="B65">
            <v>-438367.10999999993</v>
          </cell>
        </row>
        <row r="66">
          <cell r="A66" t="str">
            <v>R2M</v>
          </cell>
          <cell r="B66">
            <v>-34029.530000000021</v>
          </cell>
        </row>
        <row r="67">
          <cell r="A67" t="str">
            <v>UAV MULTIASSET ABSOLUTE</v>
          </cell>
          <cell r="B67">
            <v>-1050200.7800000003</v>
          </cell>
        </row>
        <row r="68">
          <cell r="A68" t="str">
            <v>UDM10</v>
          </cell>
          <cell r="B68">
            <v>-601.20000000000005</v>
          </cell>
        </row>
        <row r="69">
          <cell r="A69" t="str">
            <v>UDM2</v>
          </cell>
          <cell r="B69">
            <v>-168708.38</v>
          </cell>
        </row>
        <row r="70">
          <cell r="A70" t="str">
            <v>UDM3</v>
          </cell>
          <cell r="B70">
            <v>-46829.119999999995</v>
          </cell>
        </row>
        <row r="71">
          <cell r="A71" t="str">
            <v>UDM5</v>
          </cell>
          <cell r="B71">
            <v>-26083087.729999967</v>
          </cell>
        </row>
        <row r="72">
          <cell r="A72" t="str">
            <v>UDM5EX</v>
          </cell>
          <cell r="B72">
            <v>-187942.08999999994</v>
          </cell>
        </row>
        <row r="73">
          <cell r="A73" t="str">
            <v>UDM6</v>
          </cell>
          <cell r="B73">
            <v>3587710.0399999819</v>
          </cell>
        </row>
        <row r="74">
          <cell r="A74" t="str">
            <v>UDM7</v>
          </cell>
          <cell r="B74">
            <v>-74966.089999999982</v>
          </cell>
        </row>
        <row r="75">
          <cell r="A75" t="str">
            <v>UDM8</v>
          </cell>
          <cell r="B75">
            <v>-11189258.270000009</v>
          </cell>
        </row>
        <row r="76">
          <cell r="A76" t="str">
            <v>UDM9</v>
          </cell>
          <cell r="B76">
            <v>-4502120.2299999995</v>
          </cell>
        </row>
        <row r="77">
          <cell r="A77" t="str">
            <v>UEAAL</v>
          </cell>
          <cell r="B77">
            <v>-38030.750000000015</v>
          </cell>
        </row>
        <row r="78">
          <cell r="A78" t="str">
            <v>UEAC</v>
          </cell>
          <cell r="B78">
            <v>-263805.52999999968</v>
          </cell>
        </row>
        <row r="79">
          <cell r="A79" t="str">
            <v>UEAEEM</v>
          </cell>
          <cell r="B79">
            <v>-113646.47</v>
          </cell>
        </row>
        <row r="80">
          <cell r="A80" t="str">
            <v>UEAIN</v>
          </cell>
          <cell r="B80">
            <v>-987188.1399999999</v>
          </cell>
        </row>
        <row r="81">
          <cell r="A81" t="str">
            <v>UES20</v>
          </cell>
          <cell r="B81">
            <v>-1748491.5399999989</v>
          </cell>
        </row>
        <row r="82">
          <cell r="A82" t="str">
            <v>UES30</v>
          </cell>
          <cell r="B82">
            <v>-18124426.240000021</v>
          </cell>
        </row>
        <row r="83">
          <cell r="A83" t="str">
            <v>UES40</v>
          </cell>
          <cell r="B83">
            <v>-1735954.5999999992</v>
          </cell>
        </row>
        <row r="84">
          <cell r="A84" t="str">
            <v>UES50</v>
          </cell>
          <cell r="B84">
            <v>-69706960.450000018</v>
          </cell>
        </row>
        <row r="85">
          <cell r="A85" t="str">
            <v>UES70</v>
          </cell>
          <cell r="B85">
            <v>-42366719.810000017</v>
          </cell>
        </row>
        <row r="86">
          <cell r="A86" t="str">
            <v>ULACCO</v>
          </cell>
          <cell r="B86">
            <v>-235764.66999999998</v>
          </cell>
        </row>
        <row r="87">
          <cell r="A87" t="str">
            <v>ULBIL</v>
          </cell>
          <cell r="B87">
            <v>-613628.77</v>
          </cell>
        </row>
        <row r="88">
          <cell r="A88" t="str">
            <v>ULBILPIU</v>
          </cell>
          <cell r="B88">
            <v>-583424.84</v>
          </cell>
        </row>
        <row r="89">
          <cell r="A89" t="str">
            <v>ULC</v>
          </cell>
          <cell r="B89">
            <v>-558197.35000000009</v>
          </cell>
        </row>
        <row r="90">
          <cell r="A90" t="str">
            <v>ULDIN</v>
          </cell>
          <cell r="B90">
            <v>-1021042.99</v>
          </cell>
        </row>
        <row r="91">
          <cell r="A91" t="str">
            <v>ULECSTARS</v>
          </cell>
          <cell r="B91">
            <v>-26671277.499999989</v>
          </cell>
        </row>
        <row r="92">
          <cell r="A92" t="str">
            <v xml:space="preserve">ULFTREND </v>
          </cell>
          <cell r="B92">
            <v>455287.96000000054</v>
          </cell>
        </row>
        <row r="93">
          <cell r="A93" t="str">
            <v>ULG4NEW</v>
          </cell>
          <cell r="B93">
            <v>-681.71</v>
          </cell>
        </row>
        <row r="94">
          <cell r="A94" t="str">
            <v>ULINFRAS</v>
          </cell>
          <cell r="B94">
            <v>-1047220.6199999999</v>
          </cell>
        </row>
        <row r="95">
          <cell r="A95" t="str">
            <v>ULMATREND</v>
          </cell>
          <cell r="B95">
            <v>7390538.6799999997</v>
          </cell>
        </row>
        <row r="96">
          <cell r="A96" t="str">
            <v>ULP</v>
          </cell>
          <cell r="B96">
            <v>-669861.18999999994</v>
          </cell>
        </row>
        <row r="97">
          <cell r="A97" t="str">
            <v>ULPRUD</v>
          </cell>
          <cell r="B97">
            <v>-660271.08999999985</v>
          </cell>
        </row>
        <row r="98">
          <cell r="A98" t="str">
            <v>UNGOALS</v>
          </cell>
          <cell r="B98">
            <v>10840043.590000013</v>
          </cell>
        </row>
        <row r="99">
          <cell r="A99" t="str">
            <v>E118</v>
          </cell>
          <cell r="B99">
            <v>-798997.57441351877</v>
          </cell>
        </row>
        <row r="100">
          <cell r="A100" t="str">
            <v>E119</v>
          </cell>
          <cell r="B100">
            <v>-1643675.4681908546</v>
          </cell>
        </row>
        <row r="101">
          <cell r="A101" t="str">
            <v>E120</v>
          </cell>
          <cell r="B101">
            <v>-5312267.8160834983</v>
          </cell>
        </row>
        <row r="102">
          <cell r="A102" t="str">
            <v>E142</v>
          </cell>
          <cell r="B102">
            <v>-4355078.9246497368</v>
          </cell>
        </row>
        <row r="103">
          <cell r="A103" t="str">
            <v>E143</v>
          </cell>
          <cell r="B103">
            <v>-6579046.5695578372</v>
          </cell>
        </row>
        <row r="104">
          <cell r="A104" t="str">
            <v>E144</v>
          </cell>
          <cell r="B104">
            <v>-1199598.1049900597</v>
          </cell>
        </row>
        <row r="105">
          <cell r="A105" t="str">
            <v>E193</v>
          </cell>
          <cell r="B105">
            <v>-4797650.1599999992</v>
          </cell>
        </row>
        <row r="106">
          <cell r="A106" t="str">
            <v>E207</v>
          </cell>
          <cell r="B106">
            <v>-449506.46999999951</v>
          </cell>
        </row>
        <row r="107">
          <cell r="A107" t="str">
            <v>E208</v>
          </cell>
          <cell r="B107">
            <v>-2984018.7000000007</v>
          </cell>
        </row>
        <row r="108">
          <cell r="A108" t="str">
            <v>E209</v>
          </cell>
          <cell r="B108">
            <v>-26331257.269999996</v>
          </cell>
        </row>
        <row r="109">
          <cell r="A109" t="str">
            <v>E224</v>
          </cell>
          <cell r="B109">
            <v>-6138586.8300000001</v>
          </cell>
        </row>
        <row r="110">
          <cell r="A110" t="str">
            <v xml:space="preserve">PACIFAI     </v>
          </cell>
        </row>
        <row r="111">
          <cell r="A111" t="str">
            <v>PF101372</v>
          </cell>
        </row>
        <row r="112">
          <cell r="A112" t="str">
            <v>PF101376</v>
          </cell>
        </row>
        <row r="113">
          <cell r="A113" t="str">
            <v>PF101380</v>
          </cell>
        </row>
        <row r="114">
          <cell r="A114" t="str">
            <v>PF103025</v>
          </cell>
          <cell r="B114">
            <v>-17962182.499999996</v>
          </cell>
        </row>
        <row r="115">
          <cell r="A115" t="str">
            <v>PF52231</v>
          </cell>
        </row>
        <row r="116">
          <cell r="A116" t="str">
            <v>PF71664</v>
          </cell>
          <cell r="B116">
            <v>-2405366.5700000003</v>
          </cell>
        </row>
        <row r="117">
          <cell r="A117" t="str">
            <v>PF76580</v>
          </cell>
          <cell r="B117">
            <v>-1128999.71</v>
          </cell>
        </row>
        <row r="118">
          <cell r="A118" t="str">
            <v>PF78195</v>
          </cell>
          <cell r="B118">
            <v>-2007542.9499999997</v>
          </cell>
        </row>
        <row r="119">
          <cell r="A119" t="str">
            <v>PF79139</v>
          </cell>
          <cell r="B119">
            <v>-1119791.9099999999</v>
          </cell>
        </row>
        <row r="120">
          <cell r="A120" t="str">
            <v>PF80513</v>
          </cell>
          <cell r="B120">
            <v>-2710057.62</v>
          </cell>
        </row>
        <row r="121">
          <cell r="A121" t="str">
            <v>PF82304</v>
          </cell>
          <cell r="B121">
            <v>-2534871.7100000004</v>
          </cell>
        </row>
        <row r="122">
          <cell r="A122" t="str">
            <v>PF87100</v>
          </cell>
        </row>
        <row r="123">
          <cell r="A123" t="str">
            <v>PF87115</v>
          </cell>
        </row>
        <row r="124">
          <cell r="A124" t="str">
            <v>PF88300</v>
          </cell>
          <cell r="B124">
            <v>-74797854.649999976</v>
          </cell>
        </row>
        <row r="125">
          <cell r="A125" t="str">
            <v>PF88524</v>
          </cell>
          <cell r="B125">
            <v>-135819382.51000011</v>
          </cell>
        </row>
        <row r="126">
          <cell r="A126" t="str">
            <v>PF89408</v>
          </cell>
          <cell r="B126">
            <v>-46714300.330000006</v>
          </cell>
        </row>
        <row r="127">
          <cell r="A127" t="str">
            <v>PF92127</v>
          </cell>
          <cell r="B127">
            <v>-113667614.56000005</v>
          </cell>
        </row>
        <row r="128">
          <cell r="A128" t="str">
            <v>PF95239</v>
          </cell>
          <cell r="B128">
            <v>-66930856.30999998</v>
          </cell>
        </row>
        <row r="129">
          <cell r="A129" t="str">
            <v>PF115036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87.60191041667" createdVersion="7" refreshedVersion="7" minRefreshableVersion="3" recordCount="121" xr:uid="{6F9D6B34-A52B-43AB-A6DF-749689993182}">
  <cacheSource type="worksheet">
    <worksheetSource ref="A1:N122" sheet="AUM Data Sheet Dublin"/>
  </cacheSource>
  <cacheFields count="14">
    <cacheField name="Decalog ID" numFmtId="0">
      <sharedItems containsBlank="1"/>
    </cacheField>
    <cacheField name="Portfolios name" numFmtId="0">
      <sharedItems containsBlank="1" count="120">
        <s v="AMUNDI FUND SOLUTIONS - BALANCED"/>
        <s v="AMUNDI FUND SOLUTIONS - CONSERVATIVE"/>
        <s v="AMUNDI FUND SOLUTIONS - DIVERSIFIED GROWTH - A"/>
        <s v="AFS ICAV Planet ESG Balanced"/>
        <s v="AFS ICAV Planet ESG Conservative "/>
        <s v="AFS ICAV Planet ESG Dynamic "/>
        <s v="AMUNDI SOLUZIONI ITALIA - PROGETTO AZIONE CAMBIAMENTO CLIMATICO - E"/>
        <s v="ASI - PROGETTO AZIONE FUTURO GREEN"/>
        <s v="AMUNDI UNICREDIT PREM PORT- PRUDENTIAL"/>
        <s v="AMUNDI UNICREDIT PREMIUM PORT - DYNAMIC"/>
        <s v="AMUNDI UNICREDIT PREM PORT- MULTI ASSET"/>
        <s v="THE TRUSTHOUSE FDN CPI+4% MULTI-AST PTF"/>
        <s v="AMUNDI-FUNDACION CAJA NAVARRA DYNAMIC"/>
        <s v="AMUNDI ELITE THEMATIC MULTI ASSET"/>
        <s v="PI INVESTMENT FUNDS - DYNAMIC ALLOCATION FUND - E"/>
        <s v="AMUNDI FUND SOLUTIONS - SABADELL URQUIJO ACUMULACION"/>
        <s v="AMUNDI FUND SOLUTIONS - SABADELL URQUIJO CRECIMIENTO"/>
        <s v="AMUNDI SOLUZIONI ITALIA - PROGETTO AZIONE INFRASTRUTTURE SOSTENIBILI"/>
        <s v="AMUNDI SOLUZIONI ITALIA - PROGETTO AZIONE INFRASTRUTTURE SOSTENIBILI (II)"/>
        <s v="AMUNDI SENTIERO SOSTENIBILE"/>
        <s v="SAXO EUROPE"/>
        <m/>
        <s v="Amundi Invensys Broad Bond Portfolio"/>
        <s v="AMUNDI SOLUZIONI ITALIA - PROGETTO AZIONE CAMBIAMENTO CLIMATICO (II) - E"/>
        <s v="AMUNDI SOLUZIONI ITALIA - PROGETTO AZIONE MEGATREND - E"/>
        <s v="AMUNDI SOLUZIONI ITALIA - PROGETTO AZIONE MEGATREND (II) - E"/>
        <s v="ASI - PROGETTO AZIONE ENERGY TRANSITION"/>
        <s v="ASI - PROGETTO AZIONE ENERGY TRANSITION (II)"/>
        <s v="PI INVESTMENT FUNDS - TACTICAL ALLOCATION PILLAR - E"/>
        <s v="PI INVESTMENT FUNDS - TACTICAL ALLOCATION BOND FUND - H"/>
        <s v="UL Global Equity Dividend &amp; Subordinated"/>
        <s v="Amundi Env and Climate Change Sol Fund"/>
        <s v="Unidiamond + Azionaria America"/>
        <s v="Life Program Azionario Pacifico"/>
        <s v="Unidiamond + Azionaria Intl"/>
        <s v="PI INVESTMENT FUNDS - TACTICAL ALLOCATION FUND - H"/>
        <s v="Amundi Fund Solutions - Diversified Income Best Select 2022"/>
        <s v="CAM ARES RISPARMIO ATTIVO M"/>
        <s v="CAM ARES RISPARMIO BILANCIATO M"/>
        <s v="CAM ARES RISPARMIO OBBLIGAZ. M"/>
        <s v="CAM CNP - LINEA  DINAMICA"/>
        <s v="CAM CRESCITA"/>
        <s v="CAM MEDIUM"/>
        <s v="CAM OBBLIGAZIONARIA EURO"/>
        <s v="CAM REDDITO"/>
        <s v="CAM STEP ONE"/>
        <s v="CAM SVILUPPO"/>
        <s v="CAM TREND 20"/>
        <s v="Life Program Bond"/>
        <s v="Life Program Flessibile"/>
        <s v="PL Euro Bond 1 to 3 years"/>
        <s v="PL Income Clock"/>
        <s v="UL BILANCIATA"/>
        <s v="UL BILANCIATA PIU"/>
        <s v="UL DINAMICA"/>
        <s v="UL PRUDENTE"/>
        <s v="UL PRUDENTE PIU"/>
        <s v="UNIFLEX ACTIVE 1"/>
        <s v="UNIFLEX ACTIVE 2"/>
        <s v="UNIFLEX ACTIVE 3"/>
        <s v="Unit Linked A TR UNIPLAN"/>
        <s v="Unit Linked AMix UNIPLAN"/>
        <s v="UNIT LINKED E2 NEW"/>
        <s v="UNIT LINKED E3 NEW"/>
        <s v="UNIT LINKED E4 NEW"/>
        <s v="UNIT LINKED E6 NEW"/>
        <s v="UNIT LINKED G4 NEW"/>
        <s v="UNIT LINKED G5 NEW"/>
        <s v="Unit Linked OLD 4"/>
        <s v="Univalore E Strategia 20"/>
        <s v="Univalore E Strategia 30"/>
        <s v="Univalore E Strategia 40"/>
        <s v="Univalore E Strategia 70"/>
        <s v="Univalore Stars Balanced"/>
        <s v="PL Euro Bond over 3 years"/>
        <s v="CAM Agosto"/>
        <s v="CAM Aprile"/>
        <s v="CAM Dicembre"/>
        <s v="CAM Febbraio"/>
        <s v="CAM Gennaio"/>
        <s v="CAM Giugno"/>
        <s v="CAM Maggio"/>
        <s v="CAM Marzo"/>
        <s v="CAM Novembre"/>
        <s v="CAM Ottobre"/>
        <s v="CAM Settembre"/>
        <s v="CNP THEMATIC PROTECTION 80"/>
        <s v="CRV THEMATIC PROTECTION 80"/>
        <s v="CNP Dynamic Protection 80"/>
        <s v="CRV Dynamic Protection 80"/>
        <s v="CNP Protection 80"/>
        <s v="CRV Protection 80"/>
        <s v="UL Life Income"/>
        <s v="UL Life Income 360"/>
        <s v="Unit Linked Multi Equity Accumulation"/>
        <s v="Univalore Stars Income"/>
        <s v="CAM Luglio"/>
        <s v="UL_Bilanciata_+ERGO"/>
        <s v="UL_Dinamica ERGO"/>
        <s v="UL_Prudente ERGO"/>
        <s v="UL_Prudente_+ ERGO"/>
        <s v="CNP Linea Protetta Dinamica Plus"/>
        <s v="UL CAUTA"/>
        <s v="Unit Linked UN GOALS"/>
        <s v="Unit Linked Multi Asset Trend"/>
        <s v="Unit Linked Future Trend"/>
        <s v="Unit Linked Multi Thematic Global Eq"/>
        <s v="ASSET ALLOCATION MODEL PROTETTO 80"/>
        <s v="STEP CRESCITA"/>
        <s v="DISCRETIONARY INCOME ORIENTED PRODUCTS 3"/>
        <s v="DISCRETIONARY INCOME ORIENTED PRODUCTS 4"/>
        <s v="BB SECURITIES EURO GOVT CORE"/>
        <s v="BB SECURITIES EURO GOVT PERIPHERAL"/>
        <s v="BB SECURITIES EURO IG CREDIT"/>
        <s v="BB SECURITIES US TREASURY BOND"/>
        <s v="DISCRETIONARY INCOME ORIENTED PRODUCTS 1"/>
        <s v="DISCRETIONARY INCOME ORIENTED PRODUCTS 2"/>
        <s v="ASI - PROGETTO AZION MILLENNIALS II"/>
        <s v="ASI - PROGETTO AZION MILLENNIALS"/>
        <s v="Univalore Stars Growth - Comanaged with Fund Selection -"/>
      </sharedItems>
    </cacheField>
    <cacheField name="Fund or Model" numFmtId="0">
      <sharedItems containsBlank="1" count="3">
        <s v="Fund"/>
        <s v="Model"/>
        <m/>
      </sharedItems>
    </cacheField>
    <cacheField name="Strategy Type" numFmtId="0">
      <sharedItems containsBlank="1"/>
    </cacheField>
    <cacheField name="Strategy Detail" numFmtId="0">
      <sharedItems containsBlank="1" count="12">
        <s v="Moderate"/>
        <s v="Conservative"/>
        <s v="Growth"/>
        <s v="Risk Accumulation"/>
        <s v="Income"/>
        <s v="Thematic"/>
        <s v="Flexible"/>
        <m/>
        <s v="Bond"/>
        <s v="Equity"/>
        <s v="Capital Protection"/>
        <s v="Capital Guaranteed"/>
      </sharedItems>
    </cacheField>
    <cacheField name="AUM" numFmtId="0">
      <sharedItems containsString="0" containsBlank="1" containsNumber="1" minValue="0" maxValue="23663615936.888096"/>
    </cacheField>
    <cacheField name="Flows" numFmtId="0">
      <sharedItems containsBlank="1" containsMixedTypes="1" containsNumber="1" minValue="-2907001309.7078838" maxValue="10840043.590000013"/>
    </cacheField>
    <cacheField name="Last AUM" numFmtId="0">
      <sharedItems containsString="0" containsBlank="1" containsNumber="1" minValue="0" maxValue="26179290031.309433"/>
    </cacheField>
    <cacheField name="Last AUM in mln *" numFmtId="0">
      <sharedItems containsSemiMixedTypes="0" containsString="0" containsNumber="1" minValue="0" maxValue="26179.290031309432"/>
    </cacheField>
    <cacheField name="Difference" numFmtId="0">
      <sharedItems containsSemiMixedTypes="0" containsString="0" containsNumber="1" minValue="-2515674094.4213357" maxValue="108701729.12999994"/>
    </cacheField>
    <cacheField name="Difference final" numFmtId="0">
      <sharedItems containsSemiMixedTypes="0" containsString="0" containsNumber="1" minValue="-2515674094.4213357" maxValue="108701729.12999994"/>
    </cacheField>
    <cacheField name="AUM in mln*" numFmtId="0">
      <sharedItems containsSemiMixedTypes="0" containsString="0" containsNumber="1" minValue="0" maxValue="23663.615936888091"/>
    </cacheField>
    <cacheField name="Difference In AUM in mIn*" numFmtId="0">
      <sharedItems containsSemiMixedTypes="0" containsString="0" containsNumber="1" minValue="-2515.6740944213361" maxValue="108.70172912999993"/>
    </cacheField>
    <cacheField name="Flows April mln" numFmtId="0">
      <sharedItems containsMixedTypes="1" containsNumber="1" minValue="-2907.0013097078868" maxValue="10.84004359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E142"/>
    <x v="0"/>
    <x v="0"/>
    <s v="Allocation Driven Strategies"/>
    <x v="0"/>
    <n v="322230421.99000001"/>
    <n v="-4355078.9246497368"/>
    <n v="323150343.74000001"/>
    <n v="323.15034373999998"/>
    <n v="-919921.75"/>
    <n v="-919921.75"/>
    <n v="322.23042199000002"/>
    <n v="-0.91992174999999998"/>
    <n v="-4.355078924649737"/>
  </r>
  <r>
    <s v="E143"/>
    <x v="1"/>
    <x v="0"/>
    <s v="Allocation Driven Strategies"/>
    <x v="1"/>
    <n v="240873428.55000001"/>
    <n v="-6579046.5695578372"/>
    <n v="247147097.28"/>
    <n v="247.14709728"/>
    <n v="-6273668.7299999893"/>
    <n v="-6273668.7299999893"/>
    <n v="240.87342855"/>
    <n v="-6.2736687299999891"/>
    <n v="-6.5790465695578373"/>
  </r>
  <r>
    <s v="E144"/>
    <x v="2"/>
    <x v="0"/>
    <s v="Allocation Driven Strategies"/>
    <x v="2"/>
    <n v="83161102.870000005"/>
    <n v="-1199598.1049900597"/>
    <n v="85685108.980000004"/>
    <n v="85.68510898000001"/>
    <n v="-2524006.1099999994"/>
    <n v="-2524006.1099999994"/>
    <n v="83.161102870000008"/>
    <n v="-2.5240061099999993"/>
    <n v="-1.1995981049900597"/>
  </r>
  <r>
    <s v="PF101376"/>
    <x v="3"/>
    <x v="0"/>
    <s v="Allocation Driven Strategies"/>
    <x v="0"/>
    <m/>
    <n v="0"/>
    <m/>
    <n v="0"/>
    <n v="0"/>
    <n v="0"/>
    <n v="0"/>
    <n v="0"/>
    <n v="0"/>
  </r>
  <r>
    <s v="PF101372"/>
    <x v="4"/>
    <x v="0"/>
    <s v="Allocation Driven Strategies"/>
    <x v="1"/>
    <m/>
    <n v="0"/>
    <m/>
    <n v="0"/>
    <n v="0"/>
    <n v="0"/>
    <n v="0"/>
    <n v="0"/>
    <n v="0"/>
  </r>
  <r>
    <s v="PF101380"/>
    <x v="5"/>
    <x v="0"/>
    <s v="Allocation Driven Strategies"/>
    <x v="2"/>
    <m/>
    <n v="0"/>
    <m/>
    <n v="0"/>
    <n v="0"/>
    <n v="0"/>
    <n v="0"/>
    <n v="0"/>
    <n v="0"/>
  </r>
  <r>
    <s v="PF78195"/>
    <x v="6"/>
    <x v="0"/>
    <s v="Outcome Oriented Strategies"/>
    <x v="3"/>
    <n v="24599610.579999998"/>
    <n v="-2007542.9499999997"/>
    <n v="26376564"/>
    <n v="26.376563999999998"/>
    <n v="-1776953.4200000018"/>
    <n v="-1776953.4200000018"/>
    <n v="24.599610579999997"/>
    <n v="-1.7769534200000019"/>
    <n v="-2.0075429499999999"/>
  </r>
  <r>
    <s v="PF103025"/>
    <x v="7"/>
    <x v="0"/>
    <s v="Outcome Oriented Strategies"/>
    <x v="3"/>
    <n v="93110643.319999993"/>
    <n v="-17962182.499999996"/>
    <n v="111680002.01000001"/>
    <n v="111.68000201000001"/>
    <n v="-18569358.690000013"/>
    <n v="-18569358.690000013"/>
    <n v="93.110643319999994"/>
    <n v="-18.569358690000012"/>
    <n v="-17.962182499999997"/>
  </r>
  <r>
    <s v="E118"/>
    <x v="8"/>
    <x v="0"/>
    <s v="Allocation Driven Strategies"/>
    <x v="1"/>
    <n v="7436857.5700000003"/>
    <n v="-798997.57441351877"/>
    <n v="8321680.0099999998"/>
    <n v="8.3216800099999997"/>
    <n v="-884822.43999999948"/>
    <n v="-884822.43999999948"/>
    <n v="7.4368575699999999"/>
    <n v="-0.88482243999999943"/>
    <n v="-0.79899757441351882"/>
  </r>
  <r>
    <s v="E119"/>
    <x v="9"/>
    <x v="0"/>
    <s v="Allocation Driven Strategies"/>
    <x v="2"/>
    <n v="58065450"/>
    <n v="-1643675.4681908546"/>
    <n v="56591525.729999997"/>
    <n v="56.591525729999994"/>
    <n v="1473924.2700000033"/>
    <n v="1473924.2700000033"/>
    <n v="58.065449999999998"/>
    <n v="1.4739242700000033"/>
    <n v="-1.6436754681908547"/>
  </r>
  <r>
    <s v="E120"/>
    <x v="10"/>
    <x v="0"/>
    <s v="Allocation Driven Strategies"/>
    <x v="0"/>
    <n v="120944516.60000001"/>
    <n v="-5312267.8160834983"/>
    <n v="123937506.37"/>
    <n v="123.93750637000001"/>
    <n v="-2992989.7699999958"/>
    <n v="-2992989.7699999958"/>
    <n v="120.94451660000001"/>
    <n v="-2.9929897699999959"/>
    <n v="-5.312267816083498"/>
  </r>
  <r>
    <s v="PF115036"/>
    <x v="11"/>
    <x v="0"/>
    <s v="Outcome Oriented Strategies"/>
    <x v="4"/>
    <n v="98145264.699999988"/>
    <n v="0"/>
    <n v="98124607.040000007"/>
    <n v="98.124607040000001"/>
    <n v="20657.659999981523"/>
    <n v="20657.659999981523"/>
    <n v="98.145264699999984"/>
    <n v="2.0657659999981523E-2"/>
    <n v="0"/>
  </r>
  <r>
    <s v="PF204806"/>
    <x v="12"/>
    <x v="0"/>
    <s v="Allocation Driven Strategies"/>
    <x v="2"/>
    <n v="27570061.568894248"/>
    <s v=""/>
    <m/>
    <n v="0"/>
    <n v="27570061.568894248"/>
    <n v="27570061.568894248"/>
    <n v="27.57006156889425"/>
    <n v="27.57006156889425"/>
    <s v=""/>
  </r>
  <r>
    <s v="PF88524"/>
    <x v="13"/>
    <x v="0"/>
    <s v="Outcome Oriented Strategies"/>
    <x v="5"/>
    <n v="641546599.19999993"/>
    <n v="-135819382.51000011"/>
    <n v="532844870.06999999"/>
    <n v="532.84487006999996"/>
    <n v="108701729.12999994"/>
    <n v="108701729.12999994"/>
    <n v="641.54659919999995"/>
    <n v="108.70172912999993"/>
    <n v="-135.81938251000011"/>
  </r>
  <r>
    <s v="E209"/>
    <x v="14"/>
    <x v="0"/>
    <s v="Service Fund"/>
    <x v="6"/>
    <n v="198367484.84"/>
    <n v="-26331257.269999996"/>
    <n v="234214073.75999999"/>
    <n v="234.21407375999999"/>
    <n v="-35846588.919999987"/>
    <n v="-35846588.919999987"/>
    <n v="198.36748484"/>
    <n v="-35.846588919999988"/>
    <n v="-26.331257269999995"/>
  </r>
  <r>
    <s v="PF87100"/>
    <x v="15"/>
    <x v="0"/>
    <s v="Allocation Driven Strategies"/>
    <x v="1"/>
    <n v="6970226.1600000001"/>
    <n v="0"/>
    <n v="6970226.1600000001"/>
    <n v="6.9702261600000002"/>
    <n v="0"/>
    <n v="0"/>
    <n v="6.9702261600000002"/>
    <n v="0"/>
    <n v="0"/>
  </r>
  <r>
    <s v="PF87115"/>
    <x v="16"/>
    <x v="0"/>
    <s v="Allocation Driven Strategies"/>
    <x v="2"/>
    <n v="3927561.09"/>
    <n v="0"/>
    <n v="3927561.09"/>
    <n v="3.9275610899999998"/>
    <n v="0"/>
    <n v="0"/>
    <n v="3.9275610899999998"/>
    <n v="0"/>
    <n v="0"/>
  </r>
  <r>
    <s v="PF92127"/>
    <x v="17"/>
    <x v="0"/>
    <s v="Outcome Oriented Strategies"/>
    <x v="3"/>
    <n v="333770194.04999995"/>
    <n v="-113667614.56000005"/>
    <n v="473820490.07999998"/>
    <n v="473.82049007999996"/>
    <n v="-140050296.03000003"/>
    <n v="-140050296.03000003"/>
    <n v="333.77019404999993"/>
    <n v="-140.05029603000003"/>
    <n v="-113.66761456000005"/>
  </r>
  <r>
    <s v="PF95239"/>
    <x v="18"/>
    <x v="0"/>
    <s v="Outcome Oriented Strategies"/>
    <x v="3"/>
    <n v="318662550.81"/>
    <n v="-66930856.30999998"/>
    <n v="408635787.25"/>
    <n v="408.63578725000002"/>
    <n v="-89973236.439999998"/>
    <n v="-89973236.439999998"/>
    <n v="318.66255081000003"/>
    <n v="-89.973236439999994"/>
    <n v="-66.930856309999982"/>
  </r>
  <r>
    <s v="PF201311"/>
    <x v="19"/>
    <x v="0"/>
    <s v="Outcome Oriented Strategies"/>
    <x v="3"/>
    <n v="290251592.92000002"/>
    <s v=""/>
    <n v="291991455.05000001"/>
    <n v="291.99145505000001"/>
    <n v="-1739862.1299999952"/>
    <n v="-1739862.1299999952"/>
    <n v="290.25159292000001"/>
    <n v="-1.7398621299999952"/>
    <s v=""/>
  </r>
  <r>
    <s v="SAXO"/>
    <x v="20"/>
    <x v="1"/>
    <s v="Allocation Driven Strategies"/>
    <x v="1"/>
    <n v="0"/>
    <m/>
    <m/>
    <n v="0"/>
    <n v="0"/>
    <n v="0"/>
    <n v="0"/>
    <n v="0"/>
    <n v="0"/>
  </r>
  <r>
    <m/>
    <x v="21"/>
    <x v="2"/>
    <m/>
    <x v="7"/>
    <m/>
    <m/>
    <m/>
    <n v="0"/>
    <n v="0"/>
    <n v="0"/>
    <n v="0"/>
    <n v="0"/>
    <n v="0"/>
  </r>
  <r>
    <s v="PSUKLD1"/>
    <x v="22"/>
    <x v="0"/>
    <s v="Allocation Driven Strategies"/>
    <x v="6"/>
    <n v="169200994.27920362"/>
    <s v=""/>
    <n v="165771172.43943393"/>
    <n v="165.77117243943394"/>
    <n v="3429821.8397696912"/>
    <n v="3429821.8397696912"/>
    <n v="169.20099427920363"/>
    <n v="3.4298218397696911"/>
    <s v=""/>
  </r>
  <r>
    <s v="PF79139"/>
    <x v="23"/>
    <x v="0"/>
    <s v="Outcome Oriented Strategies"/>
    <x v="3"/>
    <m/>
    <m/>
    <m/>
    <n v="0"/>
    <n v="0"/>
    <n v="0"/>
    <n v="0"/>
    <n v="0"/>
    <n v="0"/>
  </r>
  <r>
    <s v="PF71664"/>
    <x v="24"/>
    <x v="0"/>
    <s v="Outcome Oriented Strategies"/>
    <x v="3"/>
    <m/>
    <m/>
    <m/>
    <n v="0"/>
    <n v="0"/>
    <n v="0"/>
    <n v="0"/>
    <n v="0"/>
    <n v="0"/>
  </r>
  <r>
    <s v="PF76580"/>
    <x v="25"/>
    <x v="0"/>
    <s v="Outcome Oriented Strategies"/>
    <x v="3"/>
    <m/>
    <m/>
    <m/>
    <n v="0"/>
    <n v="0"/>
    <n v="0"/>
    <n v="0"/>
    <n v="0"/>
    <n v="0"/>
  </r>
  <r>
    <s v="PF88300"/>
    <x v="26"/>
    <x v="0"/>
    <s v="Outcome Oriented Strategies"/>
    <x v="3"/>
    <n v="450090309.56"/>
    <n v="-74797854.649999976"/>
    <n v="555495066.75999999"/>
    <n v="555.49506675999999"/>
    <n v="-105404757.19999999"/>
    <n v="-105404757.19999999"/>
    <n v="450.09030955999998"/>
    <n v="-105.40475719999999"/>
    <n v="-74.797854649999977"/>
  </r>
  <r>
    <s v="PF89408"/>
    <x v="27"/>
    <x v="0"/>
    <s v="Outcome Oriented Strategies"/>
    <x v="3"/>
    <n v="276806248.65000004"/>
    <n v="-46714300.330000006"/>
    <n v="341822371.30000001"/>
    <n v="341.82237129999999"/>
    <n v="-65016122.649999976"/>
    <n v="-65016122.649999976"/>
    <n v="276.80624865000004"/>
    <n v="-65.016122649999971"/>
    <n v="-46.714300330000007"/>
  </r>
  <r>
    <s v="E224"/>
    <x v="28"/>
    <x v="0"/>
    <s v="Service Fund"/>
    <x v="4"/>
    <n v="59379104.93"/>
    <n v="-6138586.8300000001"/>
    <n v="74824881.549999997"/>
    <n v="74.824881550000001"/>
    <n v="-15445776.619999997"/>
    <n v="-15445776.619999997"/>
    <n v="59.379104929999997"/>
    <n v="-15.445776619999997"/>
    <n v="-6.1385868300000004"/>
  </r>
  <r>
    <s v="E208"/>
    <x v="29"/>
    <x v="0"/>
    <s v="Service Fund"/>
    <x v="8"/>
    <n v="74067512.060000002"/>
    <n v="-2984018.7000000007"/>
    <n v="77232789.670000002"/>
    <n v="77.232789670000003"/>
    <n v="-3165277.6099999994"/>
    <n v="-3165277.6099999994"/>
    <n v="74.067512059999999"/>
    <n v="-3.1652776099999995"/>
    <n v="-2.9840187000000005"/>
  </r>
  <r>
    <s v="ULECSTARS"/>
    <x v="30"/>
    <x v="1"/>
    <s v="Allocation Driven Strategies"/>
    <x v="9"/>
    <n v="1906769438"/>
    <n v="-26671277.499999989"/>
    <n v="1877332566"/>
    <n v="1877.332566"/>
    <n v="29436872"/>
    <n v="29436872"/>
    <n v="1906.769438"/>
    <n v="29.436872000000001"/>
    <n v="-26.671277499999988"/>
  </r>
  <r>
    <s v="F100123"/>
    <x v="31"/>
    <x v="0"/>
    <s v="Allocation Driven Strategies"/>
    <x v="9"/>
    <n v="11042632357"/>
    <n v="-2091973359"/>
    <n v="13134605716"/>
    <n v="13134.605716"/>
    <n v="-2091973359"/>
    <n v="-2091973359"/>
    <n v="11042.632357"/>
    <n v="-2091.9733590000001"/>
    <n v="-2091.9733590000001"/>
  </r>
  <r>
    <s v="UDM6"/>
    <x v="32"/>
    <x v="1"/>
    <s v="Allocation Driven Strategies"/>
    <x v="9"/>
    <n v="1112678320"/>
    <n v="3587710.0399999819"/>
    <n v="1020119648"/>
    <n v="1020.119648"/>
    <n v="92558672"/>
    <n v="92558672"/>
    <n v="1112.67832"/>
    <n v="92.558672000000001"/>
    <n v="3.5877100399999819"/>
  </r>
  <r>
    <s v="UDM7"/>
    <x v="33"/>
    <x v="1"/>
    <s v="Allocation Driven Strategies"/>
    <x v="9"/>
    <n v="46095839"/>
    <n v="-74966.089999999982"/>
    <n v="49761394"/>
    <n v="49.761394000000003"/>
    <n v="-3665555"/>
    <n v="-3665555"/>
    <n v="46.095838999999998"/>
    <n v="-3.6655549999999999"/>
    <n v="-7.4966089999999985E-2"/>
  </r>
  <r>
    <s v="UDM9"/>
    <x v="34"/>
    <x v="1"/>
    <s v="Allocation Driven Strategies"/>
    <x v="9"/>
    <n v="174362993"/>
    <n v="-4502120.2299999995"/>
    <n v="173466024"/>
    <n v="173.466024"/>
    <n v="896969"/>
    <n v="896969"/>
    <n v="174.36299299999999"/>
    <n v="0.89696900000000002"/>
    <n v="-4.5021202299999992"/>
  </r>
  <r>
    <s v="E207"/>
    <x v="35"/>
    <x v="0"/>
    <s v="Service Fund"/>
    <x v="9"/>
    <n v="52842263.580000006"/>
    <n v="-449506.46999999951"/>
    <n v="56764604.780000001"/>
    <n v="56.764604779999999"/>
    <n v="-3922341.1999999955"/>
    <n v="-3922341.1999999955"/>
    <n v="52.842263580000008"/>
    <n v="-3.9223411999999955"/>
    <n v="-0.44950646999999949"/>
  </r>
  <r>
    <s v="E193"/>
    <x v="36"/>
    <x v="0"/>
    <s v="Outcome Oriented Strategies"/>
    <x v="4"/>
    <n v="135589310.01000002"/>
    <n v="-4797650.1599999992"/>
    <n v="137814615.19"/>
    <n v="137.81461518999998"/>
    <n v="-2225305.1799999774"/>
    <n v="-2225305.1799999774"/>
    <n v="135.58931001000002"/>
    <n v="-2.2253051799999772"/>
    <n v="-4.797650159999999"/>
  </r>
  <r>
    <s v="1PM"/>
    <x v="37"/>
    <x v="1"/>
    <s v="Allocation Driven Strategies"/>
    <x v="2"/>
    <n v="285559369"/>
    <n v="-9165717.5100000035"/>
    <n v="276712413"/>
    <n v="276.71241300000003"/>
    <n v="8846956"/>
    <n v="8846956"/>
    <n v="285.559369"/>
    <n v="8.8469560000000005"/>
    <n v="-9.1657175100000039"/>
  </r>
  <r>
    <s v="1QM"/>
    <x v="38"/>
    <x v="1"/>
    <s v="Allocation Driven Strategies"/>
    <x v="0"/>
    <n v="44627273"/>
    <n v="-1090320.0699999998"/>
    <n v="44663645"/>
    <n v="44.663645000000002"/>
    <n v="-36372"/>
    <n v="-36372"/>
    <n v="44.627273000000002"/>
    <n v="-3.6372000000000002E-2"/>
    <n v="-1.0903200699999998"/>
  </r>
  <r>
    <s v="1RM"/>
    <x v="39"/>
    <x v="1"/>
    <s v="Allocation Driven Strategies"/>
    <x v="1"/>
    <n v="29565609"/>
    <n v="-582340.87000000011"/>
    <n v="29944309"/>
    <n v="29.944309000000001"/>
    <n v="-378700"/>
    <n v="-378700"/>
    <n v="29.565608999999998"/>
    <n v="-0.37869999999999998"/>
    <n v="-0.58234087000000012"/>
  </r>
  <r>
    <s v="R1M"/>
    <x v="40"/>
    <x v="1"/>
    <s v="Allocation Driven Strategies"/>
    <x v="2"/>
    <n v="20473809"/>
    <n v="-438367.10999999993"/>
    <n v="20364888"/>
    <n v="20.364888000000001"/>
    <n v="108921"/>
    <n v="108921"/>
    <n v="20.473808999999999"/>
    <n v="0.108921"/>
    <n v="-0.43836710999999995"/>
  </r>
  <r>
    <s v="CCRESCITA"/>
    <x v="41"/>
    <x v="1"/>
    <s v="Allocation Driven Strategies"/>
    <x v="2"/>
    <n v="1271550"/>
    <n v="-19473.099999999995"/>
    <n v="1226192"/>
    <n v="1.2261919999999999"/>
    <n v="45358"/>
    <n v="45358"/>
    <n v="1.27155"/>
    <n v="4.5358000000000002E-2"/>
    <n v="-1.9473099999999993E-2"/>
  </r>
  <r>
    <s v="CMEDIUM"/>
    <x v="42"/>
    <x v="1"/>
    <s v="Allocation Driven Strategies"/>
    <x v="0"/>
    <n v="221675"/>
    <s v=""/>
    <n v="215898"/>
    <n v="0.21589800000000001"/>
    <n v="5777"/>
    <n v="5777"/>
    <n v="0.22167500000000001"/>
    <n v="5.777E-3"/>
    <s v=""/>
  </r>
  <r>
    <s v="COBBLEURO"/>
    <x v="43"/>
    <x v="1"/>
    <s v="Allocation Driven Strategies"/>
    <x v="1"/>
    <n v="2649"/>
    <s v=""/>
    <n v="2649"/>
    <n v="2.6489999999999999E-3"/>
    <n v="0"/>
    <n v="0"/>
    <n v="2.6489999999999999E-3"/>
    <n v="0"/>
    <s v=""/>
  </r>
  <r>
    <s v="CREDDITO"/>
    <x v="44"/>
    <x v="1"/>
    <s v="Allocation Driven Strategies"/>
    <x v="1"/>
    <n v="82550"/>
    <s v=""/>
    <n v="82952"/>
    <n v="8.2951999999999998E-2"/>
    <n v="-402"/>
    <n v="-402"/>
    <n v="8.2549999999999998E-2"/>
    <n v="-4.0200000000000001E-4"/>
    <s v=""/>
  </r>
  <r>
    <s v="STEPONE"/>
    <x v="45"/>
    <x v="1"/>
    <s v="Allocation Driven Strategies"/>
    <x v="1"/>
    <n v="78070"/>
    <s v=""/>
    <n v="77392"/>
    <n v="7.7392000000000002E-2"/>
    <n v="678"/>
    <n v="678"/>
    <n v="7.8070000000000001E-2"/>
    <n v="6.78E-4"/>
    <s v=""/>
  </r>
  <r>
    <s v="CSVILUPPO"/>
    <x v="46"/>
    <x v="1"/>
    <s v="Allocation Driven Strategies"/>
    <x v="2"/>
    <n v="33771"/>
    <s v=""/>
    <n v="33771"/>
    <n v="3.3771000000000002E-2"/>
    <n v="0"/>
    <n v="0"/>
    <n v="3.3771000000000002E-2"/>
    <n v="0"/>
    <s v=""/>
  </r>
  <r>
    <s v="CTREND_20"/>
    <x v="47"/>
    <x v="1"/>
    <s v="Allocation Driven Strategies"/>
    <x v="1"/>
    <n v="23564"/>
    <s v=""/>
    <n v="23564"/>
    <n v="2.3564000000000002E-2"/>
    <n v="0"/>
    <n v="0"/>
    <n v="2.3564000000000002E-2"/>
    <n v="0"/>
    <s v=""/>
  </r>
  <r>
    <s v="MLIFEBND"/>
    <x v="48"/>
    <x v="1"/>
    <s v="Allocation Driven Strategies"/>
    <x v="1"/>
    <n v="85892136"/>
    <n v="-4021916.1300000008"/>
    <n v="89492990"/>
    <n v="89.492990000000006"/>
    <n v="-3600854"/>
    <n v="-3600854"/>
    <n v="85.892135999999994"/>
    <n v="-3.600854"/>
    <n v="-4.021916130000001"/>
  </r>
  <r>
    <s v="MLPFLEX"/>
    <x v="49"/>
    <x v="1"/>
    <s v="Allocation Driven Strategies"/>
    <x v="6"/>
    <n v="24629869"/>
    <n v="-1046265.4699999995"/>
    <n v="25631869"/>
    <n v="25.631868999999998"/>
    <n v="-1002000"/>
    <n v="-1002000"/>
    <n v="24.629868999999999"/>
    <n v="-1.002"/>
    <n v="-1.0462654699999996"/>
  </r>
  <r>
    <s v="PP1-3Y"/>
    <x v="50"/>
    <x v="1"/>
    <s v="Allocation Driven Strategies"/>
    <x v="1"/>
    <n v="91723046"/>
    <n v="-681275.55000000063"/>
    <n v="91452737"/>
    <n v="91.452736999999999"/>
    <n v="270309"/>
    <n v="270309"/>
    <n v="91.723045999999997"/>
    <n v="0.27030900000000002"/>
    <n v="-0.68127555000000062"/>
  </r>
  <r>
    <s v="PLIC"/>
    <x v="51"/>
    <x v="1"/>
    <s v="Allocation Driven Strategies"/>
    <x v="6"/>
    <n v="33403855"/>
    <n v="-374930.32999999996"/>
    <n v="33951455"/>
    <n v="33.951455000000003"/>
    <n v="-547600"/>
    <n v="-547600"/>
    <n v="33.403855"/>
    <n v="-0.54759999999999998"/>
    <n v="-0.37493032999999998"/>
  </r>
  <r>
    <s v="ULBIL"/>
    <x v="52"/>
    <x v="1"/>
    <s v="Allocation Driven Strategies"/>
    <x v="0"/>
    <n v="10452786"/>
    <n v="-613628.77"/>
    <n v="11114645"/>
    <n v="11.114644999999999"/>
    <n v="-661859"/>
    <n v="-661859"/>
    <n v="10.452786"/>
    <n v="-0.66185899999999998"/>
    <n v="-0.61362877000000005"/>
  </r>
  <r>
    <s v="ULBILPIU"/>
    <x v="53"/>
    <x v="1"/>
    <s v="Allocation Driven Strategies"/>
    <x v="0"/>
    <n v="17094216"/>
    <n v="-583424.84"/>
    <n v="17726631"/>
    <n v="17.726631000000001"/>
    <n v="-632415"/>
    <n v="-632415"/>
    <n v="17.094215999999999"/>
    <n v="-0.63241499999999995"/>
    <n v="-0.58342483999999994"/>
  </r>
  <r>
    <s v="ULDIN"/>
    <x v="54"/>
    <x v="1"/>
    <s v="Allocation Driven Strategies"/>
    <x v="2"/>
    <n v="18008125"/>
    <n v="-1021042.99"/>
    <n v="19013976"/>
    <n v="19.013976"/>
    <n v="-1005851"/>
    <n v="-1005851"/>
    <n v="18.008125"/>
    <n v="-1.0058510000000001"/>
    <n v="-1.02104299"/>
  </r>
  <r>
    <s v="ULP"/>
    <x v="55"/>
    <x v="1"/>
    <s v="Allocation Driven Strategies"/>
    <x v="1"/>
    <n v="11960594"/>
    <n v="-669861.18999999994"/>
    <n v="12689996"/>
    <n v="12.689996000000001"/>
    <n v="-729402"/>
    <n v="-729402"/>
    <n v="11.960594"/>
    <n v="-0.72940199999999999"/>
    <n v="-0.66986119"/>
  </r>
  <r>
    <s v="ULPRUD"/>
    <x v="56"/>
    <x v="1"/>
    <s v="Allocation Driven Strategies"/>
    <x v="1"/>
    <n v="15473269"/>
    <n v="-660271.08999999985"/>
    <n v="16167560"/>
    <n v="16.167560000000002"/>
    <n v="-694291"/>
    <n v="-694291"/>
    <n v="15.473269"/>
    <n v="-0.69429099999999999"/>
    <n v="-0.66027108999999984"/>
  </r>
  <r>
    <s v="DINAR1TF"/>
    <x v="57"/>
    <x v="1"/>
    <s v="Allocation Driven Strategies"/>
    <x v="0"/>
    <n v="1357354"/>
    <n v="-8576.35"/>
    <n v="1364632"/>
    <n v="1.3646320000000001"/>
    <n v="-7278"/>
    <n v="-7278"/>
    <n v="1.3573539999999999"/>
    <n v="-7.2779999999999997E-3"/>
    <n v="-8.5763499999999999E-3"/>
  </r>
  <r>
    <s v="DINAR2TF"/>
    <x v="58"/>
    <x v="1"/>
    <s v="Allocation Driven Strategies"/>
    <x v="0"/>
    <n v="26842216"/>
    <n v="-121085.93000000005"/>
    <n v="26955727"/>
    <n v="26.955727"/>
    <n v="-113511"/>
    <n v="-113511"/>
    <n v="26.842216000000001"/>
    <n v="-0.113511"/>
    <n v="-0.12108593000000005"/>
  </r>
  <r>
    <s v="DINAR3TF"/>
    <x v="59"/>
    <x v="1"/>
    <s v="Allocation Driven Strategies"/>
    <x v="0"/>
    <n v="792796"/>
    <n v="-3668.2900000000009"/>
    <n v="794524"/>
    <n v="0.79452400000000001"/>
    <n v="-1728"/>
    <n v="-1728"/>
    <n v="0.79279599999999995"/>
    <n v="-1.7279999999999999E-3"/>
    <n v="-3.6682900000000007E-3"/>
  </r>
  <r>
    <s v="MATRUNIP"/>
    <x v="60"/>
    <x v="1"/>
    <s v="Allocation Driven Strategies"/>
    <x v="6"/>
    <n v="12222309"/>
    <n v="-666860.46999999962"/>
    <n v="12897265"/>
    <n v="12.897265000000001"/>
    <n v="-674956"/>
    <n v="-674956"/>
    <n v="12.222308999999999"/>
    <n v="-0.674956"/>
    <n v="-0.66686046999999959"/>
  </r>
  <r>
    <s v="MUNIP"/>
    <x v="61"/>
    <x v="1"/>
    <s v="Allocation Driven Strategies"/>
    <x v="0"/>
    <n v="253822"/>
    <n v="-17807.07"/>
    <n v="272765"/>
    <n v="0.27276499999999998"/>
    <n v="-18943"/>
    <n v="-18943"/>
    <n v="0.25382199999999999"/>
    <n v="-1.8943000000000002E-2"/>
    <n v="-1.7807070000000001E-2"/>
  </r>
  <r>
    <s v="MEPF2N"/>
    <x v="62"/>
    <x v="1"/>
    <s v="Allocation Driven Strategies"/>
    <x v="1"/>
    <n v="7589779"/>
    <n v="-372502.52999999991"/>
    <n v="7920799"/>
    <n v="7.9207989999999997"/>
    <n v="-331020"/>
    <n v="-331020"/>
    <n v="7.5897790000000001"/>
    <n v="-0.33101999999999998"/>
    <n v="-0.37250252999999989"/>
  </r>
  <r>
    <s v="MEPF5"/>
    <x v="63"/>
    <x v="1"/>
    <s v="Allocation Driven Strategies"/>
    <x v="1"/>
    <n v="72177481"/>
    <n v="-1318530.4800000007"/>
    <n v="73864832"/>
    <n v="73.864832000000007"/>
    <n v="-1687351"/>
    <n v="-1687351"/>
    <n v="72.177481"/>
    <n v="-1.687351"/>
    <n v="-1.3185304800000006"/>
  </r>
  <r>
    <s v="MEPF6"/>
    <x v="64"/>
    <x v="1"/>
    <s v="Allocation Driven Strategies"/>
    <x v="0"/>
    <n v="63929232"/>
    <n v="-1553900.2200000004"/>
    <n v="65910670"/>
    <n v="65.910669999999996"/>
    <n v="-1981438"/>
    <n v="-1981438"/>
    <n v="63.929231999999999"/>
    <n v="-1.981438"/>
    <n v="-1.5539002200000005"/>
  </r>
  <r>
    <s v="MEPF8"/>
    <x v="65"/>
    <x v="1"/>
    <s v="Allocation Driven Strategies"/>
    <x v="2"/>
    <n v="127936118"/>
    <n v="-2254054.9899999993"/>
    <n v="132733973"/>
    <n v="132.73397299999999"/>
    <n v="-4797855"/>
    <n v="-4797855"/>
    <n v="127.93611799999999"/>
    <n v="-4.7978550000000002"/>
    <n v="-2.2540549899999993"/>
  </r>
  <r>
    <s v="ULG4NEW"/>
    <x v="66"/>
    <x v="1"/>
    <s v="Allocation Driven Strategies"/>
    <x v="2"/>
    <n v="410470"/>
    <n v="-681.71"/>
    <n v="406916"/>
    <n v="0.406916"/>
    <n v="3554"/>
    <n v="3554"/>
    <n v="0.41047"/>
    <n v="3.5539999999999999E-3"/>
    <n v="-6.8171000000000008E-4"/>
  </r>
  <r>
    <s v="MEPF10"/>
    <x v="67"/>
    <x v="1"/>
    <s v="Allocation Driven Strategies"/>
    <x v="2"/>
    <n v="395210"/>
    <n v="-1323.01"/>
    <n v="393174"/>
    <n v="0.39317400000000002"/>
    <n v="2036"/>
    <n v="2036"/>
    <n v="0.39521000000000001"/>
    <n v="2.036E-3"/>
    <n v="-1.3230099999999999E-3"/>
  </r>
  <r>
    <s v="MEPF4"/>
    <x v="68"/>
    <x v="1"/>
    <s v="Allocation Driven Strategies"/>
    <x v="1"/>
    <n v="1061075"/>
    <n v="-182908.58999999997"/>
    <n v="1249574"/>
    <n v="1.249574"/>
    <n v="-188499"/>
    <n v="-188499"/>
    <n v="1.061075"/>
    <n v="-0.188499"/>
    <n v="-0.18290858999999995"/>
  </r>
  <r>
    <s v="UES20"/>
    <x v="69"/>
    <x v="1"/>
    <s v="Allocation Driven Strategies"/>
    <x v="6"/>
    <n v="22871133"/>
    <n v="-1748491.5399999989"/>
    <n v="24509694"/>
    <n v="24.509694"/>
    <n v="-1638561"/>
    <n v="-1638561"/>
    <n v="22.871133"/>
    <n v="-1.6385609999999999"/>
    <n v="-1.748491539999999"/>
  </r>
  <r>
    <s v="UES30"/>
    <x v="70"/>
    <x v="1"/>
    <s v="Allocation Driven Strategies"/>
    <x v="6"/>
    <n v="232909856"/>
    <n v="-18124426.240000021"/>
    <n v="250680875"/>
    <n v="250.68087499999999"/>
    <n v="-17771019"/>
    <n v="-17771019"/>
    <n v="232.90985599999999"/>
    <n v="-17.771018999999999"/>
    <n v="-18.12442624000002"/>
  </r>
  <r>
    <s v="UES40"/>
    <x v="71"/>
    <x v="1"/>
    <s v="Allocation Driven Strategies"/>
    <x v="6"/>
    <n v="17548605"/>
    <n v="-1735954.5999999992"/>
    <n v="19212387"/>
    <n v="19.212387"/>
    <n v="-1663782"/>
    <n v="-1663782"/>
    <n v="17.548604999999998"/>
    <n v="-1.6637820000000001"/>
    <n v="-1.7359545999999992"/>
  </r>
  <r>
    <s v="UES70"/>
    <x v="72"/>
    <x v="1"/>
    <s v="Allocation Driven Strategies"/>
    <x v="6"/>
    <n v="324745916"/>
    <n v="-42366719.810000017"/>
    <n v="366473118"/>
    <n v="366.473118"/>
    <n v="-41727202"/>
    <n v="-41727202"/>
    <n v="324.74591600000002"/>
    <n v="-41.727201999999998"/>
    <n v="-42.366719810000021"/>
  </r>
  <r>
    <s v="UES50"/>
    <x v="73"/>
    <x v="1"/>
    <s v="Allocation Driven Strategies"/>
    <x v="6"/>
    <n v="544284583"/>
    <n v="-69706960.450000018"/>
    <n v="613264658"/>
    <n v="613.26465800000005"/>
    <n v="-68980075"/>
    <n v="-68980075"/>
    <n v="544.284583"/>
    <n v="-68.980074999999999"/>
    <n v="-69.706960450000011"/>
  </r>
  <r>
    <s v="PP3Y"/>
    <x v="74"/>
    <x v="1"/>
    <s v="Allocation Driven Strategies"/>
    <x v="1"/>
    <n v="121763648"/>
    <n v="-4642.7000000000826"/>
    <n v="121839302"/>
    <n v="121.839302"/>
    <n v="-75654"/>
    <n v="-75654"/>
    <n v="121.763648"/>
    <n v="-7.5653999999999999E-2"/>
    <n v="-4.6427000000000829E-3"/>
  </r>
  <r>
    <s v="MAL"/>
    <x v="75"/>
    <x v="1"/>
    <s v="Outcome Oriented Strategies"/>
    <x v="10"/>
    <n v="142799"/>
    <n v="-1625.16"/>
    <n v="143073"/>
    <n v="0.14307300000000001"/>
    <n v="-274"/>
    <n v="-274"/>
    <n v="0.14279900000000001"/>
    <n v="-2.7399999999999999E-4"/>
    <n v="-1.6251600000000001E-3"/>
  </r>
  <r>
    <s v="MAF"/>
    <x v="76"/>
    <x v="1"/>
    <s v="Outcome Oriented Strategies"/>
    <x v="10"/>
    <n v="87281"/>
    <n v="-1505.89"/>
    <n v="87979"/>
    <n v="8.7979000000000002E-2"/>
    <n v="-698"/>
    <n v="-698"/>
    <n v="8.7280999999999997E-2"/>
    <n v="-6.9800000000000005E-4"/>
    <n v="-1.5058900000000002E-3"/>
  </r>
  <r>
    <s v="MAB"/>
    <x v="77"/>
    <x v="1"/>
    <s v="Outcome Oriented Strategies"/>
    <x v="10"/>
    <n v="4880540"/>
    <n v="-65440.870000000024"/>
    <n v="4891405"/>
    <n v="4.8914049999999998"/>
    <n v="-10865"/>
    <n v="-10865"/>
    <n v="4.8805399999999999"/>
    <n v="-1.0865E-2"/>
    <n v="-6.5440870000000026E-2"/>
  </r>
  <r>
    <s v="MAD"/>
    <x v="78"/>
    <x v="1"/>
    <s v="Outcome Oriented Strategies"/>
    <x v="10"/>
    <n v="338741"/>
    <n v="-4878.46"/>
    <n v="340831"/>
    <n v="0.340831"/>
    <n v="-2090"/>
    <n v="-2090"/>
    <n v="0.33874100000000001"/>
    <n v="-2.0899999999999998E-3"/>
    <n v="-4.8784600000000003E-3"/>
  </r>
  <r>
    <s v="MAC"/>
    <x v="79"/>
    <x v="1"/>
    <s v="Outcome Oriented Strategies"/>
    <x v="10"/>
    <n v="187925"/>
    <n v="-1740.22"/>
    <n v="187915"/>
    <n v="0.187915"/>
    <n v="10"/>
    <n v="10"/>
    <n v="0.18792500000000001"/>
    <n v="1.0000000000000001E-5"/>
    <n v="-1.74022E-3"/>
  </r>
  <r>
    <s v="MAH"/>
    <x v="80"/>
    <x v="1"/>
    <s v="Outcome Oriented Strategies"/>
    <x v="10"/>
    <n v="635258"/>
    <n v="-2758.01"/>
    <n v="631685"/>
    <n v="0.63168500000000005"/>
    <n v="3573"/>
    <n v="3573"/>
    <n v="0.63525799999999999"/>
    <n v="3.5729999999999998E-3"/>
    <n v="-2.7580100000000004E-3"/>
  </r>
  <r>
    <s v="MAG"/>
    <x v="81"/>
    <x v="1"/>
    <s v="Outcome Oriented Strategies"/>
    <x v="10"/>
    <n v="135031"/>
    <n v="-1605.7"/>
    <n v="135227"/>
    <n v="0.13522700000000001"/>
    <n v="-196"/>
    <n v="-196"/>
    <n v="0.13503100000000001"/>
    <n v="-1.9599999999999999E-4"/>
    <n v="-1.6057000000000001E-3"/>
  </r>
  <r>
    <s v="MAE"/>
    <x v="82"/>
    <x v="1"/>
    <s v="Outcome Oriented Strategies"/>
    <x v="10"/>
    <n v="155065"/>
    <n v="-1644.49"/>
    <n v="155214"/>
    <n v="0.15521399999999999"/>
    <n v="-149"/>
    <n v="-149"/>
    <n v="0.15506500000000001"/>
    <n v="-1.4899999999999999E-4"/>
    <n v="-1.64449E-3"/>
  </r>
  <r>
    <s v="MAA"/>
    <x v="83"/>
    <x v="1"/>
    <s v="Outcome Oriented Strategies"/>
    <x v="10"/>
    <n v="279361"/>
    <n v="-1958.1100000000001"/>
    <n v="278072"/>
    <n v="0.27807199999999999"/>
    <n v="1289"/>
    <n v="1289"/>
    <n v="0.27936100000000003"/>
    <n v="1.289E-3"/>
    <n v="-1.9581100000000003E-3"/>
  </r>
  <r>
    <s v="MAN"/>
    <x v="84"/>
    <x v="1"/>
    <s v="Outcome Oriented Strategies"/>
    <x v="10"/>
    <n v="28094"/>
    <n v="-1209.0000000000002"/>
    <n v="29020"/>
    <n v="2.9020000000000001E-2"/>
    <n v="-926"/>
    <n v="-926"/>
    <n v="2.8094000000000001E-2"/>
    <n v="-9.2599999999999996E-4"/>
    <n v="-1.2090000000000002E-3"/>
  </r>
  <r>
    <s v="MAM"/>
    <x v="85"/>
    <x v="1"/>
    <s v="Outcome Oriented Strategies"/>
    <x v="10"/>
    <n v="16569"/>
    <n v="-579.68999999999983"/>
    <n v="16991"/>
    <n v="1.6990999999999999E-2"/>
    <n v="-422"/>
    <n v="-422"/>
    <n v="1.6569E-2"/>
    <n v="-4.2200000000000001E-4"/>
    <n v="-5.7968999999999978E-4"/>
  </r>
  <r>
    <s v="CNPTHEMPROT"/>
    <x v="86"/>
    <x v="1"/>
    <s v="Outcome Oriented Strategies"/>
    <x v="11"/>
    <n v="194823287"/>
    <n v="-10873093.450000003"/>
    <n v="201751089"/>
    <n v="201.75108900000001"/>
    <n v="-6927802"/>
    <n v="-6927802"/>
    <n v="194.82328699999999"/>
    <n v="-6.9278019999999998"/>
    <n v="-10.873093450000002"/>
  </r>
  <r>
    <s v="CRVTHEMPROT"/>
    <x v="87"/>
    <x v="1"/>
    <s v="Outcome Oriented Strategies"/>
    <x v="11"/>
    <n v="306660320"/>
    <n v="-12008190.73"/>
    <n v="312423908"/>
    <n v="312.42390799999998"/>
    <n v="-5763588"/>
    <n v="-5763588"/>
    <n v="306.66032000000001"/>
    <n v="-5.7635880000000004"/>
    <n v="-12.008190730000001"/>
  </r>
  <r>
    <s v="CNPDYNPR80"/>
    <x v="88"/>
    <x v="1"/>
    <s v="Outcome Oriented Strategies"/>
    <x v="11"/>
    <n v="115957326"/>
    <n v="-16726670.740000002"/>
    <n v="132260888"/>
    <n v="132.26088799999999"/>
    <n v="-16303562"/>
    <n v="-16303562"/>
    <n v="115.95732599999999"/>
    <n v="-16.303561999999999"/>
    <n v="-16.726670740000003"/>
  </r>
  <r>
    <s v="CRVDYNPR80"/>
    <x v="89"/>
    <x v="1"/>
    <s v="Outcome Oriented Strategies"/>
    <x v="11"/>
    <n v="277838515"/>
    <n v="-27240350.970000014"/>
    <n v="303707882"/>
    <n v="303.70788199999998"/>
    <n v="-25869367"/>
    <n v="-25869367"/>
    <n v="277.83851499999997"/>
    <n v="-25.869367"/>
    <n v="-27.240350970000012"/>
  </r>
  <r>
    <s v="CNPPROT80"/>
    <x v="90"/>
    <x v="1"/>
    <s v="Outcome Oriented Strategies"/>
    <x v="11"/>
    <n v="96066220"/>
    <n v="-19908.650000000169"/>
    <n v="92942418"/>
    <n v="92.942418000000004"/>
    <n v="3123802"/>
    <n v="3123802"/>
    <n v="96.066220000000001"/>
    <n v="3.123802"/>
    <n v="-1.990865000000017E-2"/>
  </r>
  <r>
    <s v="CRVPROT80"/>
    <x v="91"/>
    <x v="1"/>
    <s v="Outcome Oriented Strategies"/>
    <x v="11"/>
    <n v="106181073"/>
    <n v="1089505.3800000004"/>
    <n v="101671056"/>
    <n v="101.67105599999999"/>
    <n v="4510017"/>
    <n v="4510017"/>
    <n v="106.181073"/>
    <n v="4.5100170000000004"/>
    <n v="1.0895053800000003"/>
  </r>
  <r>
    <s v="MLINC"/>
    <x v="92"/>
    <x v="1"/>
    <s v="Outcome Oriented Strategies"/>
    <x v="4"/>
    <n v="214538635"/>
    <n v="-15585921.889999999"/>
    <n v="230490457"/>
    <n v="230.49045699999999"/>
    <n v="-15951822"/>
    <n v="-15951822"/>
    <n v="214.538635"/>
    <n v="-15.951822"/>
    <n v="-15.585921889999998"/>
  </r>
  <r>
    <s v="MULLI360"/>
    <x v="93"/>
    <x v="1"/>
    <s v="Outcome Oriented Strategies"/>
    <x v="4"/>
    <n v="153951234"/>
    <n v="-15687265.600000005"/>
    <n v="170018725"/>
    <n v="170.01872499999999"/>
    <n v="-16067491"/>
    <n v="-16067491"/>
    <n v="153.951234"/>
    <n v="-16.067491"/>
    <n v="-15.687265600000005"/>
  </r>
  <r>
    <s v="ULACCO"/>
    <x v="94"/>
    <x v="1"/>
    <s v="Outcome Oriented Strategies"/>
    <x v="3"/>
    <n v="4695301"/>
    <n v="-235764.66999999998"/>
    <n v="5173858"/>
    <n v="5.1738580000000001"/>
    <n v="-478557"/>
    <n v="-478557"/>
    <n v="4.6953009999999997"/>
    <n v="-0.47855700000000001"/>
    <n v="-0.23576466999999998"/>
  </r>
  <r>
    <s v="MUSI"/>
    <x v="95"/>
    <x v="1"/>
    <s v="Outcome Oriented Strategies"/>
    <x v="4"/>
    <n v="238309510"/>
    <n v="-24934080.980000012"/>
    <n v="263555955"/>
    <n v="263.55595499999998"/>
    <n v="-25246445"/>
    <n v="-25246445"/>
    <n v="238.30950999999999"/>
    <n v="-25.246445000000001"/>
    <n v="-24.934080980000012"/>
  </r>
  <r>
    <s v="PMAI"/>
    <x v="96"/>
    <x v="1"/>
    <s v="Outcome Oriented Strategies"/>
    <x v="10"/>
    <n v="77632"/>
    <s v=""/>
    <n v="78336"/>
    <n v="7.8336000000000003E-2"/>
    <n v="-704"/>
    <n v="-704"/>
    <n v="7.7632000000000007E-2"/>
    <n v="-7.0399999999999998E-4"/>
    <s v=""/>
  </r>
  <r>
    <s v="ULBER-"/>
    <x v="97"/>
    <x v="1"/>
    <s v="Allocation Driven Strategies"/>
    <x v="0"/>
    <n v="0"/>
    <s v=""/>
    <n v="0"/>
    <n v="0"/>
    <n v="0"/>
    <n v="0"/>
    <n v="0"/>
    <n v="0"/>
    <s v=""/>
  </r>
  <r>
    <s v="ULDER"/>
    <x v="98"/>
    <x v="1"/>
    <s v="Allocation Driven Strategies"/>
    <x v="2"/>
    <m/>
    <s v=""/>
    <n v="0"/>
    <n v="0"/>
    <n v="0"/>
    <n v="0"/>
    <n v="0"/>
    <n v="0"/>
    <s v=""/>
  </r>
  <r>
    <s v="ULPER"/>
    <x v="99"/>
    <x v="1"/>
    <s v="Allocation Driven Strategies"/>
    <x v="1"/>
    <m/>
    <s v=""/>
    <n v="0"/>
    <n v="0"/>
    <n v="0"/>
    <n v="0"/>
    <n v="0"/>
    <n v="0"/>
    <s v=""/>
  </r>
  <r>
    <s v="ULP-ER"/>
    <x v="100"/>
    <x v="1"/>
    <s v="Allocation Driven Strategies"/>
    <x v="1"/>
    <m/>
    <s v=""/>
    <n v="0"/>
    <n v="0"/>
    <n v="0"/>
    <n v="0"/>
    <n v="0"/>
    <n v="0"/>
    <s v=""/>
  </r>
  <r>
    <s v="R2M"/>
    <x v="101"/>
    <x v="1"/>
    <s v="Allocation Driven Strategies"/>
    <x v="2"/>
    <n v="4017874"/>
    <n v="-34029.530000000021"/>
    <n v="3913810"/>
    <n v="3.9138099999999998"/>
    <n v="104064"/>
    <n v="104064"/>
    <n v="4.0178739999999999"/>
    <n v="0.104064"/>
    <n v="-3.4029530000000023E-2"/>
  </r>
  <r>
    <s v="ULC"/>
    <x v="102"/>
    <x v="1"/>
    <s v="Allocation Driven Strategies"/>
    <x v="1"/>
    <n v="27300227"/>
    <n v="-558197.35000000009"/>
    <n v="27597514"/>
    <n v="27.597514"/>
    <n v="-297287"/>
    <n v="-297287"/>
    <n v="27.300227"/>
    <n v="-0.29728700000000002"/>
    <n v="-0.55819735000000015"/>
  </r>
  <r>
    <s v="UNGOALS"/>
    <x v="103"/>
    <x v="1"/>
    <s v="Outcome Oriented Strategies"/>
    <x v="5"/>
    <n v="917442674"/>
    <n v="10840043.590000013"/>
    <n v="869067080"/>
    <n v="869.06708000000003"/>
    <n v="48375594"/>
    <n v="48375594"/>
    <n v="917.44267400000001"/>
    <n v="48.375594"/>
    <n v="10.840043590000013"/>
  </r>
  <r>
    <s v="ULMATREND"/>
    <x v="104"/>
    <x v="1"/>
    <s v="Outcome Oriented Strategies"/>
    <x v="5"/>
    <n v="253333398"/>
    <n v="7390538.6799999997"/>
    <n v="239873847"/>
    <n v="239.87384700000001"/>
    <n v="13459551"/>
    <n v="13459551"/>
    <n v="253.33339799999999"/>
    <n v="13.459550999999999"/>
    <n v="7.3905386799999997"/>
  </r>
  <r>
    <s v="ULFTREND "/>
    <x v="105"/>
    <x v="1"/>
    <s v="Outcome Oriented Strategies"/>
    <x v="5"/>
    <m/>
    <n v="455287.96000000054"/>
    <m/>
    <n v="0"/>
    <n v="0"/>
    <n v="0"/>
    <n v="0"/>
    <n v="0"/>
    <n v="0.45528796000000055"/>
  </r>
  <r>
    <s v="Multhem"/>
    <x v="106"/>
    <x v="1"/>
    <s v="Outcome Oriented Strategies"/>
    <x v="5"/>
    <m/>
    <m/>
    <m/>
    <n v="0"/>
    <n v="0"/>
    <n v="0"/>
    <n v="0"/>
    <n v="0"/>
    <n v="0"/>
  </r>
  <r>
    <s v="AAPROT80"/>
    <x v="107"/>
    <x v="1"/>
    <s v="Outcome Oriented Strategies"/>
    <x v="11"/>
    <n v="105718402"/>
    <n v="-3074648.8299999991"/>
    <n v="108101631"/>
    <n v="108.101631"/>
    <n v="-2383229"/>
    <n v="-2383229"/>
    <n v="105.718402"/>
    <n v="-2.383229"/>
    <n v="-3.0746488299999992"/>
  </r>
  <r>
    <s v="MULSTEP"/>
    <x v="108"/>
    <x v="1"/>
    <s v="Outcome Oriented Strategies"/>
    <x v="3"/>
    <m/>
    <n v="-432255.85000000003"/>
    <m/>
    <n v="0"/>
    <n v="0"/>
    <n v="0"/>
    <n v="0"/>
    <n v="0"/>
    <n v="-0.43225585000000005"/>
  </r>
  <r>
    <s v="DIOP3"/>
    <x v="109"/>
    <x v="1"/>
    <s v="Outcome Oriented Strategies"/>
    <x v="4"/>
    <m/>
    <s v=""/>
    <m/>
    <n v="0"/>
    <n v="0"/>
    <n v="0"/>
    <n v="0"/>
    <n v="0"/>
    <s v=""/>
  </r>
  <r>
    <s v="DIOP4"/>
    <x v="110"/>
    <x v="1"/>
    <s v="Outcome Oriented Strategies"/>
    <x v="5"/>
    <m/>
    <s v=""/>
    <m/>
    <n v="0"/>
    <n v="0"/>
    <n v="0"/>
    <n v="0"/>
    <n v="0"/>
    <s v=""/>
  </r>
  <r>
    <s v="BBSECCORE"/>
    <x v="111"/>
    <x v="2"/>
    <m/>
    <x v="7"/>
    <m/>
    <s v=""/>
    <m/>
    <n v="0"/>
    <n v="0"/>
    <n v="0"/>
    <n v="0"/>
    <n v="0"/>
    <s v=""/>
  </r>
  <r>
    <s v="BBSECPERIPH"/>
    <x v="112"/>
    <x v="2"/>
    <m/>
    <x v="7"/>
    <m/>
    <s v=""/>
    <m/>
    <n v="0"/>
    <n v="0"/>
    <n v="0"/>
    <n v="0"/>
    <n v="0"/>
    <s v=""/>
  </r>
  <r>
    <s v="BBSECEURIG"/>
    <x v="113"/>
    <x v="2"/>
    <m/>
    <x v="7"/>
    <m/>
    <s v=""/>
    <m/>
    <n v="0"/>
    <n v="0"/>
    <n v="0"/>
    <n v="0"/>
    <n v="0"/>
    <s v=""/>
  </r>
  <r>
    <s v="BBSECUSTBOND"/>
    <x v="114"/>
    <x v="2"/>
    <m/>
    <x v="7"/>
    <m/>
    <s v=""/>
    <m/>
    <n v="0"/>
    <n v="0"/>
    <n v="0"/>
    <n v="0"/>
    <n v="0"/>
    <s v=""/>
  </r>
  <r>
    <s v="DIOP 1"/>
    <x v="115"/>
    <x v="1"/>
    <s v="Outcome Oriented Strategies"/>
    <x v="4"/>
    <m/>
    <s v=""/>
    <m/>
    <n v="0"/>
    <n v="0"/>
    <n v="0"/>
    <n v="0"/>
    <n v="0"/>
    <s v=""/>
  </r>
  <r>
    <s v="DIOP 2"/>
    <x v="116"/>
    <x v="1"/>
    <s v="Outcome Oriented Strategies"/>
    <x v="4"/>
    <m/>
    <s v=""/>
    <m/>
    <n v="0"/>
    <n v="0"/>
    <n v="0"/>
    <n v="0"/>
    <n v="0"/>
    <s v=""/>
  </r>
  <r>
    <s v="PF82304"/>
    <x v="117"/>
    <x v="0"/>
    <m/>
    <x v="7"/>
    <m/>
    <m/>
    <m/>
    <n v="0"/>
    <n v="0"/>
    <n v="0"/>
    <n v="0"/>
    <n v="0"/>
    <n v="0"/>
  </r>
  <r>
    <s v="PF80513"/>
    <x v="118"/>
    <x v="0"/>
    <m/>
    <x v="7"/>
    <m/>
    <m/>
    <m/>
    <n v="0"/>
    <n v="0"/>
    <n v="0"/>
    <n v="0"/>
    <n v="0"/>
    <n v="0"/>
  </r>
  <r>
    <s v="MUSG"/>
    <x v="119"/>
    <x v="1"/>
    <s v="Outcome Oriented Strategies"/>
    <x v="5"/>
    <m/>
    <m/>
    <m/>
    <n v="0"/>
    <n v="0"/>
    <n v="0"/>
    <n v="0"/>
    <n v="0"/>
    <n v="0"/>
  </r>
  <r>
    <m/>
    <x v="21"/>
    <x v="2"/>
    <m/>
    <x v="7"/>
    <n v="23663615936.888096"/>
    <n v="-2907001309.7078838"/>
    <n v="26179290031.309433"/>
    <n v="26179.290031309432"/>
    <n v="-2515674094.4213357"/>
    <n v="-2515674094.4213357"/>
    <n v="23663.615936888091"/>
    <n v="-2515.6740944213361"/>
    <n v="-2907.00130970788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FE355-BCD4-4F4E-883D-1914CB0ACF6E}" name="PivotTable3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14">
    <pivotField showAll="0"/>
    <pivotField axis="axisRow" showAll="0">
      <items count="121">
        <item x="3"/>
        <item x="4"/>
        <item x="5"/>
        <item x="13"/>
        <item x="31"/>
        <item x="0"/>
        <item x="1"/>
        <item x="2"/>
        <item x="36"/>
        <item x="15"/>
        <item x="16"/>
        <item x="22"/>
        <item x="19"/>
        <item x="6"/>
        <item x="23"/>
        <item x="17"/>
        <item x="18"/>
        <item x="24"/>
        <item x="25"/>
        <item x="10"/>
        <item x="8"/>
        <item x="9"/>
        <item x="12"/>
        <item x="118"/>
        <item x="117"/>
        <item x="26"/>
        <item x="27"/>
        <item x="7"/>
        <item x="107"/>
        <item x="111"/>
        <item x="112"/>
        <item x="113"/>
        <item x="114"/>
        <item x="75"/>
        <item x="76"/>
        <item x="37"/>
        <item x="38"/>
        <item x="39"/>
        <item x="40"/>
        <item x="41"/>
        <item x="77"/>
        <item x="78"/>
        <item x="79"/>
        <item x="80"/>
        <item x="96"/>
        <item x="81"/>
        <item x="82"/>
        <item x="42"/>
        <item x="83"/>
        <item x="43"/>
        <item x="84"/>
        <item x="44"/>
        <item x="85"/>
        <item x="45"/>
        <item x="46"/>
        <item x="47"/>
        <item x="88"/>
        <item x="101"/>
        <item x="90"/>
        <item x="86"/>
        <item x="89"/>
        <item x="91"/>
        <item x="87"/>
        <item x="115"/>
        <item x="116"/>
        <item x="109"/>
        <item x="110"/>
        <item x="33"/>
        <item x="48"/>
        <item x="49"/>
        <item x="14"/>
        <item x="29"/>
        <item x="35"/>
        <item x="28"/>
        <item x="50"/>
        <item x="74"/>
        <item x="51"/>
        <item x="20"/>
        <item x="108"/>
        <item x="11"/>
        <item x="52"/>
        <item x="53"/>
        <item x="102"/>
        <item x="54"/>
        <item x="30"/>
        <item x="92"/>
        <item x="93"/>
        <item x="55"/>
        <item x="56"/>
        <item x="97"/>
        <item x="98"/>
        <item x="99"/>
        <item x="100"/>
        <item x="32"/>
        <item x="34"/>
        <item x="57"/>
        <item x="58"/>
        <item x="59"/>
        <item x="60"/>
        <item x="61"/>
        <item x="62"/>
        <item x="63"/>
        <item x="64"/>
        <item x="65"/>
        <item x="105"/>
        <item x="66"/>
        <item x="67"/>
        <item x="104"/>
        <item x="94"/>
        <item x="106"/>
        <item x="68"/>
        <item x="103"/>
        <item x="69"/>
        <item x="70"/>
        <item x="71"/>
        <item x="72"/>
        <item x="73"/>
        <item x="119"/>
        <item x="95"/>
        <item x="21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showAll="0"/>
    <pivotField axis="axisRow" showAll="0">
      <items count="13">
        <item x="8"/>
        <item x="11"/>
        <item x="10"/>
        <item x="1"/>
        <item x="9"/>
        <item x="6"/>
        <item x="2"/>
        <item x="4"/>
        <item x="0"/>
        <item x="3"/>
        <item x="5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</pivotFields>
  <rowFields count="3">
    <field x="2"/>
    <field x="4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fference In AUM in mIn*" fld="12" baseField="0" baseItem="0"/>
    <dataField name="Sum of Flows" fld="6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B9AE-D787-4A26-81ED-11E63BF5A39D}">
  <dimension ref="A3:D7"/>
  <sheetViews>
    <sheetView workbookViewId="0">
      <selection activeCell="G4" sqref="G4"/>
    </sheetView>
  </sheetViews>
  <sheetFormatPr defaultRowHeight="15" x14ac:dyDescent="0.25"/>
  <cols>
    <col min="1" max="1" width="13.140625" bestFit="1" customWidth="1"/>
    <col min="2" max="2" width="31.85546875" bestFit="1" customWidth="1"/>
    <col min="3" max="3" width="12.7109375" bestFit="1" customWidth="1"/>
    <col min="4" max="4" width="16.42578125" customWidth="1"/>
  </cols>
  <sheetData>
    <row r="3" spans="1:4" ht="30" x14ac:dyDescent="0.25">
      <c r="A3" s="10" t="s">
        <v>265</v>
      </c>
      <c r="B3" t="s">
        <v>268</v>
      </c>
      <c r="C3" t="s">
        <v>269</v>
      </c>
      <c r="D3" s="13" t="s">
        <v>270</v>
      </c>
    </row>
    <row r="4" spans="1:4" x14ac:dyDescent="0.25">
      <c r="A4" s="11" t="s">
        <v>10</v>
      </c>
      <c r="B4" s="12">
        <v>-2447.5084494213361</v>
      </c>
      <c r="C4" s="12">
        <v>-2610462776.697885</v>
      </c>
    </row>
    <row r="5" spans="1:4" x14ac:dyDescent="0.25">
      <c r="A5" s="11" t="s">
        <v>51</v>
      </c>
      <c r="B5" s="12">
        <v>-68.165644999999984</v>
      </c>
      <c r="C5" s="12">
        <v>-296538533.01000011</v>
      </c>
    </row>
    <row r="6" spans="1:4" x14ac:dyDescent="0.25">
      <c r="A6" s="11" t="s">
        <v>266</v>
      </c>
      <c r="B6" s="12">
        <v>-2515.6740944213361</v>
      </c>
      <c r="C6" s="12">
        <v>-2907001309.7078838</v>
      </c>
    </row>
    <row r="7" spans="1:4" x14ac:dyDescent="0.25">
      <c r="A7" s="11" t="s">
        <v>267</v>
      </c>
      <c r="B7" s="12">
        <v>-5031.3481888426722</v>
      </c>
      <c r="C7" s="12">
        <v>-5814002619.4157696</v>
      </c>
    </row>
  </sheetData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4F35-9CFD-432D-98ED-87E6B1E4C086}">
  <dimension ref="A1:N122"/>
  <sheetViews>
    <sheetView tabSelected="1" zoomScaleNormal="100" workbookViewId="0">
      <selection activeCell="P1" sqref="P1"/>
    </sheetView>
  </sheetViews>
  <sheetFormatPr defaultRowHeight="15" x14ac:dyDescent="0.25"/>
  <cols>
    <col min="1" max="1" width="10.28515625" bestFit="1" customWidth="1"/>
    <col min="2" max="2" width="15.28515625" bestFit="1" customWidth="1"/>
    <col min="3" max="3" width="14" bestFit="1" customWidth="1"/>
    <col min="4" max="4" width="27.42578125" bestFit="1" customWidth="1"/>
    <col min="5" max="5" width="18.28515625" bestFit="1" customWidth="1"/>
    <col min="6" max="6" width="19" customWidth="1"/>
    <col min="7" max="7" width="13.7109375" bestFit="1" customWidth="1"/>
    <col min="8" max="8" width="18.85546875" customWidth="1"/>
    <col min="9" max="9" width="23.5703125" customWidth="1"/>
    <col min="10" max="10" width="12.7109375" bestFit="1" customWidth="1"/>
    <col min="11" max="11" width="15.42578125" bestFit="1" customWidth="1"/>
    <col min="12" max="12" width="20.140625" customWidth="1"/>
    <col min="13" max="13" width="13.140625" bestFit="1" customWidth="1"/>
    <col min="14" max="14" width="11.28515625" bestFit="1" customWidth="1"/>
  </cols>
  <sheetData>
    <row r="1" spans="1:14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256</v>
      </c>
      <c r="G1" s="4" t="s">
        <v>257</v>
      </c>
      <c r="H1" s="4" t="s">
        <v>258</v>
      </c>
      <c r="I1" s="4" t="s">
        <v>260</v>
      </c>
      <c r="J1" s="4" t="s">
        <v>5</v>
      </c>
      <c r="K1" s="4" t="s">
        <v>6</v>
      </c>
      <c r="L1" s="4" t="s">
        <v>259</v>
      </c>
      <c r="M1" s="4" t="s">
        <v>261</v>
      </c>
      <c r="N1" s="4" t="s">
        <v>7</v>
      </c>
    </row>
    <row r="2" spans="1:14" x14ac:dyDescent="0.25">
      <c r="A2" t="s">
        <v>8</v>
      </c>
      <c r="B2" t="s">
        <v>9</v>
      </c>
      <c r="C2" t="s">
        <v>10</v>
      </c>
      <c r="D2" t="s">
        <v>245</v>
      </c>
      <c r="E2" t="s">
        <v>248</v>
      </c>
      <c r="F2">
        <f>VLOOKUP(A2,'[3]AUM History Current'!$A:$B,2,FALSE)</f>
        <v>322230421.99000001</v>
      </c>
      <c r="G2" s="8">
        <f>IFERROR(VLOOKUP(A2,'[3]Total Flows'!$A$1:$B$129,2,FALSE),"")</f>
        <v>-4355078.9246497368</v>
      </c>
      <c r="H2" s="8">
        <f>VLOOKUP(A2,'[3]Last AUM History '!$A:$B,2,FALSE)</f>
        <v>323150343.74000001</v>
      </c>
      <c r="I2">
        <f>+H2/1000000</f>
        <v>323.15034373999998</v>
      </c>
      <c r="J2">
        <f>+IF(OR(A2="HF11",A2="PACIFAI"),0,IF(A2="MUSG",F2-H2/2,F2-H2))</f>
        <v>-919921.75</v>
      </c>
      <c r="K2" s="9">
        <f>+IF(ISNA(J2),0,J2)</f>
        <v>-919921.75</v>
      </c>
      <c r="L2">
        <f>F2/1000000</f>
        <v>322.23042199000002</v>
      </c>
      <c r="M2">
        <f>K2/1000000</f>
        <v>-0.91992174999999998</v>
      </c>
      <c r="N2">
        <f>IFERROR(G2/1000000,"")</f>
        <v>-4.355078924649737</v>
      </c>
    </row>
    <row r="3" spans="1:14" x14ac:dyDescent="0.25">
      <c r="A3" t="s">
        <v>11</v>
      </c>
      <c r="B3" t="s">
        <v>12</v>
      </c>
      <c r="C3" t="s">
        <v>10</v>
      </c>
      <c r="D3" t="s">
        <v>245</v>
      </c>
      <c r="E3" t="s">
        <v>249</v>
      </c>
      <c r="F3">
        <f>VLOOKUP(A3,'[3]AUM History Current'!$A:$B,2,FALSE)</f>
        <v>240873428.55000001</v>
      </c>
      <c r="G3" s="8">
        <f>IFERROR(VLOOKUP(A3,'[3]Total Flows'!$A$1:$B$129,2,FALSE),"")</f>
        <v>-6579046.5695578372</v>
      </c>
      <c r="H3" s="8">
        <f>VLOOKUP(A3,'[3]Last AUM History '!$A:$B,2,FALSE)</f>
        <v>247147097.28</v>
      </c>
      <c r="I3">
        <f t="shared" ref="I3:I66" si="0">+H3/1000000</f>
        <v>247.14709728</v>
      </c>
      <c r="J3">
        <f t="shared" ref="J3:J66" si="1">+IF(OR(A3="HF11",A3="PACIFAI"),0,IF(A3="MUSG",F3-H3/2,F3-H3))</f>
        <v>-6273668.7299999893</v>
      </c>
      <c r="K3" s="9">
        <f t="shared" ref="K3:K66" si="2">+IF(ISNA(J3),0,J3)</f>
        <v>-6273668.7299999893</v>
      </c>
      <c r="L3">
        <f t="shared" ref="L3:L66" si="3">F3/1000000</f>
        <v>240.87342855</v>
      </c>
      <c r="M3">
        <f t="shared" ref="M3:M66" si="4">K3/1000000</f>
        <v>-6.2736687299999891</v>
      </c>
      <c r="N3">
        <f t="shared" ref="N3:N66" si="5">IFERROR(G3/1000000,"")</f>
        <v>-6.5790465695578373</v>
      </c>
    </row>
    <row r="4" spans="1:14" x14ac:dyDescent="0.25">
      <c r="A4" t="s">
        <v>13</v>
      </c>
      <c r="B4" t="s">
        <v>14</v>
      </c>
      <c r="C4" t="s">
        <v>10</v>
      </c>
      <c r="D4" t="s">
        <v>245</v>
      </c>
      <c r="E4" t="s">
        <v>250</v>
      </c>
      <c r="F4">
        <f>VLOOKUP(A4,'[3]AUM History Current'!$A:$B,2,FALSE)</f>
        <v>83161102.870000005</v>
      </c>
      <c r="G4" s="8">
        <f>IFERROR(VLOOKUP(A4,'[3]Total Flows'!$A$1:$B$129,2,FALSE),"")</f>
        <v>-1199598.1049900597</v>
      </c>
      <c r="H4" s="8">
        <f>VLOOKUP(A4,'[3]Last AUM History '!$A:$B,2,FALSE)</f>
        <v>85685108.980000004</v>
      </c>
      <c r="I4">
        <f t="shared" si="0"/>
        <v>85.68510898000001</v>
      </c>
      <c r="J4">
        <f t="shared" si="1"/>
        <v>-2524006.1099999994</v>
      </c>
      <c r="K4" s="9">
        <f t="shared" si="2"/>
        <v>-2524006.1099999994</v>
      </c>
      <c r="L4">
        <f t="shared" si="3"/>
        <v>83.161102870000008</v>
      </c>
      <c r="M4">
        <f t="shared" si="4"/>
        <v>-2.5240061099999993</v>
      </c>
      <c r="N4">
        <f t="shared" si="5"/>
        <v>-1.1995981049900597</v>
      </c>
    </row>
    <row r="5" spans="1:14" x14ac:dyDescent="0.25">
      <c r="A5" t="s">
        <v>15</v>
      </c>
      <c r="B5" t="s">
        <v>16</v>
      </c>
      <c r="C5" t="s">
        <v>10</v>
      </c>
      <c r="D5" s="5" t="s">
        <v>245</v>
      </c>
      <c r="E5" t="s">
        <v>248</v>
      </c>
      <c r="G5" s="8">
        <f>IFERROR(VLOOKUP(A5,'[3]Total Flows'!$A$1:$B$129,2,FALSE),"")</f>
        <v>0</v>
      </c>
      <c r="H5" s="8"/>
      <c r="I5">
        <f t="shared" si="0"/>
        <v>0</v>
      </c>
      <c r="J5">
        <f t="shared" si="1"/>
        <v>0</v>
      </c>
      <c r="K5" s="9">
        <f t="shared" si="2"/>
        <v>0</v>
      </c>
      <c r="L5">
        <f t="shared" si="3"/>
        <v>0</v>
      </c>
      <c r="M5">
        <f t="shared" si="4"/>
        <v>0</v>
      </c>
      <c r="N5">
        <f t="shared" si="5"/>
        <v>0</v>
      </c>
    </row>
    <row r="6" spans="1:14" x14ac:dyDescent="0.25">
      <c r="A6" t="s">
        <v>17</v>
      </c>
      <c r="B6" t="s">
        <v>18</v>
      </c>
      <c r="C6" t="s">
        <v>10</v>
      </c>
      <c r="D6" s="5" t="s">
        <v>245</v>
      </c>
      <c r="E6" t="s">
        <v>249</v>
      </c>
      <c r="G6" s="8">
        <f>IFERROR(VLOOKUP(A6,'[3]Total Flows'!$A$1:$B$129,2,FALSE),"")</f>
        <v>0</v>
      </c>
      <c r="H6" s="8"/>
      <c r="I6">
        <f t="shared" si="0"/>
        <v>0</v>
      </c>
      <c r="J6">
        <f t="shared" si="1"/>
        <v>0</v>
      </c>
      <c r="K6" s="9">
        <f t="shared" si="2"/>
        <v>0</v>
      </c>
      <c r="L6">
        <f t="shared" si="3"/>
        <v>0</v>
      </c>
      <c r="M6">
        <f t="shared" si="4"/>
        <v>0</v>
      </c>
      <c r="N6">
        <f t="shared" si="5"/>
        <v>0</v>
      </c>
    </row>
    <row r="7" spans="1:14" x14ac:dyDescent="0.25">
      <c r="A7" t="s">
        <v>19</v>
      </c>
      <c r="B7" t="s">
        <v>20</v>
      </c>
      <c r="C7" t="s">
        <v>10</v>
      </c>
      <c r="D7" s="5" t="s">
        <v>245</v>
      </c>
      <c r="E7" t="s">
        <v>250</v>
      </c>
      <c r="G7" s="8">
        <f>IFERROR(VLOOKUP(A7,'[3]Total Flows'!$A$1:$B$129,2,FALSE),"")</f>
        <v>0</v>
      </c>
      <c r="H7" s="8"/>
      <c r="I7">
        <f t="shared" si="0"/>
        <v>0</v>
      </c>
      <c r="J7">
        <f t="shared" si="1"/>
        <v>0</v>
      </c>
      <c r="K7" s="9">
        <f t="shared" si="2"/>
        <v>0</v>
      </c>
      <c r="L7">
        <f t="shared" si="3"/>
        <v>0</v>
      </c>
      <c r="M7">
        <f t="shared" si="4"/>
        <v>0</v>
      </c>
      <c r="N7">
        <f t="shared" si="5"/>
        <v>0</v>
      </c>
    </row>
    <row r="8" spans="1:14" x14ac:dyDescent="0.25">
      <c r="A8" t="s">
        <v>21</v>
      </c>
      <c r="B8" t="s">
        <v>22</v>
      </c>
      <c r="C8" t="s">
        <v>10</v>
      </c>
      <c r="D8" s="5" t="s">
        <v>246</v>
      </c>
      <c r="E8" t="s">
        <v>251</v>
      </c>
      <c r="F8">
        <f>VLOOKUP(A8,'[3]AUM History Current'!$A:$B,2,FALSE)</f>
        <v>24599610.579999998</v>
      </c>
      <c r="G8" s="8">
        <f>IFERROR(VLOOKUP(A8,'[3]Total Flows'!$A$1:$B$129,2,FALSE),"")</f>
        <v>-2007542.9499999997</v>
      </c>
      <c r="H8" s="8">
        <f>VLOOKUP(A8,'[3]Last AUM History '!$A:$B,2,FALSE)</f>
        <v>26376564</v>
      </c>
      <c r="I8">
        <f t="shared" si="0"/>
        <v>26.376563999999998</v>
      </c>
      <c r="J8">
        <f t="shared" si="1"/>
        <v>-1776953.4200000018</v>
      </c>
      <c r="K8" s="9">
        <f t="shared" si="2"/>
        <v>-1776953.4200000018</v>
      </c>
      <c r="L8">
        <f t="shared" si="3"/>
        <v>24.599610579999997</v>
      </c>
      <c r="M8">
        <f t="shared" si="4"/>
        <v>-1.7769534200000019</v>
      </c>
      <c r="N8">
        <f t="shared" si="5"/>
        <v>-2.0075429499999999</v>
      </c>
    </row>
    <row r="9" spans="1:14" x14ac:dyDescent="0.25">
      <c r="A9" t="s">
        <v>23</v>
      </c>
      <c r="B9" t="s">
        <v>24</v>
      </c>
      <c r="C9" t="s">
        <v>10</v>
      </c>
      <c r="D9" t="s">
        <v>246</v>
      </c>
      <c r="E9" t="s">
        <v>251</v>
      </c>
      <c r="F9">
        <f>VLOOKUP(A9,'[3]AUM History Current'!$A:$B,2,FALSE)</f>
        <v>93110643.319999993</v>
      </c>
      <c r="G9" s="8">
        <f>IFERROR(VLOOKUP(A9,'[3]Total Flows'!$A$1:$B$129,2,FALSE),"")</f>
        <v>-17962182.499999996</v>
      </c>
      <c r="H9" s="8">
        <f>VLOOKUP(A9,'[3]Last AUM History '!$A:$B,2,FALSE)</f>
        <v>111680002.01000001</v>
      </c>
      <c r="I9">
        <f t="shared" si="0"/>
        <v>111.68000201000001</v>
      </c>
      <c r="J9">
        <f t="shared" si="1"/>
        <v>-18569358.690000013</v>
      </c>
      <c r="K9" s="9">
        <f t="shared" si="2"/>
        <v>-18569358.690000013</v>
      </c>
      <c r="L9">
        <f t="shared" si="3"/>
        <v>93.110643319999994</v>
      </c>
      <c r="M9">
        <f t="shared" si="4"/>
        <v>-18.569358690000012</v>
      </c>
      <c r="N9">
        <f t="shared" si="5"/>
        <v>-17.962182499999997</v>
      </c>
    </row>
    <row r="10" spans="1:14" x14ac:dyDescent="0.25">
      <c r="A10" t="s">
        <v>25</v>
      </c>
      <c r="B10" t="s">
        <v>26</v>
      </c>
      <c r="C10" t="s">
        <v>10</v>
      </c>
      <c r="D10" t="s">
        <v>245</v>
      </c>
      <c r="E10" t="s">
        <v>249</v>
      </c>
      <c r="F10">
        <f>VLOOKUP(A10,'[3]AUM History Current'!$A:$B,2,FALSE)</f>
        <v>7436857.5700000003</v>
      </c>
      <c r="G10" s="8">
        <f>IFERROR(VLOOKUP(A10,'[3]Total Flows'!$A$1:$B$129,2,FALSE),"")</f>
        <v>-798997.57441351877</v>
      </c>
      <c r="H10" s="8">
        <f>VLOOKUP(A10,'[3]Last AUM History '!$A:$B,2,FALSE)</f>
        <v>8321680.0099999998</v>
      </c>
      <c r="I10">
        <f t="shared" si="0"/>
        <v>8.3216800099999997</v>
      </c>
      <c r="J10">
        <f t="shared" si="1"/>
        <v>-884822.43999999948</v>
      </c>
      <c r="K10" s="9">
        <f t="shared" si="2"/>
        <v>-884822.43999999948</v>
      </c>
      <c r="L10">
        <f t="shared" si="3"/>
        <v>7.4368575699999999</v>
      </c>
      <c r="M10">
        <f t="shared" si="4"/>
        <v>-0.88482243999999943</v>
      </c>
      <c r="N10">
        <f t="shared" si="5"/>
        <v>-0.79899757441351882</v>
      </c>
    </row>
    <row r="11" spans="1:14" x14ac:dyDescent="0.25">
      <c r="A11" t="s">
        <v>27</v>
      </c>
      <c r="B11" t="s">
        <v>28</v>
      </c>
      <c r="C11" t="s">
        <v>10</v>
      </c>
      <c r="D11" t="s">
        <v>245</v>
      </c>
      <c r="E11" t="s">
        <v>250</v>
      </c>
      <c r="F11">
        <f>VLOOKUP(A11,'[3]AUM History Current'!$A:$B,2,FALSE)</f>
        <v>58065450</v>
      </c>
      <c r="G11" s="8">
        <f>IFERROR(VLOOKUP(A11,'[3]Total Flows'!$A$1:$B$129,2,FALSE),"")</f>
        <v>-1643675.4681908546</v>
      </c>
      <c r="H11" s="8">
        <f>VLOOKUP(A11,'[3]Last AUM History '!$A:$B,2,FALSE)</f>
        <v>56591525.729999997</v>
      </c>
      <c r="I11">
        <f t="shared" si="0"/>
        <v>56.591525729999994</v>
      </c>
      <c r="J11">
        <f t="shared" si="1"/>
        <v>1473924.2700000033</v>
      </c>
      <c r="K11" s="9">
        <f t="shared" si="2"/>
        <v>1473924.2700000033</v>
      </c>
      <c r="L11">
        <f t="shared" si="3"/>
        <v>58.065449999999998</v>
      </c>
      <c r="M11">
        <f t="shared" si="4"/>
        <v>1.4739242700000033</v>
      </c>
      <c r="N11">
        <f t="shared" si="5"/>
        <v>-1.6436754681908547</v>
      </c>
    </row>
    <row r="12" spans="1:14" x14ac:dyDescent="0.25">
      <c r="A12" t="s">
        <v>29</v>
      </c>
      <c r="B12" t="s">
        <v>30</v>
      </c>
      <c r="C12" t="s">
        <v>10</v>
      </c>
      <c r="D12" t="s">
        <v>245</v>
      </c>
      <c r="E12" t="s">
        <v>248</v>
      </c>
      <c r="F12">
        <f>VLOOKUP(A12,'[3]AUM History Current'!$A:$B,2,FALSE)</f>
        <v>120944516.60000001</v>
      </c>
      <c r="G12" s="8">
        <f>IFERROR(VLOOKUP(A12,'[3]Total Flows'!$A$1:$B$129,2,FALSE),"")</f>
        <v>-5312267.8160834983</v>
      </c>
      <c r="H12" s="8">
        <f>VLOOKUP(A12,'[3]Last AUM History '!$A:$B,2,FALSE)</f>
        <v>123937506.37</v>
      </c>
      <c r="I12">
        <f t="shared" si="0"/>
        <v>123.93750637000001</v>
      </c>
      <c r="J12">
        <f t="shared" si="1"/>
        <v>-2992989.7699999958</v>
      </c>
      <c r="K12" s="9">
        <f t="shared" si="2"/>
        <v>-2992989.7699999958</v>
      </c>
      <c r="L12">
        <f t="shared" si="3"/>
        <v>120.94451660000001</v>
      </c>
      <c r="M12">
        <f t="shared" si="4"/>
        <v>-2.9929897699999959</v>
      </c>
      <c r="N12">
        <f t="shared" si="5"/>
        <v>-5.312267816083498</v>
      </c>
    </row>
    <row r="13" spans="1:14" x14ac:dyDescent="0.25">
      <c r="A13" t="s">
        <v>31</v>
      </c>
      <c r="B13" t="s">
        <v>32</v>
      </c>
      <c r="C13" t="s">
        <v>10</v>
      </c>
      <c r="D13" t="s">
        <v>246</v>
      </c>
      <c r="E13" t="s">
        <v>252</v>
      </c>
      <c r="F13">
        <f>VLOOKUP(A13,'[3]AUM History Current'!$A:$B,2,FALSE)</f>
        <v>98145264.699999988</v>
      </c>
      <c r="G13" s="8">
        <f>IFERROR(VLOOKUP(A13,'[3]Total Flows'!$A$1:$B$129,2,FALSE),"")</f>
        <v>0</v>
      </c>
      <c r="H13" s="8">
        <f>VLOOKUP(A13,'[3]Last AUM History '!$A:$B,2,FALSE)</f>
        <v>98124607.040000007</v>
      </c>
      <c r="I13">
        <f t="shared" si="0"/>
        <v>98.124607040000001</v>
      </c>
      <c r="J13">
        <f t="shared" si="1"/>
        <v>20657.659999981523</v>
      </c>
      <c r="K13" s="9">
        <f t="shared" si="2"/>
        <v>20657.659999981523</v>
      </c>
      <c r="L13">
        <f t="shared" si="3"/>
        <v>98.145264699999984</v>
      </c>
      <c r="M13">
        <f t="shared" si="4"/>
        <v>2.0657659999981523E-2</v>
      </c>
      <c r="N13">
        <f t="shared" si="5"/>
        <v>0</v>
      </c>
    </row>
    <row r="14" spans="1:14" x14ac:dyDescent="0.25">
      <c r="A14" t="s">
        <v>33</v>
      </c>
      <c r="B14" t="s">
        <v>34</v>
      </c>
      <c r="C14" t="s">
        <v>10</v>
      </c>
      <c r="D14" t="s">
        <v>245</v>
      </c>
      <c r="E14" t="s">
        <v>250</v>
      </c>
      <c r="F14">
        <f>VLOOKUP(A14,'[3]AUM History Current'!$A:$B,2,FALSE)</f>
        <v>27570061.568894248</v>
      </c>
      <c r="G14" s="7" t="str">
        <f>IFERROR(VLOOKUP(A14,'[3]Total Flows'!$A$1:$B$129,2,FALSE),"")</f>
        <v/>
      </c>
      <c r="H14" s="8"/>
      <c r="I14">
        <f t="shared" si="0"/>
        <v>0</v>
      </c>
      <c r="J14">
        <f t="shared" si="1"/>
        <v>27570061.568894248</v>
      </c>
      <c r="K14" s="9">
        <f t="shared" si="2"/>
        <v>27570061.568894248</v>
      </c>
      <c r="L14">
        <f t="shared" si="3"/>
        <v>27.57006156889425</v>
      </c>
      <c r="M14">
        <f t="shared" si="4"/>
        <v>27.57006156889425</v>
      </c>
      <c r="N14" t="str">
        <f t="shared" si="5"/>
        <v/>
      </c>
    </row>
    <row r="15" spans="1:14" x14ac:dyDescent="0.25">
      <c r="A15" t="s">
        <v>35</v>
      </c>
      <c r="B15" t="s">
        <v>36</v>
      </c>
      <c r="C15" t="s">
        <v>10</v>
      </c>
      <c r="D15" t="s">
        <v>246</v>
      </c>
      <c r="E15" t="s">
        <v>253</v>
      </c>
      <c r="F15">
        <f>VLOOKUP(A15,'[3]AUM History Current'!$A:$B,2,FALSE)</f>
        <v>641546599.19999993</v>
      </c>
      <c r="G15" s="8">
        <f>IFERROR(VLOOKUP(A15,'[3]Total Flows'!$A$1:$B$129,2,FALSE),"")</f>
        <v>-135819382.51000011</v>
      </c>
      <c r="H15" s="8">
        <f>VLOOKUP(A15,'[3]Last AUM History '!$A:$B,2,FALSE)</f>
        <v>532844870.06999999</v>
      </c>
      <c r="I15">
        <f t="shared" si="0"/>
        <v>532.84487006999996</v>
      </c>
      <c r="J15">
        <f t="shared" si="1"/>
        <v>108701729.12999994</v>
      </c>
      <c r="K15" s="9">
        <f t="shared" si="2"/>
        <v>108701729.12999994</v>
      </c>
      <c r="L15">
        <f t="shared" si="3"/>
        <v>641.54659919999995</v>
      </c>
      <c r="M15">
        <f t="shared" si="4"/>
        <v>108.70172912999993</v>
      </c>
      <c r="N15">
        <f t="shared" si="5"/>
        <v>-135.81938251000011</v>
      </c>
    </row>
    <row r="16" spans="1:14" x14ac:dyDescent="0.25">
      <c r="A16" t="s">
        <v>37</v>
      </c>
      <c r="B16" t="s">
        <v>38</v>
      </c>
      <c r="C16" t="s">
        <v>10</v>
      </c>
      <c r="D16" t="s">
        <v>247</v>
      </c>
      <c r="E16" t="s">
        <v>262</v>
      </c>
      <c r="F16">
        <f>VLOOKUP(A16,'[3]AUM History Current'!$A:$B,2,FALSE)</f>
        <v>198367484.84</v>
      </c>
      <c r="G16" s="8">
        <f>IFERROR(VLOOKUP(A16,'[3]Total Flows'!$A$1:$B$129,2,FALSE),"")</f>
        <v>-26331257.269999996</v>
      </c>
      <c r="H16" s="8">
        <f>VLOOKUP(A16,'[3]Last AUM History '!$A:$B,2,FALSE)</f>
        <v>234214073.75999999</v>
      </c>
      <c r="I16">
        <f t="shared" si="0"/>
        <v>234.21407375999999</v>
      </c>
      <c r="J16">
        <f t="shared" si="1"/>
        <v>-35846588.919999987</v>
      </c>
      <c r="K16" s="9">
        <f t="shared" si="2"/>
        <v>-35846588.919999987</v>
      </c>
      <c r="L16">
        <f t="shared" si="3"/>
        <v>198.36748484</v>
      </c>
      <c r="M16">
        <f t="shared" si="4"/>
        <v>-35.846588919999988</v>
      </c>
      <c r="N16">
        <f t="shared" si="5"/>
        <v>-26.331257269999995</v>
      </c>
    </row>
    <row r="17" spans="1:14" x14ac:dyDescent="0.25">
      <c r="A17" t="s">
        <v>39</v>
      </c>
      <c r="B17" t="s">
        <v>40</v>
      </c>
      <c r="C17" t="s">
        <v>10</v>
      </c>
      <c r="D17" t="s">
        <v>245</v>
      </c>
      <c r="E17" t="s">
        <v>249</v>
      </c>
      <c r="F17">
        <f>VLOOKUP(A17,'[3]AUM History Current'!$A:$B,2,FALSE)</f>
        <v>6970226.1600000001</v>
      </c>
      <c r="G17" s="8">
        <f>IFERROR(VLOOKUP(A17,'[3]Total Flows'!$A$1:$B$129,2,FALSE),"")</f>
        <v>0</v>
      </c>
      <c r="H17" s="8">
        <f>VLOOKUP(A17,'[3]Last AUM History '!$A:$B,2,FALSE)</f>
        <v>6970226.1600000001</v>
      </c>
      <c r="I17">
        <f t="shared" si="0"/>
        <v>6.9702261600000002</v>
      </c>
      <c r="J17">
        <f t="shared" si="1"/>
        <v>0</v>
      </c>
      <c r="K17" s="9">
        <f t="shared" si="2"/>
        <v>0</v>
      </c>
      <c r="L17">
        <f t="shared" si="3"/>
        <v>6.9702261600000002</v>
      </c>
      <c r="M17">
        <f t="shared" si="4"/>
        <v>0</v>
      </c>
      <c r="N17">
        <f t="shared" si="5"/>
        <v>0</v>
      </c>
    </row>
    <row r="18" spans="1:14" x14ac:dyDescent="0.25">
      <c r="A18" t="s">
        <v>41</v>
      </c>
      <c r="B18" t="s">
        <v>42</v>
      </c>
      <c r="C18" t="s">
        <v>10</v>
      </c>
      <c r="D18" t="s">
        <v>245</v>
      </c>
      <c r="E18" t="s">
        <v>250</v>
      </c>
      <c r="F18">
        <f>VLOOKUP(A18,'[3]AUM History Current'!$A:$B,2,FALSE)</f>
        <v>3927561.09</v>
      </c>
      <c r="G18" s="8">
        <f>IFERROR(VLOOKUP(A18,'[3]Total Flows'!$A$1:$B$129,2,FALSE),"")</f>
        <v>0</v>
      </c>
      <c r="H18" s="8">
        <f>VLOOKUP(A18,'[3]Last AUM History '!$A:$B,2,FALSE)</f>
        <v>3927561.09</v>
      </c>
      <c r="I18">
        <f t="shared" si="0"/>
        <v>3.9275610899999998</v>
      </c>
      <c r="J18">
        <f t="shared" si="1"/>
        <v>0</v>
      </c>
      <c r="K18" s="9">
        <f t="shared" si="2"/>
        <v>0</v>
      </c>
      <c r="L18">
        <f t="shared" si="3"/>
        <v>3.9275610899999998</v>
      </c>
      <c r="M18">
        <f t="shared" si="4"/>
        <v>0</v>
      </c>
      <c r="N18">
        <f t="shared" si="5"/>
        <v>0</v>
      </c>
    </row>
    <row r="19" spans="1:14" x14ac:dyDescent="0.25">
      <c r="A19" t="s">
        <v>43</v>
      </c>
      <c r="B19" t="s">
        <v>44</v>
      </c>
      <c r="C19" t="s">
        <v>10</v>
      </c>
      <c r="D19" t="s">
        <v>246</v>
      </c>
      <c r="E19" t="s">
        <v>251</v>
      </c>
      <c r="F19">
        <f>VLOOKUP(A19,'[3]AUM History Current'!$A:$B,2,FALSE)</f>
        <v>333770194.04999995</v>
      </c>
      <c r="G19" s="8">
        <f>IFERROR(VLOOKUP(A19,'[3]Total Flows'!$A$1:$B$129,2,FALSE),"")</f>
        <v>-113667614.56000005</v>
      </c>
      <c r="H19" s="8">
        <f>VLOOKUP(A19,'[3]Last AUM History '!$A:$B,2,FALSE)</f>
        <v>473820490.07999998</v>
      </c>
      <c r="I19">
        <f t="shared" si="0"/>
        <v>473.82049007999996</v>
      </c>
      <c r="J19">
        <f t="shared" si="1"/>
        <v>-140050296.03000003</v>
      </c>
      <c r="K19" s="9">
        <f t="shared" si="2"/>
        <v>-140050296.03000003</v>
      </c>
      <c r="L19">
        <f t="shared" si="3"/>
        <v>333.77019404999993</v>
      </c>
      <c r="M19">
        <f t="shared" si="4"/>
        <v>-140.05029603000003</v>
      </c>
      <c r="N19">
        <f t="shared" si="5"/>
        <v>-113.66761456000005</v>
      </c>
    </row>
    <row r="20" spans="1:14" x14ac:dyDescent="0.25">
      <c r="A20" t="s">
        <v>45</v>
      </c>
      <c r="B20" t="s">
        <v>46</v>
      </c>
      <c r="C20" t="s">
        <v>10</v>
      </c>
      <c r="D20" t="s">
        <v>246</v>
      </c>
      <c r="E20" t="s">
        <v>251</v>
      </c>
      <c r="F20">
        <f>VLOOKUP(A20,'[3]AUM History Current'!$A:$B,2,FALSE)</f>
        <v>318662550.81</v>
      </c>
      <c r="G20" s="8">
        <f>IFERROR(VLOOKUP(A20,'[3]Total Flows'!$A$1:$B$129,2,FALSE),"")</f>
        <v>-66930856.30999998</v>
      </c>
      <c r="H20" s="8">
        <f>VLOOKUP(A20,'[3]Last AUM History '!$A:$B,2,FALSE)</f>
        <v>408635787.25</v>
      </c>
      <c r="I20">
        <f t="shared" si="0"/>
        <v>408.63578725000002</v>
      </c>
      <c r="J20">
        <f t="shared" si="1"/>
        <v>-89973236.439999998</v>
      </c>
      <c r="K20" s="9">
        <f t="shared" si="2"/>
        <v>-89973236.439999998</v>
      </c>
      <c r="L20">
        <f t="shared" si="3"/>
        <v>318.66255081000003</v>
      </c>
      <c r="M20">
        <f t="shared" si="4"/>
        <v>-89.973236439999994</v>
      </c>
      <c r="N20">
        <f t="shared" si="5"/>
        <v>-66.930856309999982</v>
      </c>
    </row>
    <row r="21" spans="1:14" x14ac:dyDescent="0.25">
      <c r="A21" t="s">
        <v>47</v>
      </c>
      <c r="B21" t="s">
        <v>48</v>
      </c>
      <c r="C21" t="s">
        <v>10</v>
      </c>
      <c r="D21" t="s">
        <v>246</v>
      </c>
      <c r="E21" t="s">
        <v>251</v>
      </c>
      <c r="F21">
        <f>VLOOKUP(A21,'[3]AUM History Current'!$A:$B,2,FALSE)</f>
        <v>290251592.92000002</v>
      </c>
      <c r="G21" s="8" t="str">
        <f>IFERROR(VLOOKUP(A21,'[3]Total Flows'!$A$1:$B$129,2,FALSE),"")</f>
        <v/>
      </c>
      <c r="H21" s="8">
        <f>VLOOKUP(A21,'[3]Last AUM History '!$A:$B,2,FALSE)</f>
        <v>291991455.05000001</v>
      </c>
      <c r="I21">
        <f t="shared" si="0"/>
        <v>291.99145505000001</v>
      </c>
      <c r="J21">
        <f t="shared" si="1"/>
        <v>-1739862.1299999952</v>
      </c>
      <c r="K21" s="9">
        <f t="shared" si="2"/>
        <v>-1739862.1299999952</v>
      </c>
      <c r="L21">
        <f t="shared" si="3"/>
        <v>290.25159292000001</v>
      </c>
      <c r="M21">
        <f t="shared" si="4"/>
        <v>-1.7398621299999952</v>
      </c>
      <c r="N21" t="str">
        <f t="shared" si="5"/>
        <v/>
      </c>
    </row>
    <row r="22" spans="1:14" x14ac:dyDescent="0.25">
      <c r="A22" s="2" t="s">
        <v>49</v>
      </c>
      <c r="B22" s="2" t="s">
        <v>50</v>
      </c>
      <c r="C22" s="2" t="s">
        <v>51</v>
      </c>
      <c r="D22" s="2" t="s">
        <v>245</v>
      </c>
      <c r="E22" s="2" t="s">
        <v>249</v>
      </c>
      <c r="F22" s="2">
        <v>0</v>
      </c>
      <c r="G22" s="7"/>
      <c r="H22" s="2"/>
      <c r="I22" s="2">
        <f t="shared" si="0"/>
        <v>0</v>
      </c>
      <c r="J22" s="2">
        <f t="shared" si="1"/>
        <v>0</v>
      </c>
      <c r="K22" s="2">
        <f t="shared" si="2"/>
        <v>0</v>
      </c>
      <c r="L22" s="2">
        <f t="shared" si="3"/>
        <v>0</v>
      </c>
      <c r="M22" s="2">
        <f t="shared" si="4"/>
        <v>0</v>
      </c>
      <c r="N22" s="2">
        <f t="shared" si="5"/>
        <v>0</v>
      </c>
    </row>
    <row r="23" spans="1:14" x14ac:dyDescent="0.25">
      <c r="A23" s="2"/>
      <c r="B23" s="2"/>
      <c r="C23" s="2"/>
      <c r="D23" s="2"/>
      <c r="E23" s="2"/>
      <c r="F23" s="2"/>
      <c r="G23" s="2"/>
      <c r="H23" s="2"/>
      <c r="I23" s="2">
        <f t="shared" si="0"/>
        <v>0</v>
      </c>
      <c r="J23" s="2">
        <f t="shared" si="1"/>
        <v>0</v>
      </c>
      <c r="K23" s="2">
        <f t="shared" si="2"/>
        <v>0</v>
      </c>
      <c r="L23" s="2">
        <f t="shared" si="3"/>
        <v>0</v>
      </c>
      <c r="M23" s="2">
        <f t="shared" si="4"/>
        <v>0</v>
      </c>
      <c r="N23" s="2">
        <f t="shared" si="5"/>
        <v>0</v>
      </c>
    </row>
    <row r="24" spans="1:14" x14ac:dyDescent="0.25">
      <c r="A24" s="2" t="s">
        <v>52</v>
      </c>
      <c r="B24" s="2" t="s">
        <v>53</v>
      </c>
      <c r="C24" s="2" t="s">
        <v>10</v>
      </c>
      <c r="D24" s="2" t="s">
        <v>245</v>
      </c>
      <c r="E24" s="2" t="s">
        <v>262</v>
      </c>
      <c r="F24" s="2">
        <f>VLOOKUP(A24,'[3]AUM History Current'!$A:$B,2,FALSE)/0.8338</f>
        <v>169200994.27920362</v>
      </c>
      <c r="G24" s="2" t="str">
        <f>IFERROR(VLOOKUP(A24,'[3]Total Flows'!$A$1:$B$129,2,FALSE),"")</f>
        <v/>
      </c>
      <c r="H24" s="2">
        <f>VLOOKUP(A24,'[3]Last AUM History '!$A:$B,2,FALSE)/0.8338</f>
        <v>165771172.43943393</v>
      </c>
      <c r="I24" s="2">
        <f t="shared" si="0"/>
        <v>165.77117243943394</v>
      </c>
      <c r="J24" s="2">
        <f t="shared" si="1"/>
        <v>3429821.8397696912</v>
      </c>
      <c r="K24" s="2">
        <f t="shared" si="2"/>
        <v>3429821.8397696912</v>
      </c>
      <c r="L24" s="2">
        <f t="shared" si="3"/>
        <v>169.20099427920363</v>
      </c>
      <c r="M24" s="2">
        <f t="shared" si="4"/>
        <v>3.4298218397696911</v>
      </c>
      <c r="N24" s="2" t="str">
        <f t="shared" si="5"/>
        <v/>
      </c>
    </row>
    <row r="25" spans="1:14" x14ac:dyDescent="0.25">
      <c r="A25" t="s">
        <v>54</v>
      </c>
      <c r="B25" t="s">
        <v>55</v>
      </c>
      <c r="C25" t="s">
        <v>10</v>
      </c>
      <c r="D25" s="5" t="s">
        <v>246</v>
      </c>
      <c r="E25" t="s">
        <v>251</v>
      </c>
      <c r="G25" s="8"/>
      <c r="H25" s="8"/>
      <c r="I25">
        <f t="shared" si="0"/>
        <v>0</v>
      </c>
      <c r="J25">
        <f t="shared" si="1"/>
        <v>0</v>
      </c>
      <c r="K25" s="9">
        <f t="shared" si="2"/>
        <v>0</v>
      </c>
      <c r="L25">
        <f t="shared" si="3"/>
        <v>0</v>
      </c>
      <c r="M25">
        <f t="shared" si="4"/>
        <v>0</v>
      </c>
      <c r="N25">
        <f t="shared" si="5"/>
        <v>0</v>
      </c>
    </row>
    <row r="26" spans="1:14" x14ac:dyDescent="0.25">
      <c r="A26" t="s">
        <v>56</v>
      </c>
      <c r="B26" t="s">
        <v>57</v>
      </c>
      <c r="C26" t="s">
        <v>10</v>
      </c>
      <c r="D26" s="5" t="s">
        <v>246</v>
      </c>
      <c r="E26" t="s">
        <v>251</v>
      </c>
      <c r="G26" s="8"/>
      <c r="H26" s="8"/>
      <c r="I26">
        <f t="shared" si="0"/>
        <v>0</v>
      </c>
      <c r="J26">
        <f t="shared" si="1"/>
        <v>0</v>
      </c>
      <c r="K26" s="9">
        <f t="shared" si="2"/>
        <v>0</v>
      </c>
      <c r="L26">
        <f t="shared" si="3"/>
        <v>0</v>
      </c>
      <c r="M26">
        <f t="shared" si="4"/>
        <v>0</v>
      </c>
      <c r="N26">
        <f t="shared" si="5"/>
        <v>0</v>
      </c>
    </row>
    <row r="27" spans="1:14" x14ac:dyDescent="0.25">
      <c r="A27" t="s">
        <v>58</v>
      </c>
      <c r="B27" t="s">
        <v>59</v>
      </c>
      <c r="C27" t="s">
        <v>10</v>
      </c>
      <c r="D27" s="5" t="s">
        <v>246</v>
      </c>
      <c r="E27" t="s">
        <v>251</v>
      </c>
      <c r="G27" s="8"/>
      <c r="H27" s="8"/>
      <c r="I27">
        <f t="shared" si="0"/>
        <v>0</v>
      </c>
      <c r="J27">
        <f t="shared" si="1"/>
        <v>0</v>
      </c>
      <c r="K27" s="9">
        <f t="shared" si="2"/>
        <v>0</v>
      </c>
      <c r="L27">
        <f t="shared" si="3"/>
        <v>0</v>
      </c>
      <c r="M27">
        <f t="shared" si="4"/>
        <v>0</v>
      </c>
      <c r="N27">
        <f t="shared" si="5"/>
        <v>0</v>
      </c>
    </row>
    <row r="28" spans="1:14" x14ac:dyDescent="0.25">
      <c r="A28" t="s">
        <v>60</v>
      </c>
      <c r="B28" t="s">
        <v>61</v>
      </c>
      <c r="C28" t="s">
        <v>10</v>
      </c>
      <c r="D28" t="s">
        <v>246</v>
      </c>
      <c r="E28" t="s">
        <v>251</v>
      </c>
      <c r="F28">
        <f>VLOOKUP(A28,'[3]AUM History Current'!$A:$B,2,FALSE)</f>
        <v>450090309.56</v>
      </c>
      <c r="G28" s="8">
        <f>IFERROR(VLOOKUP(A28,'[3]Total Flows'!$A$1:$B$129,2,FALSE),"")</f>
        <v>-74797854.649999976</v>
      </c>
      <c r="H28" s="8">
        <f>VLOOKUP(A28,'[3]Last AUM History '!$A:$B,2,FALSE)</f>
        <v>555495066.75999999</v>
      </c>
      <c r="I28">
        <f t="shared" si="0"/>
        <v>555.49506675999999</v>
      </c>
      <c r="J28">
        <f t="shared" si="1"/>
        <v>-105404757.19999999</v>
      </c>
      <c r="K28" s="9">
        <f t="shared" si="2"/>
        <v>-105404757.19999999</v>
      </c>
      <c r="L28">
        <f t="shared" si="3"/>
        <v>450.09030955999998</v>
      </c>
      <c r="M28">
        <f t="shared" si="4"/>
        <v>-105.40475719999999</v>
      </c>
      <c r="N28">
        <f t="shared" si="5"/>
        <v>-74.797854649999977</v>
      </c>
    </row>
    <row r="29" spans="1:14" x14ac:dyDescent="0.25">
      <c r="A29" t="s">
        <v>62</v>
      </c>
      <c r="B29" t="s">
        <v>63</v>
      </c>
      <c r="C29" t="s">
        <v>10</v>
      </c>
      <c r="D29" t="s">
        <v>246</v>
      </c>
      <c r="E29" t="s">
        <v>251</v>
      </c>
      <c r="F29">
        <f>VLOOKUP(A29,'[3]AUM History Current'!$A:$B,2,FALSE)</f>
        <v>276806248.65000004</v>
      </c>
      <c r="G29" s="8">
        <f>IFERROR(VLOOKUP(A29,'[3]Total Flows'!$A$1:$B$129,2,FALSE),"")</f>
        <v>-46714300.330000006</v>
      </c>
      <c r="H29" s="8">
        <f>VLOOKUP(A29,'[3]Last AUM History '!$A:$B,2,FALSE)</f>
        <v>341822371.30000001</v>
      </c>
      <c r="I29">
        <f t="shared" si="0"/>
        <v>341.82237129999999</v>
      </c>
      <c r="J29">
        <f t="shared" si="1"/>
        <v>-65016122.649999976</v>
      </c>
      <c r="K29" s="9">
        <f t="shared" si="2"/>
        <v>-65016122.649999976</v>
      </c>
      <c r="L29">
        <f t="shared" si="3"/>
        <v>276.80624865000004</v>
      </c>
      <c r="M29">
        <f t="shared" si="4"/>
        <v>-65.016122649999971</v>
      </c>
      <c r="N29">
        <f t="shared" si="5"/>
        <v>-46.714300330000007</v>
      </c>
    </row>
    <row r="30" spans="1:14" x14ac:dyDescent="0.25">
      <c r="A30" t="s">
        <v>64</v>
      </c>
      <c r="B30" t="s">
        <v>65</v>
      </c>
      <c r="C30" t="s">
        <v>10</v>
      </c>
      <c r="D30" t="s">
        <v>247</v>
      </c>
      <c r="E30" t="s">
        <v>252</v>
      </c>
      <c r="F30">
        <f>VLOOKUP(A30,'[3]AUM History Current'!$A:$B,2,FALSE)</f>
        <v>59379104.93</v>
      </c>
      <c r="G30" s="8">
        <f>IFERROR(VLOOKUP(A30,'[3]Total Flows'!$A$1:$B$129,2,FALSE),"")</f>
        <v>-6138586.8300000001</v>
      </c>
      <c r="H30" s="8">
        <f>VLOOKUP(A30,'[3]Last AUM History '!$A:$B,2,FALSE)</f>
        <v>74824881.549999997</v>
      </c>
      <c r="I30">
        <f t="shared" si="0"/>
        <v>74.824881550000001</v>
      </c>
      <c r="J30">
        <f t="shared" si="1"/>
        <v>-15445776.619999997</v>
      </c>
      <c r="K30" s="9">
        <f t="shared" si="2"/>
        <v>-15445776.619999997</v>
      </c>
      <c r="L30">
        <f t="shared" si="3"/>
        <v>59.379104929999997</v>
      </c>
      <c r="M30">
        <f t="shared" si="4"/>
        <v>-15.445776619999997</v>
      </c>
      <c r="N30">
        <f t="shared" si="5"/>
        <v>-6.1385868300000004</v>
      </c>
    </row>
    <row r="31" spans="1:14" x14ac:dyDescent="0.25">
      <c r="A31" t="s">
        <v>66</v>
      </c>
      <c r="B31" t="s">
        <v>67</v>
      </c>
      <c r="C31" t="s">
        <v>10</v>
      </c>
      <c r="D31" t="s">
        <v>247</v>
      </c>
      <c r="E31" t="s">
        <v>263</v>
      </c>
      <c r="F31">
        <f>VLOOKUP(A31,'[3]AUM History Current'!$A:$B,2,FALSE)</f>
        <v>74067512.060000002</v>
      </c>
      <c r="G31" s="8">
        <f>IFERROR(VLOOKUP(A31,'[3]Total Flows'!$A$1:$B$129,2,FALSE),"")</f>
        <v>-2984018.7000000007</v>
      </c>
      <c r="H31" s="8">
        <f>VLOOKUP(A31,'[3]Last AUM History '!$A:$B,2,FALSE)</f>
        <v>77232789.670000002</v>
      </c>
      <c r="I31">
        <f t="shared" si="0"/>
        <v>77.232789670000003</v>
      </c>
      <c r="J31">
        <f t="shared" si="1"/>
        <v>-3165277.6099999994</v>
      </c>
      <c r="K31" s="9">
        <f t="shared" si="2"/>
        <v>-3165277.6099999994</v>
      </c>
      <c r="L31">
        <f t="shared" si="3"/>
        <v>74.067512059999999</v>
      </c>
      <c r="M31">
        <f t="shared" si="4"/>
        <v>-3.1652776099999995</v>
      </c>
      <c r="N31">
        <f t="shared" si="5"/>
        <v>-2.9840187000000005</v>
      </c>
    </row>
    <row r="32" spans="1:14" x14ac:dyDescent="0.25">
      <c r="A32" t="s">
        <v>68</v>
      </c>
      <c r="B32" t="s">
        <v>69</v>
      </c>
      <c r="C32" t="s">
        <v>51</v>
      </c>
      <c r="D32" s="5" t="s">
        <v>245</v>
      </c>
      <c r="E32" t="s">
        <v>254</v>
      </c>
      <c r="F32">
        <f>VLOOKUP(A32,'[3]AUM History Current'!$A:$B,2,FALSE)</f>
        <v>1906769438</v>
      </c>
      <c r="G32" s="8">
        <f>IFERROR(VLOOKUP(A32,'[3]Total Flows'!$A$1:$B$129,2,FALSE),"")</f>
        <v>-26671277.499999989</v>
      </c>
      <c r="H32" s="8">
        <f>VLOOKUP(A32,'[3]Last AUM History '!$A:$B,2,FALSE)</f>
        <v>1877332566</v>
      </c>
      <c r="I32">
        <f t="shared" si="0"/>
        <v>1877.332566</v>
      </c>
      <c r="J32">
        <f t="shared" si="1"/>
        <v>29436872</v>
      </c>
      <c r="K32" s="9">
        <f t="shared" si="2"/>
        <v>29436872</v>
      </c>
      <c r="L32">
        <f t="shared" si="3"/>
        <v>1906.769438</v>
      </c>
      <c r="M32">
        <f t="shared" si="4"/>
        <v>29.436872000000001</v>
      </c>
      <c r="N32">
        <f t="shared" si="5"/>
        <v>-26.671277499999988</v>
      </c>
    </row>
    <row r="33" spans="1:14" x14ac:dyDescent="0.25">
      <c r="A33" t="s">
        <v>70</v>
      </c>
      <c r="B33" t="s">
        <v>71</v>
      </c>
      <c r="C33" t="s">
        <v>10</v>
      </c>
      <c r="D33" s="5" t="s">
        <v>245</v>
      </c>
      <c r="E33" t="s">
        <v>254</v>
      </c>
      <c r="F33">
        <f>VLOOKUP(A33,'[3]AUM History Current'!$A:$B,2,FALSE)</f>
        <v>11042632357</v>
      </c>
      <c r="G33" s="7">
        <f>F33-H33</f>
        <v>-2091973359</v>
      </c>
      <c r="H33" s="8">
        <f>VLOOKUP(A33,'[3]Last AUM History '!$A:$B,2,FALSE)</f>
        <v>13134605716</v>
      </c>
      <c r="I33">
        <f t="shared" si="0"/>
        <v>13134.605716</v>
      </c>
      <c r="J33">
        <f t="shared" si="1"/>
        <v>-2091973359</v>
      </c>
      <c r="K33" s="9">
        <f t="shared" si="2"/>
        <v>-2091973359</v>
      </c>
      <c r="L33">
        <f t="shared" si="3"/>
        <v>11042.632357</v>
      </c>
      <c r="M33">
        <f t="shared" si="4"/>
        <v>-2091.9733590000001</v>
      </c>
      <c r="N33">
        <f t="shared" si="5"/>
        <v>-2091.9733590000001</v>
      </c>
    </row>
    <row r="34" spans="1:14" x14ac:dyDescent="0.25">
      <c r="A34" t="s">
        <v>72</v>
      </c>
      <c r="B34" t="s">
        <v>73</v>
      </c>
      <c r="C34" t="s">
        <v>51</v>
      </c>
      <c r="D34" s="5" t="s">
        <v>245</v>
      </c>
      <c r="E34" t="s">
        <v>254</v>
      </c>
      <c r="F34">
        <f>VLOOKUP(A34,'[3]AUM History Current'!$A:$B,2,FALSE)</f>
        <v>1112678320</v>
      </c>
      <c r="G34" s="8">
        <f>IFERROR(VLOOKUP(A34,'[3]Total Flows'!$A$1:$B$129,2,FALSE),"")</f>
        <v>3587710.0399999819</v>
      </c>
      <c r="H34" s="8">
        <f>VLOOKUP(A34,'[3]Last AUM History '!$A:$B,2,FALSE)</f>
        <v>1020119648</v>
      </c>
      <c r="I34">
        <f t="shared" si="0"/>
        <v>1020.119648</v>
      </c>
      <c r="J34">
        <f t="shared" si="1"/>
        <v>92558672</v>
      </c>
      <c r="K34" s="9">
        <f t="shared" si="2"/>
        <v>92558672</v>
      </c>
      <c r="L34">
        <f t="shared" si="3"/>
        <v>1112.67832</v>
      </c>
      <c r="M34">
        <f t="shared" si="4"/>
        <v>92.558672000000001</v>
      </c>
      <c r="N34">
        <f t="shared" si="5"/>
        <v>3.5877100399999819</v>
      </c>
    </row>
    <row r="35" spans="1:14" x14ac:dyDescent="0.25">
      <c r="A35" t="s">
        <v>74</v>
      </c>
      <c r="B35" t="s">
        <v>75</v>
      </c>
      <c r="C35" t="s">
        <v>51</v>
      </c>
      <c r="D35" s="5" t="s">
        <v>245</v>
      </c>
      <c r="E35" t="s">
        <v>254</v>
      </c>
      <c r="F35">
        <f>VLOOKUP(A35,'[3]AUM History Current'!$A:$B,2,FALSE)</f>
        <v>46095839</v>
      </c>
      <c r="G35" s="8">
        <f>IFERROR(VLOOKUP(A35,'[3]Total Flows'!$A$1:$B$129,2,FALSE),"")</f>
        <v>-74966.089999999982</v>
      </c>
      <c r="H35" s="8">
        <f>VLOOKUP(A35,'[3]Last AUM History '!$A:$B,2,FALSE)</f>
        <v>49761394</v>
      </c>
      <c r="I35">
        <f t="shared" si="0"/>
        <v>49.761394000000003</v>
      </c>
      <c r="J35">
        <f t="shared" si="1"/>
        <v>-3665555</v>
      </c>
      <c r="K35" s="9">
        <f t="shared" si="2"/>
        <v>-3665555</v>
      </c>
      <c r="L35">
        <f t="shared" si="3"/>
        <v>46.095838999999998</v>
      </c>
      <c r="M35">
        <f t="shared" si="4"/>
        <v>-3.6655549999999999</v>
      </c>
      <c r="N35">
        <f t="shared" si="5"/>
        <v>-7.4966089999999985E-2</v>
      </c>
    </row>
    <row r="36" spans="1:14" x14ac:dyDescent="0.25">
      <c r="A36" t="s">
        <v>76</v>
      </c>
      <c r="B36" t="s">
        <v>77</v>
      </c>
      <c r="C36" t="s">
        <v>51</v>
      </c>
      <c r="D36" s="5" t="s">
        <v>245</v>
      </c>
      <c r="E36" t="s">
        <v>254</v>
      </c>
      <c r="F36">
        <f>VLOOKUP(A36,'[3]AUM History Current'!$A:$B,2,FALSE)</f>
        <v>174362993</v>
      </c>
      <c r="G36" s="8">
        <f>IFERROR(VLOOKUP(A36,'[3]Total Flows'!$A$1:$B$129,2,FALSE),"")</f>
        <v>-4502120.2299999995</v>
      </c>
      <c r="H36" s="8">
        <f>VLOOKUP(A36,'[3]Last AUM History '!$A:$B,2,FALSE)</f>
        <v>173466024</v>
      </c>
      <c r="I36">
        <f t="shared" si="0"/>
        <v>173.466024</v>
      </c>
      <c r="J36">
        <f t="shared" si="1"/>
        <v>896969</v>
      </c>
      <c r="K36" s="9">
        <f t="shared" si="2"/>
        <v>896969</v>
      </c>
      <c r="L36">
        <f t="shared" si="3"/>
        <v>174.36299299999999</v>
      </c>
      <c r="M36">
        <f t="shared" si="4"/>
        <v>0.89696900000000002</v>
      </c>
      <c r="N36">
        <f t="shared" si="5"/>
        <v>-4.5021202299999992</v>
      </c>
    </row>
    <row r="37" spans="1:14" x14ac:dyDescent="0.25">
      <c r="A37" t="s">
        <v>78</v>
      </c>
      <c r="B37" t="s">
        <v>79</v>
      </c>
      <c r="C37" t="s">
        <v>10</v>
      </c>
      <c r="D37" t="s">
        <v>247</v>
      </c>
      <c r="E37" t="s">
        <v>254</v>
      </c>
      <c r="F37">
        <f>VLOOKUP(A37,'[3]AUM History Current'!$A:$B,2,FALSE)</f>
        <v>52842263.580000006</v>
      </c>
      <c r="G37" s="8">
        <f>IFERROR(VLOOKUP(A37,'[3]Total Flows'!$A$1:$B$129,2,FALSE),"")</f>
        <v>-449506.46999999951</v>
      </c>
      <c r="H37" s="8">
        <f>VLOOKUP(A37,'[3]Last AUM History '!$A:$B,2,FALSE)</f>
        <v>56764604.780000001</v>
      </c>
      <c r="I37">
        <f t="shared" si="0"/>
        <v>56.764604779999999</v>
      </c>
      <c r="J37">
        <f t="shared" si="1"/>
        <v>-3922341.1999999955</v>
      </c>
      <c r="K37" s="9">
        <f t="shared" si="2"/>
        <v>-3922341.1999999955</v>
      </c>
      <c r="L37">
        <f t="shared" si="3"/>
        <v>52.842263580000008</v>
      </c>
      <c r="M37">
        <f t="shared" si="4"/>
        <v>-3.9223411999999955</v>
      </c>
      <c r="N37">
        <f t="shared" si="5"/>
        <v>-0.44950646999999949</v>
      </c>
    </row>
    <row r="38" spans="1:14" x14ac:dyDescent="0.25">
      <c r="A38" t="s">
        <v>80</v>
      </c>
      <c r="B38" t="str">
        <f>VLOOKUP(A38,'[1]Dublin funds'!$B:$AY,7,FALSE)</f>
        <v>Amundi Fund Solutions - Diversified Income Best Select 2022</v>
      </c>
      <c r="C38" t="s">
        <v>10</v>
      </c>
      <c r="D38" t="s">
        <v>246</v>
      </c>
      <c r="E38" t="s">
        <v>252</v>
      </c>
      <c r="F38">
        <f>VLOOKUP(A38,'[3]AUM History Current'!$A:$B,2,FALSE)</f>
        <v>135589310.01000002</v>
      </c>
      <c r="G38" s="8">
        <f>IFERROR(VLOOKUP(A38,'[3]Total Flows'!$A$1:$B$129,2,FALSE),"")</f>
        <v>-4797650.1599999992</v>
      </c>
      <c r="H38" s="8">
        <f>VLOOKUP(A38,'[3]Last AUM History '!$A:$B,2,FALSE)</f>
        <v>137814615.19</v>
      </c>
      <c r="I38">
        <f t="shared" si="0"/>
        <v>137.81461518999998</v>
      </c>
      <c r="J38">
        <f t="shared" si="1"/>
        <v>-2225305.1799999774</v>
      </c>
      <c r="K38" s="9">
        <f t="shared" si="2"/>
        <v>-2225305.1799999774</v>
      </c>
      <c r="L38">
        <f t="shared" si="3"/>
        <v>135.58931001000002</v>
      </c>
      <c r="M38">
        <f t="shared" si="4"/>
        <v>-2.2253051799999772</v>
      </c>
      <c r="N38">
        <f t="shared" si="5"/>
        <v>-4.797650159999999</v>
      </c>
    </row>
    <row r="39" spans="1:14" x14ac:dyDescent="0.25">
      <c r="A39" t="s">
        <v>81</v>
      </c>
      <c r="B39" t="s">
        <v>82</v>
      </c>
      <c r="C39" t="s">
        <v>51</v>
      </c>
      <c r="D39" t="s">
        <v>245</v>
      </c>
      <c r="E39" t="s">
        <v>250</v>
      </c>
      <c r="F39">
        <f>VLOOKUP(A39,'[3]AUM History Current'!$A:$B,2,FALSE)</f>
        <v>285559369</v>
      </c>
      <c r="G39" s="8">
        <f>IFERROR(VLOOKUP(A39,'[3]Total Flows'!$A$1:$B$129,2,FALSE),"")</f>
        <v>-9165717.5100000035</v>
      </c>
      <c r="H39" s="8">
        <f>VLOOKUP(A39,'[3]Last AUM History '!$A:$B,2,FALSE)</f>
        <v>276712413</v>
      </c>
      <c r="I39">
        <f t="shared" si="0"/>
        <v>276.71241300000003</v>
      </c>
      <c r="J39">
        <f t="shared" si="1"/>
        <v>8846956</v>
      </c>
      <c r="K39" s="9">
        <f t="shared" si="2"/>
        <v>8846956</v>
      </c>
      <c r="L39">
        <f t="shared" si="3"/>
        <v>285.559369</v>
      </c>
      <c r="M39">
        <f t="shared" si="4"/>
        <v>8.8469560000000005</v>
      </c>
      <c r="N39">
        <f t="shared" si="5"/>
        <v>-9.1657175100000039</v>
      </c>
    </row>
    <row r="40" spans="1:14" x14ac:dyDescent="0.25">
      <c r="A40" t="s">
        <v>83</v>
      </c>
      <c r="B40" t="s">
        <v>84</v>
      </c>
      <c r="C40" t="s">
        <v>51</v>
      </c>
      <c r="D40" t="s">
        <v>245</v>
      </c>
      <c r="E40" t="s">
        <v>248</v>
      </c>
      <c r="F40">
        <f>VLOOKUP(A40,'[3]AUM History Current'!$A:$B,2,FALSE)</f>
        <v>44627273</v>
      </c>
      <c r="G40" s="8">
        <f>IFERROR(VLOOKUP(A40,'[3]Total Flows'!$A$1:$B$129,2,FALSE),"")</f>
        <v>-1090320.0699999998</v>
      </c>
      <c r="H40" s="8">
        <f>VLOOKUP(A40,'[3]Last AUM History '!$A:$B,2,FALSE)</f>
        <v>44663645</v>
      </c>
      <c r="I40">
        <f t="shared" si="0"/>
        <v>44.663645000000002</v>
      </c>
      <c r="J40">
        <f t="shared" si="1"/>
        <v>-36372</v>
      </c>
      <c r="K40" s="9">
        <f t="shared" si="2"/>
        <v>-36372</v>
      </c>
      <c r="L40">
        <f t="shared" si="3"/>
        <v>44.627273000000002</v>
      </c>
      <c r="M40">
        <f t="shared" si="4"/>
        <v>-3.6372000000000002E-2</v>
      </c>
      <c r="N40">
        <f t="shared" si="5"/>
        <v>-1.0903200699999998</v>
      </c>
    </row>
    <row r="41" spans="1:14" x14ac:dyDescent="0.25">
      <c r="A41" t="s">
        <v>85</v>
      </c>
      <c r="B41" t="s">
        <v>86</v>
      </c>
      <c r="C41" t="s">
        <v>51</v>
      </c>
      <c r="D41" t="s">
        <v>245</v>
      </c>
      <c r="E41" t="s">
        <v>249</v>
      </c>
      <c r="F41">
        <f>VLOOKUP(A41,'[3]AUM History Current'!$A:$B,2,FALSE)</f>
        <v>29565609</v>
      </c>
      <c r="G41" s="8">
        <f>IFERROR(VLOOKUP(A41,'[3]Total Flows'!$A$1:$B$129,2,FALSE),"")</f>
        <v>-582340.87000000011</v>
      </c>
      <c r="H41" s="8">
        <f>VLOOKUP(A41,'[3]Last AUM History '!$A:$B,2,FALSE)</f>
        <v>29944309</v>
      </c>
      <c r="I41">
        <f t="shared" si="0"/>
        <v>29.944309000000001</v>
      </c>
      <c r="J41">
        <f t="shared" si="1"/>
        <v>-378700</v>
      </c>
      <c r="K41" s="9">
        <f t="shared" si="2"/>
        <v>-378700</v>
      </c>
      <c r="L41">
        <f t="shared" si="3"/>
        <v>29.565608999999998</v>
      </c>
      <c r="M41">
        <f t="shared" si="4"/>
        <v>-0.37869999999999998</v>
      </c>
      <c r="N41">
        <f t="shared" si="5"/>
        <v>-0.58234087000000012</v>
      </c>
    </row>
    <row r="42" spans="1:14" x14ac:dyDescent="0.25">
      <c r="A42" t="s">
        <v>87</v>
      </c>
      <c r="B42" t="s">
        <v>88</v>
      </c>
      <c r="C42" t="s">
        <v>51</v>
      </c>
      <c r="D42" t="s">
        <v>245</v>
      </c>
      <c r="E42" t="s">
        <v>250</v>
      </c>
      <c r="F42">
        <f>VLOOKUP(A42,'[3]AUM History Current'!$A:$B,2,FALSE)</f>
        <v>20473809</v>
      </c>
      <c r="G42" s="8">
        <f>IFERROR(VLOOKUP(A42,'[3]Total Flows'!$A$1:$B$129,2,FALSE),"")</f>
        <v>-438367.10999999993</v>
      </c>
      <c r="H42" s="8">
        <f>VLOOKUP(A42,'[3]Last AUM History '!$A:$B,2,FALSE)</f>
        <v>20364888</v>
      </c>
      <c r="I42">
        <f t="shared" si="0"/>
        <v>20.364888000000001</v>
      </c>
      <c r="J42">
        <f t="shared" si="1"/>
        <v>108921</v>
      </c>
      <c r="K42" s="9">
        <f t="shared" si="2"/>
        <v>108921</v>
      </c>
      <c r="L42">
        <f t="shared" si="3"/>
        <v>20.473808999999999</v>
      </c>
      <c r="M42">
        <f t="shared" si="4"/>
        <v>0.108921</v>
      </c>
      <c r="N42">
        <f t="shared" si="5"/>
        <v>-0.43836710999999995</v>
      </c>
    </row>
    <row r="43" spans="1:14" x14ac:dyDescent="0.25">
      <c r="A43" t="s">
        <v>89</v>
      </c>
      <c r="B43" t="s">
        <v>90</v>
      </c>
      <c r="C43" t="s">
        <v>51</v>
      </c>
      <c r="D43" t="s">
        <v>245</v>
      </c>
      <c r="E43" t="s">
        <v>250</v>
      </c>
      <c r="F43">
        <f>VLOOKUP(A43,'[3]AUM History Current'!$A:$B,2,FALSE)</f>
        <v>1271550</v>
      </c>
      <c r="G43" s="8">
        <f>IFERROR(VLOOKUP(A43,'[3]Total Flows'!$A$1:$B$129,2,FALSE),"")</f>
        <v>-19473.099999999995</v>
      </c>
      <c r="H43" s="8">
        <f>VLOOKUP(A43,'[3]Last AUM History '!$A:$B,2,FALSE)</f>
        <v>1226192</v>
      </c>
      <c r="I43">
        <f t="shared" si="0"/>
        <v>1.2261919999999999</v>
      </c>
      <c r="J43">
        <f t="shared" si="1"/>
        <v>45358</v>
      </c>
      <c r="K43" s="9">
        <f t="shared" si="2"/>
        <v>45358</v>
      </c>
      <c r="L43">
        <f t="shared" si="3"/>
        <v>1.27155</v>
      </c>
      <c r="M43">
        <f t="shared" si="4"/>
        <v>4.5358000000000002E-2</v>
      </c>
      <c r="N43">
        <f t="shared" si="5"/>
        <v>-1.9473099999999993E-2</v>
      </c>
    </row>
    <row r="44" spans="1:14" x14ac:dyDescent="0.25">
      <c r="A44" t="s">
        <v>91</v>
      </c>
      <c r="B44" t="s">
        <v>92</v>
      </c>
      <c r="C44" t="s">
        <v>51</v>
      </c>
      <c r="D44" s="5" t="s">
        <v>245</v>
      </c>
      <c r="E44" t="s">
        <v>248</v>
      </c>
      <c r="F44">
        <f>VLOOKUP(A44,'[3]AUM History Current'!$A:$B,2,FALSE)</f>
        <v>221675</v>
      </c>
      <c r="G44" s="8" t="str">
        <f>IFERROR(VLOOKUP(A44,'[3]Total Flows'!$A$1:$B$129,2,FALSE),"")</f>
        <v/>
      </c>
      <c r="H44" s="8">
        <f>VLOOKUP(A44,'[3]Last AUM History '!$A:$B,2,FALSE)</f>
        <v>215898</v>
      </c>
      <c r="I44">
        <f t="shared" si="0"/>
        <v>0.21589800000000001</v>
      </c>
      <c r="J44">
        <f t="shared" si="1"/>
        <v>5777</v>
      </c>
      <c r="K44" s="9">
        <f t="shared" si="2"/>
        <v>5777</v>
      </c>
      <c r="L44">
        <f t="shared" si="3"/>
        <v>0.22167500000000001</v>
      </c>
      <c r="M44">
        <f t="shared" si="4"/>
        <v>5.777E-3</v>
      </c>
      <c r="N44" t="str">
        <f t="shared" si="5"/>
        <v/>
      </c>
    </row>
    <row r="45" spans="1:14" x14ac:dyDescent="0.25">
      <c r="A45" t="s">
        <v>93</v>
      </c>
      <c r="B45" t="s">
        <v>94</v>
      </c>
      <c r="C45" t="s">
        <v>51</v>
      </c>
      <c r="D45" s="5" t="s">
        <v>245</v>
      </c>
      <c r="E45" t="s">
        <v>249</v>
      </c>
      <c r="F45">
        <f>VLOOKUP(A45,'[3]AUM History Current'!$A:$B,2,FALSE)</f>
        <v>2649</v>
      </c>
      <c r="G45" s="8" t="str">
        <f>IFERROR(VLOOKUP(A45,'[3]Total Flows'!$A$1:$B$129,2,FALSE),"")</f>
        <v/>
      </c>
      <c r="H45" s="8">
        <f>VLOOKUP(A45,'[3]Last AUM History '!$A:$B,2,FALSE)</f>
        <v>2649</v>
      </c>
      <c r="I45">
        <f t="shared" si="0"/>
        <v>2.6489999999999999E-3</v>
      </c>
      <c r="J45">
        <f t="shared" si="1"/>
        <v>0</v>
      </c>
      <c r="K45" s="9">
        <f t="shared" si="2"/>
        <v>0</v>
      </c>
      <c r="L45">
        <f t="shared" si="3"/>
        <v>2.6489999999999999E-3</v>
      </c>
      <c r="M45">
        <f t="shared" si="4"/>
        <v>0</v>
      </c>
      <c r="N45" t="str">
        <f t="shared" si="5"/>
        <v/>
      </c>
    </row>
    <row r="46" spans="1:14" x14ac:dyDescent="0.25">
      <c r="A46" t="s">
        <v>95</v>
      </c>
      <c r="B46" t="s">
        <v>96</v>
      </c>
      <c r="C46" t="s">
        <v>51</v>
      </c>
      <c r="D46" s="5" t="s">
        <v>245</v>
      </c>
      <c r="E46" t="s">
        <v>249</v>
      </c>
      <c r="F46">
        <f>VLOOKUP(A46,'[3]AUM History Current'!$A:$B,2,FALSE)</f>
        <v>82550</v>
      </c>
      <c r="G46" s="8" t="str">
        <f>IFERROR(VLOOKUP(A46,'[3]Total Flows'!$A$1:$B$129,2,FALSE),"")</f>
        <v/>
      </c>
      <c r="H46" s="8">
        <f>VLOOKUP(A46,'[3]Last AUM History '!$A:$B,2,FALSE)</f>
        <v>82952</v>
      </c>
      <c r="I46">
        <f t="shared" si="0"/>
        <v>8.2951999999999998E-2</v>
      </c>
      <c r="J46">
        <f t="shared" si="1"/>
        <v>-402</v>
      </c>
      <c r="K46" s="9">
        <f t="shared" si="2"/>
        <v>-402</v>
      </c>
      <c r="L46">
        <f t="shared" si="3"/>
        <v>8.2549999999999998E-2</v>
      </c>
      <c r="M46">
        <f t="shared" si="4"/>
        <v>-4.0200000000000001E-4</v>
      </c>
      <c r="N46" t="str">
        <f t="shared" si="5"/>
        <v/>
      </c>
    </row>
    <row r="47" spans="1:14" x14ac:dyDescent="0.25">
      <c r="A47" t="s">
        <v>97</v>
      </c>
      <c r="B47" t="s">
        <v>98</v>
      </c>
      <c r="C47" t="s">
        <v>51</v>
      </c>
      <c r="D47" s="5" t="s">
        <v>245</v>
      </c>
      <c r="E47" t="s">
        <v>249</v>
      </c>
      <c r="F47">
        <f>VLOOKUP(A47,'[3]AUM History Current'!$A:$B,2,FALSE)</f>
        <v>78070</v>
      </c>
      <c r="G47" s="8" t="str">
        <f>IFERROR(VLOOKUP(A47,'[3]Total Flows'!$A$1:$B$129,2,FALSE),"")</f>
        <v/>
      </c>
      <c r="H47" s="8">
        <f>VLOOKUP(A47,'[3]Last AUM History '!$A:$B,2,FALSE)</f>
        <v>77392</v>
      </c>
      <c r="I47">
        <f t="shared" si="0"/>
        <v>7.7392000000000002E-2</v>
      </c>
      <c r="J47">
        <f t="shared" si="1"/>
        <v>678</v>
      </c>
      <c r="K47" s="9">
        <f t="shared" si="2"/>
        <v>678</v>
      </c>
      <c r="L47">
        <f t="shared" si="3"/>
        <v>7.8070000000000001E-2</v>
      </c>
      <c r="M47">
        <f t="shared" si="4"/>
        <v>6.78E-4</v>
      </c>
      <c r="N47" t="str">
        <f t="shared" si="5"/>
        <v/>
      </c>
    </row>
    <row r="48" spans="1:14" x14ac:dyDescent="0.25">
      <c r="A48" t="s">
        <v>99</v>
      </c>
      <c r="B48" t="s">
        <v>100</v>
      </c>
      <c r="C48" t="s">
        <v>51</v>
      </c>
      <c r="D48" s="5" t="s">
        <v>245</v>
      </c>
      <c r="E48" t="s">
        <v>250</v>
      </c>
      <c r="F48">
        <f>VLOOKUP(A48,'[3]AUM History Current'!$A:$B,2,FALSE)</f>
        <v>33771</v>
      </c>
      <c r="G48" s="8" t="str">
        <f>IFERROR(VLOOKUP(A48,'[3]Total Flows'!$A$1:$B$129,2,FALSE),"")</f>
        <v/>
      </c>
      <c r="H48" s="8">
        <f>VLOOKUP(A48,'[3]Last AUM History '!$A:$B,2,FALSE)</f>
        <v>33771</v>
      </c>
      <c r="I48">
        <f t="shared" si="0"/>
        <v>3.3771000000000002E-2</v>
      </c>
      <c r="J48">
        <f t="shared" si="1"/>
        <v>0</v>
      </c>
      <c r="K48" s="9">
        <f t="shared" si="2"/>
        <v>0</v>
      </c>
      <c r="L48">
        <f t="shared" si="3"/>
        <v>3.3771000000000002E-2</v>
      </c>
      <c r="M48">
        <f t="shared" si="4"/>
        <v>0</v>
      </c>
      <c r="N48" t="str">
        <f t="shared" si="5"/>
        <v/>
      </c>
    </row>
    <row r="49" spans="1:14" x14ac:dyDescent="0.25">
      <c r="A49" t="s">
        <v>101</v>
      </c>
      <c r="B49" t="s">
        <v>102</v>
      </c>
      <c r="C49" t="s">
        <v>51</v>
      </c>
      <c r="D49" s="5" t="s">
        <v>245</v>
      </c>
      <c r="E49" t="s">
        <v>249</v>
      </c>
      <c r="F49">
        <f>VLOOKUP(A49,'[3]AUM History Current'!$A:$B,2,FALSE)</f>
        <v>23564</v>
      </c>
      <c r="G49" s="8" t="str">
        <f>IFERROR(VLOOKUP(A49,'[3]Total Flows'!$A$1:$B$129,2,FALSE),"")</f>
        <v/>
      </c>
      <c r="H49" s="8">
        <f>VLOOKUP(A49,'[3]Last AUM History '!$A:$B,2,FALSE)</f>
        <v>23564</v>
      </c>
      <c r="I49">
        <f t="shared" si="0"/>
        <v>2.3564000000000002E-2</v>
      </c>
      <c r="J49">
        <f t="shared" si="1"/>
        <v>0</v>
      </c>
      <c r="K49" s="9">
        <f t="shared" si="2"/>
        <v>0</v>
      </c>
      <c r="L49">
        <f t="shared" si="3"/>
        <v>2.3564000000000002E-2</v>
      </c>
      <c r="M49">
        <f t="shared" si="4"/>
        <v>0</v>
      </c>
      <c r="N49" t="str">
        <f t="shared" si="5"/>
        <v/>
      </c>
    </row>
    <row r="50" spans="1:14" x14ac:dyDescent="0.25">
      <c r="A50" t="s">
        <v>103</v>
      </c>
      <c r="B50" t="s">
        <v>104</v>
      </c>
      <c r="C50" t="s">
        <v>51</v>
      </c>
      <c r="D50" t="s">
        <v>245</v>
      </c>
      <c r="E50" t="s">
        <v>249</v>
      </c>
      <c r="F50">
        <f>VLOOKUP(A50,'[3]AUM History Current'!$A:$B,2,FALSE)</f>
        <v>85892136</v>
      </c>
      <c r="G50" s="8">
        <f>IFERROR(VLOOKUP(A50,'[3]Total Flows'!$A$1:$B$129,2,FALSE),"")</f>
        <v>-4021916.1300000008</v>
      </c>
      <c r="H50" s="8">
        <f>VLOOKUP(A50,'[3]Last AUM History '!$A:$B,2,FALSE)</f>
        <v>89492990</v>
      </c>
      <c r="I50">
        <f t="shared" si="0"/>
        <v>89.492990000000006</v>
      </c>
      <c r="J50">
        <f t="shared" si="1"/>
        <v>-3600854</v>
      </c>
      <c r="K50" s="9">
        <f t="shared" si="2"/>
        <v>-3600854</v>
      </c>
      <c r="L50">
        <f t="shared" si="3"/>
        <v>85.892135999999994</v>
      </c>
      <c r="M50">
        <f t="shared" si="4"/>
        <v>-3.600854</v>
      </c>
      <c r="N50">
        <f t="shared" si="5"/>
        <v>-4.021916130000001</v>
      </c>
    </row>
    <row r="51" spans="1:14" x14ac:dyDescent="0.25">
      <c r="A51" t="s">
        <v>105</v>
      </c>
      <c r="B51" t="s">
        <v>106</v>
      </c>
      <c r="C51" t="s">
        <v>51</v>
      </c>
      <c r="D51" t="s">
        <v>245</v>
      </c>
      <c r="E51" t="s">
        <v>262</v>
      </c>
      <c r="F51">
        <f>VLOOKUP(A51,'[3]AUM History Current'!$A:$B,2,FALSE)</f>
        <v>24629869</v>
      </c>
      <c r="G51" s="8">
        <f>IFERROR(VLOOKUP(A51,'[3]Total Flows'!$A$1:$B$129,2,FALSE),"")</f>
        <v>-1046265.4699999995</v>
      </c>
      <c r="H51" s="8">
        <f>VLOOKUP(A51,'[3]Last AUM History '!$A:$B,2,FALSE)</f>
        <v>25631869</v>
      </c>
      <c r="I51">
        <f t="shared" si="0"/>
        <v>25.631868999999998</v>
      </c>
      <c r="J51">
        <f t="shared" si="1"/>
        <v>-1002000</v>
      </c>
      <c r="K51" s="9">
        <f t="shared" si="2"/>
        <v>-1002000</v>
      </c>
      <c r="L51">
        <f t="shared" si="3"/>
        <v>24.629868999999999</v>
      </c>
      <c r="M51">
        <f t="shared" si="4"/>
        <v>-1.002</v>
      </c>
      <c r="N51">
        <f t="shared" si="5"/>
        <v>-1.0462654699999996</v>
      </c>
    </row>
    <row r="52" spans="1:14" x14ac:dyDescent="0.25">
      <c r="A52" t="s">
        <v>107</v>
      </c>
      <c r="B52" t="s">
        <v>108</v>
      </c>
      <c r="C52" t="s">
        <v>51</v>
      </c>
      <c r="D52" t="s">
        <v>245</v>
      </c>
      <c r="E52" t="s">
        <v>249</v>
      </c>
      <c r="F52">
        <f>VLOOKUP(A52,'[3]AUM History Current'!$A:$B,2,FALSE)</f>
        <v>91723046</v>
      </c>
      <c r="G52" s="8">
        <f>IFERROR(VLOOKUP(A52,'[3]Total Flows'!$A$1:$B$129,2,FALSE),"")</f>
        <v>-681275.55000000063</v>
      </c>
      <c r="H52" s="8">
        <f>VLOOKUP(A52,'[3]Last AUM History '!$A:$B,2,FALSE)</f>
        <v>91452737</v>
      </c>
      <c r="I52">
        <f t="shared" si="0"/>
        <v>91.452736999999999</v>
      </c>
      <c r="J52">
        <f t="shared" si="1"/>
        <v>270309</v>
      </c>
      <c r="K52" s="9">
        <f t="shared" si="2"/>
        <v>270309</v>
      </c>
      <c r="L52">
        <f t="shared" si="3"/>
        <v>91.723045999999997</v>
      </c>
      <c r="M52">
        <f t="shared" si="4"/>
        <v>0.27030900000000002</v>
      </c>
      <c r="N52">
        <f t="shared" si="5"/>
        <v>-0.68127555000000062</v>
      </c>
    </row>
    <row r="53" spans="1:14" x14ac:dyDescent="0.25">
      <c r="A53" t="s">
        <v>109</v>
      </c>
      <c r="B53" t="s">
        <v>110</v>
      </c>
      <c r="C53" t="s">
        <v>51</v>
      </c>
      <c r="D53" t="s">
        <v>245</v>
      </c>
      <c r="E53" t="s">
        <v>262</v>
      </c>
      <c r="F53">
        <f>VLOOKUP(A53,'[3]AUM History Current'!$A:$B,2,FALSE)</f>
        <v>33403855</v>
      </c>
      <c r="G53" s="8">
        <f>IFERROR(VLOOKUP(A53,'[3]Total Flows'!$A$1:$B$129,2,FALSE),"")</f>
        <v>-374930.32999999996</v>
      </c>
      <c r="H53" s="8">
        <f>VLOOKUP(A53,'[3]Last AUM History '!$A:$B,2,FALSE)</f>
        <v>33951455</v>
      </c>
      <c r="I53">
        <f t="shared" si="0"/>
        <v>33.951455000000003</v>
      </c>
      <c r="J53">
        <f t="shared" si="1"/>
        <v>-547600</v>
      </c>
      <c r="K53" s="9">
        <f t="shared" si="2"/>
        <v>-547600</v>
      </c>
      <c r="L53">
        <f t="shared" si="3"/>
        <v>33.403855</v>
      </c>
      <c r="M53">
        <f t="shared" si="4"/>
        <v>-0.54759999999999998</v>
      </c>
      <c r="N53">
        <f t="shared" si="5"/>
        <v>-0.37493032999999998</v>
      </c>
    </row>
    <row r="54" spans="1:14" x14ac:dyDescent="0.25">
      <c r="A54" t="s">
        <v>111</v>
      </c>
      <c r="B54" t="s">
        <v>112</v>
      </c>
      <c r="C54" t="s">
        <v>51</v>
      </c>
      <c r="D54" t="s">
        <v>245</v>
      </c>
      <c r="E54" t="s">
        <v>248</v>
      </c>
      <c r="F54">
        <f>VLOOKUP(A54,'[3]AUM History Current'!$A:$B,2,FALSE)</f>
        <v>10452786</v>
      </c>
      <c r="G54" s="8">
        <f>IFERROR(VLOOKUP(A54,'[3]Total Flows'!$A$1:$B$129,2,FALSE),"")</f>
        <v>-613628.77</v>
      </c>
      <c r="H54" s="8">
        <f>VLOOKUP(A54,'[3]Last AUM History '!$A:$B,2,FALSE)</f>
        <v>11114645</v>
      </c>
      <c r="I54">
        <f t="shared" si="0"/>
        <v>11.114644999999999</v>
      </c>
      <c r="J54">
        <f t="shared" si="1"/>
        <v>-661859</v>
      </c>
      <c r="K54" s="9">
        <f t="shared" si="2"/>
        <v>-661859</v>
      </c>
      <c r="L54">
        <f t="shared" si="3"/>
        <v>10.452786</v>
      </c>
      <c r="M54">
        <f t="shared" si="4"/>
        <v>-0.66185899999999998</v>
      </c>
      <c r="N54">
        <f t="shared" si="5"/>
        <v>-0.61362877000000005</v>
      </c>
    </row>
    <row r="55" spans="1:14" x14ac:dyDescent="0.25">
      <c r="A55" t="s">
        <v>113</v>
      </c>
      <c r="B55" t="s">
        <v>114</v>
      </c>
      <c r="C55" t="s">
        <v>51</v>
      </c>
      <c r="D55" t="s">
        <v>245</v>
      </c>
      <c r="E55" t="s">
        <v>248</v>
      </c>
      <c r="F55">
        <f>VLOOKUP(A55,'[3]AUM History Current'!$A:$B,2,FALSE)</f>
        <v>17094216</v>
      </c>
      <c r="G55" s="8">
        <f>IFERROR(VLOOKUP(A55,'[3]Total Flows'!$A$1:$B$129,2,FALSE),"")</f>
        <v>-583424.84</v>
      </c>
      <c r="H55" s="8">
        <f>VLOOKUP(A55,'[3]Last AUM History '!$A:$B,2,FALSE)</f>
        <v>17726631</v>
      </c>
      <c r="I55">
        <f t="shared" si="0"/>
        <v>17.726631000000001</v>
      </c>
      <c r="J55">
        <f t="shared" si="1"/>
        <v>-632415</v>
      </c>
      <c r="K55" s="9">
        <f t="shared" si="2"/>
        <v>-632415</v>
      </c>
      <c r="L55">
        <f t="shared" si="3"/>
        <v>17.094215999999999</v>
      </c>
      <c r="M55">
        <f t="shared" si="4"/>
        <v>-0.63241499999999995</v>
      </c>
      <c r="N55">
        <f t="shared" si="5"/>
        <v>-0.58342483999999994</v>
      </c>
    </row>
    <row r="56" spans="1:14" x14ac:dyDescent="0.25">
      <c r="A56" t="s">
        <v>115</v>
      </c>
      <c r="B56" t="s">
        <v>116</v>
      </c>
      <c r="C56" t="s">
        <v>51</v>
      </c>
      <c r="D56" t="s">
        <v>245</v>
      </c>
      <c r="E56" t="s">
        <v>250</v>
      </c>
      <c r="F56">
        <f>VLOOKUP(A56,'[3]AUM History Current'!$A:$B,2,FALSE)</f>
        <v>18008125</v>
      </c>
      <c r="G56" s="8">
        <f>IFERROR(VLOOKUP(A56,'[3]Total Flows'!$A$1:$B$129,2,FALSE),"")</f>
        <v>-1021042.99</v>
      </c>
      <c r="H56" s="8">
        <f>VLOOKUP(A56,'[3]Last AUM History '!$A:$B,2,FALSE)</f>
        <v>19013976</v>
      </c>
      <c r="I56">
        <f t="shared" si="0"/>
        <v>19.013976</v>
      </c>
      <c r="J56">
        <f t="shared" si="1"/>
        <v>-1005851</v>
      </c>
      <c r="K56" s="9">
        <f t="shared" si="2"/>
        <v>-1005851</v>
      </c>
      <c r="L56">
        <f t="shared" si="3"/>
        <v>18.008125</v>
      </c>
      <c r="M56">
        <f t="shared" si="4"/>
        <v>-1.0058510000000001</v>
      </c>
      <c r="N56">
        <f t="shared" si="5"/>
        <v>-1.02104299</v>
      </c>
    </row>
    <row r="57" spans="1:14" x14ac:dyDescent="0.25">
      <c r="A57" t="s">
        <v>117</v>
      </c>
      <c r="B57" t="s">
        <v>118</v>
      </c>
      <c r="C57" t="s">
        <v>51</v>
      </c>
      <c r="D57" t="s">
        <v>245</v>
      </c>
      <c r="E57" t="s">
        <v>249</v>
      </c>
      <c r="F57">
        <f>VLOOKUP(A57,'[3]AUM History Current'!$A:$B,2,FALSE)</f>
        <v>11960594</v>
      </c>
      <c r="G57" s="8">
        <f>IFERROR(VLOOKUP(A57,'[3]Total Flows'!$A$1:$B$129,2,FALSE),"")</f>
        <v>-669861.18999999994</v>
      </c>
      <c r="H57" s="8">
        <f>VLOOKUP(A57,'[3]Last AUM History '!$A:$B,2,FALSE)</f>
        <v>12689996</v>
      </c>
      <c r="I57">
        <f t="shared" si="0"/>
        <v>12.689996000000001</v>
      </c>
      <c r="J57">
        <f t="shared" si="1"/>
        <v>-729402</v>
      </c>
      <c r="K57" s="9">
        <f t="shared" si="2"/>
        <v>-729402</v>
      </c>
      <c r="L57">
        <f t="shared" si="3"/>
        <v>11.960594</v>
      </c>
      <c r="M57">
        <f t="shared" si="4"/>
        <v>-0.72940199999999999</v>
      </c>
      <c r="N57">
        <f t="shared" si="5"/>
        <v>-0.66986119</v>
      </c>
    </row>
    <row r="58" spans="1:14" x14ac:dyDescent="0.25">
      <c r="A58" t="s">
        <v>119</v>
      </c>
      <c r="B58" t="s">
        <v>120</v>
      </c>
      <c r="C58" t="s">
        <v>51</v>
      </c>
      <c r="D58" t="s">
        <v>245</v>
      </c>
      <c r="E58" t="s">
        <v>249</v>
      </c>
      <c r="F58">
        <f>VLOOKUP(A58,'[3]AUM History Current'!$A:$B,2,FALSE)</f>
        <v>15473269</v>
      </c>
      <c r="G58" s="8">
        <f>IFERROR(VLOOKUP(A58,'[3]Total Flows'!$A$1:$B$129,2,FALSE),"")</f>
        <v>-660271.08999999985</v>
      </c>
      <c r="H58" s="8">
        <f>VLOOKUP(A58,'[3]Last AUM History '!$A:$B,2,FALSE)</f>
        <v>16167560</v>
      </c>
      <c r="I58">
        <f t="shared" si="0"/>
        <v>16.167560000000002</v>
      </c>
      <c r="J58">
        <f t="shared" si="1"/>
        <v>-694291</v>
      </c>
      <c r="K58" s="9">
        <f t="shared" si="2"/>
        <v>-694291</v>
      </c>
      <c r="L58">
        <f t="shared" si="3"/>
        <v>15.473269</v>
      </c>
      <c r="M58">
        <f t="shared" si="4"/>
        <v>-0.69429099999999999</v>
      </c>
      <c r="N58">
        <f t="shared" si="5"/>
        <v>-0.66027108999999984</v>
      </c>
    </row>
    <row r="59" spans="1:14" x14ac:dyDescent="0.25">
      <c r="A59" t="s">
        <v>121</v>
      </c>
      <c r="B59" t="s">
        <v>122</v>
      </c>
      <c r="C59" t="s">
        <v>51</v>
      </c>
      <c r="D59" t="s">
        <v>245</v>
      </c>
      <c r="E59" t="s">
        <v>248</v>
      </c>
      <c r="F59">
        <f>VLOOKUP(A59,'[3]AUM History Current'!$A:$B,2,FALSE)</f>
        <v>1357354</v>
      </c>
      <c r="G59" s="8">
        <f>IFERROR(VLOOKUP(A59,'[3]Total Flows'!$A$1:$B$129,2,FALSE),"")</f>
        <v>-8576.35</v>
      </c>
      <c r="H59" s="8">
        <f>VLOOKUP(A59,'[3]Last AUM History '!$A:$B,2,FALSE)</f>
        <v>1364632</v>
      </c>
      <c r="I59">
        <f t="shared" si="0"/>
        <v>1.3646320000000001</v>
      </c>
      <c r="J59">
        <f t="shared" si="1"/>
        <v>-7278</v>
      </c>
      <c r="K59" s="9">
        <f t="shared" si="2"/>
        <v>-7278</v>
      </c>
      <c r="L59">
        <f t="shared" si="3"/>
        <v>1.3573539999999999</v>
      </c>
      <c r="M59">
        <f t="shared" si="4"/>
        <v>-7.2779999999999997E-3</v>
      </c>
      <c r="N59">
        <f t="shared" si="5"/>
        <v>-8.5763499999999999E-3</v>
      </c>
    </row>
    <row r="60" spans="1:14" x14ac:dyDescent="0.25">
      <c r="A60" t="s">
        <v>123</v>
      </c>
      <c r="B60" t="s">
        <v>124</v>
      </c>
      <c r="C60" t="s">
        <v>51</v>
      </c>
      <c r="D60" t="s">
        <v>245</v>
      </c>
      <c r="E60" t="s">
        <v>248</v>
      </c>
      <c r="F60">
        <f>VLOOKUP(A60,'[3]AUM History Current'!$A:$B,2,FALSE)</f>
        <v>26842216</v>
      </c>
      <c r="G60" s="8">
        <f>IFERROR(VLOOKUP(A60,'[3]Total Flows'!$A$1:$B$129,2,FALSE),"")</f>
        <v>-121085.93000000005</v>
      </c>
      <c r="H60" s="8">
        <f>VLOOKUP(A60,'[3]Last AUM History '!$A:$B,2,FALSE)</f>
        <v>26955727</v>
      </c>
      <c r="I60">
        <f t="shared" si="0"/>
        <v>26.955727</v>
      </c>
      <c r="J60">
        <f t="shared" si="1"/>
        <v>-113511</v>
      </c>
      <c r="K60" s="9">
        <f t="shared" si="2"/>
        <v>-113511</v>
      </c>
      <c r="L60">
        <f t="shared" si="3"/>
        <v>26.842216000000001</v>
      </c>
      <c r="M60">
        <f t="shared" si="4"/>
        <v>-0.113511</v>
      </c>
      <c r="N60">
        <f t="shared" si="5"/>
        <v>-0.12108593000000005</v>
      </c>
    </row>
    <row r="61" spans="1:14" x14ac:dyDescent="0.25">
      <c r="A61" t="s">
        <v>125</v>
      </c>
      <c r="B61" t="s">
        <v>126</v>
      </c>
      <c r="C61" t="s">
        <v>51</v>
      </c>
      <c r="D61" t="s">
        <v>245</v>
      </c>
      <c r="E61" t="s">
        <v>248</v>
      </c>
      <c r="F61">
        <f>VLOOKUP(A61,'[3]AUM History Current'!$A:$B,2,FALSE)</f>
        <v>792796</v>
      </c>
      <c r="G61" s="8">
        <f>IFERROR(VLOOKUP(A61,'[3]Total Flows'!$A$1:$B$129,2,FALSE),"")</f>
        <v>-3668.2900000000009</v>
      </c>
      <c r="H61" s="8">
        <f>VLOOKUP(A61,'[3]Last AUM History '!$A:$B,2,FALSE)</f>
        <v>794524</v>
      </c>
      <c r="I61">
        <f t="shared" si="0"/>
        <v>0.79452400000000001</v>
      </c>
      <c r="J61">
        <f t="shared" si="1"/>
        <v>-1728</v>
      </c>
      <c r="K61" s="9">
        <f t="shared" si="2"/>
        <v>-1728</v>
      </c>
      <c r="L61">
        <f t="shared" si="3"/>
        <v>0.79279599999999995</v>
      </c>
      <c r="M61">
        <f t="shared" si="4"/>
        <v>-1.7279999999999999E-3</v>
      </c>
      <c r="N61">
        <f t="shared" si="5"/>
        <v>-3.6682900000000007E-3</v>
      </c>
    </row>
    <row r="62" spans="1:14" x14ac:dyDescent="0.25">
      <c r="A62" t="s">
        <v>127</v>
      </c>
      <c r="B62" t="s">
        <v>128</v>
      </c>
      <c r="C62" t="s">
        <v>51</v>
      </c>
      <c r="D62" t="s">
        <v>245</v>
      </c>
      <c r="E62" t="s">
        <v>262</v>
      </c>
      <c r="F62">
        <f>VLOOKUP(A62,'[3]AUM History Current'!$A:$B,2,FALSE)</f>
        <v>12222309</v>
      </c>
      <c r="G62" s="8">
        <f>IFERROR(VLOOKUP(A62,'[3]Total Flows'!$A$1:$B$129,2,FALSE),"")</f>
        <v>-666860.46999999962</v>
      </c>
      <c r="H62" s="8">
        <f>VLOOKUP(A62,'[3]Last AUM History '!$A:$B,2,FALSE)</f>
        <v>12897265</v>
      </c>
      <c r="I62">
        <f t="shared" si="0"/>
        <v>12.897265000000001</v>
      </c>
      <c r="J62">
        <f t="shared" si="1"/>
        <v>-674956</v>
      </c>
      <c r="K62" s="9">
        <f t="shared" si="2"/>
        <v>-674956</v>
      </c>
      <c r="L62">
        <f t="shared" si="3"/>
        <v>12.222308999999999</v>
      </c>
      <c r="M62">
        <f t="shared" si="4"/>
        <v>-0.674956</v>
      </c>
      <c r="N62">
        <f t="shared" si="5"/>
        <v>-0.66686046999999959</v>
      </c>
    </row>
    <row r="63" spans="1:14" x14ac:dyDescent="0.25">
      <c r="A63" t="s">
        <v>129</v>
      </c>
      <c r="B63" t="s">
        <v>130</v>
      </c>
      <c r="C63" t="s">
        <v>51</v>
      </c>
      <c r="D63" t="s">
        <v>245</v>
      </c>
      <c r="E63" t="s">
        <v>248</v>
      </c>
      <c r="F63">
        <f>VLOOKUP(A63,'[3]AUM History Current'!$A:$B,2,FALSE)</f>
        <v>253822</v>
      </c>
      <c r="G63" s="8">
        <f>IFERROR(VLOOKUP(A63,'[3]Total Flows'!$A$1:$B$129,2,FALSE),"")</f>
        <v>-17807.07</v>
      </c>
      <c r="H63" s="8">
        <f>VLOOKUP(A63,'[3]Last AUM History '!$A:$B,2,FALSE)</f>
        <v>272765</v>
      </c>
      <c r="I63">
        <f t="shared" si="0"/>
        <v>0.27276499999999998</v>
      </c>
      <c r="J63">
        <f t="shared" si="1"/>
        <v>-18943</v>
      </c>
      <c r="K63" s="9">
        <f t="shared" si="2"/>
        <v>-18943</v>
      </c>
      <c r="L63">
        <f t="shared" si="3"/>
        <v>0.25382199999999999</v>
      </c>
      <c r="M63">
        <f t="shared" si="4"/>
        <v>-1.8943000000000002E-2</v>
      </c>
      <c r="N63">
        <f t="shared" si="5"/>
        <v>-1.7807070000000001E-2</v>
      </c>
    </row>
    <row r="64" spans="1:14" x14ac:dyDescent="0.25">
      <c r="A64" t="s">
        <v>131</v>
      </c>
      <c r="B64" t="s">
        <v>132</v>
      </c>
      <c r="C64" t="s">
        <v>51</v>
      </c>
      <c r="D64" t="s">
        <v>245</v>
      </c>
      <c r="E64" t="s">
        <v>249</v>
      </c>
      <c r="F64">
        <f>VLOOKUP(A64,'[3]AUM History Current'!$A:$B,2,FALSE)</f>
        <v>7589779</v>
      </c>
      <c r="G64" s="8">
        <f>IFERROR(VLOOKUP(A64,'[3]Total Flows'!$A$1:$B$129,2,FALSE),"")</f>
        <v>-372502.52999999991</v>
      </c>
      <c r="H64" s="8">
        <f>VLOOKUP(A64,'[3]Last AUM History '!$A:$B,2,FALSE)</f>
        <v>7920799</v>
      </c>
      <c r="I64">
        <f t="shared" si="0"/>
        <v>7.9207989999999997</v>
      </c>
      <c r="J64">
        <f t="shared" si="1"/>
        <v>-331020</v>
      </c>
      <c r="K64" s="9">
        <f t="shared" si="2"/>
        <v>-331020</v>
      </c>
      <c r="L64">
        <f t="shared" si="3"/>
        <v>7.5897790000000001</v>
      </c>
      <c r="M64">
        <f t="shared" si="4"/>
        <v>-0.33101999999999998</v>
      </c>
      <c r="N64">
        <f t="shared" si="5"/>
        <v>-0.37250252999999989</v>
      </c>
    </row>
    <row r="65" spans="1:14" x14ac:dyDescent="0.25">
      <c r="A65" t="s">
        <v>133</v>
      </c>
      <c r="B65" t="s">
        <v>134</v>
      </c>
      <c r="C65" t="s">
        <v>51</v>
      </c>
      <c r="D65" t="s">
        <v>245</v>
      </c>
      <c r="E65" t="s">
        <v>249</v>
      </c>
      <c r="F65">
        <f>VLOOKUP(A65,'[3]AUM History Current'!$A:$B,2,FALSE)</f>
        <v>72177481</v>
      </c>
      <c r="G65" s="8">
        <f>IFERROR(VLOOKUP(A65,'[3]Total Flows'!$A$1:$B$129,2,FALSE),"")</f>
        <v>-1318530.4800000007</v>
      </c>
      <c r="H65" s="8">
        <f>VLOOKUP(A65,'[3]Last AUM History '!$A:$B,2,FALSE)</f>
        <v>73864832</v>
      </c>
      <c r="I65">
        <f t="shared" si="0"/>
        <v>73.864832000000007</v>
      </c>
      <c r="J65">
        <f t="shared" si="1"/>
        <v>-1687351</v>
      </c>
      <c r="K65" s="9">
        <f t="shared" si="2"/>
        <v>-1687351</v>
      </c>
      <c r="L65">
        <f t="shared" si="3"/>
        <v>72.177481</v>
      </c>
      <c r="M65">
        <f t="shared" si="4"/>
        <v>-1.687351</v>
      </c>
      <c r="N65">
        <f t="shared" si="5"/>
        <v>-1.3185304800000006</v>
      </c>
    </row>
    <row r="66" spans="1:14" x14ac:dyDescent="0.25">
      <c r="A66" t="s">
        <v>135</v>
      </c>
      <c r="B66" t="s">
        <v>136</v>
      </c>
      <c r="C66" t="s">
        <v>51</v>
      </c>
      <c r="D66" t="s">
        <v>245</v>
      </c>
      <c r="E66" t="s">
        <v>248</v>
      </c>
      <c r="F66">
        <f>VLOOKUP(A66,'[3]AUM History Current'!$A:$B,2,FALSE)</f>
        <v>63929232</v>
      </c>
      <c r="G66" s="8">
        <f>IFERROR(VLOOKUP(A66,'[3]Total Flows'!$A$1:$B$129,2,FALSE),"")</f>
        <v>-1553900.2200000004</v>
      </c>
      <c r="H66" s="8">
        <f>VLOOKUP(A66,'[3]Last AUM History '!$A:$B,2,FALSE)</f>
        <v>65910670</v>
      </c>
      <c r="I66">
        <f t="shared" si="0"/>
        <v>65.910669999999996</v>
      </c>
      <c r="J66">
        <f t="shared" si="1"/>
        <v>-1981438</v>
      </c>
      <c r="K66" s="9">
        <f t="shared" si="2"/>
        <v>-1981438</v>
      </c>
      <c r="L66">
        <f t="shared" si="3"/>
        <v>63.929231999999999</v>
      </c>
      <c r="M66">
        <f t="shared" si="4"/>
        <v>-1.981438</v>
      </c>
      <c r="N66">
        <f t="shared" si="5"/>
        <v>-1.5539002200000005</v>
      </c>
    </row>
    <row r="67" spans="1:14" x14ac:dyDescent="0.25">
      <c r="A67" t="s">
        <v>137</v>
      </c>
      <c r="B67" t="s">
        <v>138</v>
      </c>
      <c r="C67" t="s">
        <v>51</v>
      </c>
      <c r="D67" t="s">
        <v>245</v>
      </c>
      <c r="E67" t="s">
        <v>250</v>
      </c>
      <c r="F67">
        <f>VLOOKUP(A67,'[3]AUM History Current'!$A:$B,2,FALSE)</f>
        <v>127936118</v>
      </c>
      <c r="G67" s="8">
        <f>IFERROR(VLOOKUP(A67,'[3]Total Flows'!$A$1:$B$129,2,FALSE),"")</f>
        <v>-2254054.9899999993</v>
      </c>
      <c r="H67" s="8">
        <f>VLOOKUP(A67,'[3]Last AUM History '!$A:$B,2,FALSE)</f>
        <v>132733973</v>
      </c>
      <c r="I67">
        <f t="shared" ref="I67:I121" si="6">+H67/1000000</f>
        <v>132.73397299999999</v>
      </c>
      <c r="J67">
        <f t="shared" ref="J67:J121" si="7">+IF(OR(A67="HF11",A67="PACIFAI"),0,IF(A67="MUSG",F67-H67/2,F67-H67))</f>
        <v>-4797855</v>
      </c>
      <c r="K67" s="9">
        <f t="shared" ref="K67:K121" si="8">+IF(ISNA(J67),0,J67)</f>
        <v>-4797855</v>
      </c>
      <c r="L67">
        <f t="shared" ref="L67:L121" si="9">F67/1000000</f>
        <v>127.93611799999999</v>
      </c>
      <c r="M67">
        <f t="shared" ref="M67:M121" si="10">K67/1000000</f>
        <v>-4.7978550000000002</v>
      </c>
      <c r="N67">
        <f t="shared" ref="N67:N121" si="11">IFERROR(G67/1000000,"")</f>
        <v>-2.2540549899999993</v>
      </c>
    </row>
    <row r="68" spans="1:14" x14ac:dyDescent="0.25">
      <c r="A68" t="s">
        <v>139</v>
      </c>
      <c r="B68" t="s">
        <v>140</v>
      </c>
      <c r="C68" t="s">
        <v>51</v>
      </c>
      <c r="D68" t="s">
        <v>245</v>
      </c>
      <c r="E68" t="s">
        <v>250</v>
      </c>
      <c r="F68">
        <f>VLOOKUP(A68,'[3]AUM History Current'!$A:$B,2,FALSE)</f>
        <v>410470</v>
      </c>
      <c r="G68" s="8">
        <f>IFERROR(VLOOKUP(A68,'[3]Total Flows'!$A$1:$B$129,2,FALSE),"")</f>
        <v>-681.71</v>
      </c>
      <c r="H68" s="8">
        <f>VLOOKUP(A68,'[3]Last AUM History '!$A:$B,2,FALSE)</f>
        <v>406916</v>
      </c>
      <c r="I68">
        <f t="shared" si="6"/>
        <v>0.406916</v>
      </c>
      <c r="J68">
        <f t="shared" si="7"/>
        <v>3554</v>
      </c>
      <c r="K68" s="9">
        <f t="shared" si="8"/>
        <v>3554</v>
      </c>
      <c r="L68">
        <f t="shared" si="9"/>
        <v>0.41047</v>
      </c>
      <c r="M68">
        <f t="shared" si="10"/>
        <v>3.5539999999999999E-3</v>
      </c>
      <c r="N68">
        <f t="shared" si="11"/>
        <v>-6.8171000000000008E-4</v>
      </c>
    </row>
    <row r="69" spans="1:14" x14ac:dyDescent="0.25">
      <c r="A69" t="s">
        <v>141</v>
      </c>
      <c r="B69" t="s">
        <v>142</v>
      </c>
      <c r="C69" t="s">
        <v>51</v>
      </c>
      <c r="D69" t="s">
        <v>245</v>
      </c>
      <c r="E69" t="s">
        <v>250</v>
      </c>
      <c r="F69">
        <f>VLOOKUP(A69,'[3]AUM History Current'!$A:$B,2,FALSE)</f>
        <v>395210</v>
      </c>
      <c r="G69" s="8">
        <f>IFERROR(VLOOKUP(A69,'[3]Total Flows'!$A$1:$B$129,2,FALSE),"")</f>
        <v>-1323.01</v>
      </c>
      <c r="H69" s="8">
        <f>VLOOKUP(A69,'[3]Last AUM History '!$A:$B,2,FALSE)</f>
        <v>393174</v>
      </c>
      <c r="I69">
        <f t="shared" si="6"/>
        <v>0.39317400000000002</v>
      </c>
      <c r="J69">
        <f t="shared" si="7"/>
        <v>2036</v>
      </c>
      <c r="K69" s="9">
        <f t="shared" si="8"/>
        <v>2036</v>
      </c>
      <c r="L69">
        <f t="shared" si="9"/>
        <v>0.39521000000000001</v>
      </c>
      <c r="M69">
        <f t="shared" si="10"/>
        <v>2.036E-3</v>
      </c>
      <c r="N69">
        <f t="shared" si="11"/>
        <v>-1.3230099999999999E-3</v>
      </c>
    </row>
    <row r="70" spans="1:14" x14ac:dyDescent="0.25">
      <c r="A70" t="s">
        <v>143</v>
      </c>
      <c r="B70" t="s">
        <v>144</v>
      </c>
      <c r="C70" t="s">
        <v>51</v>
      </c>
      <c r="D70" t="s">
        <v>245</v>
      </c>
      <c r="E70" t="s">
        <v>249</v>
      </c>
      <c r="F70">
        <f>VLOOKUP(A70,'[3]AUM History Current'!$A:$B,2,FALSE)</f>
        <v>1061075</v>
      </c>
      <c r="G70" s="8">
        <f>IFERROR(VLOOKUP(A70,'[3]Total Flows'!$A$1:$B$129,2,FALSE),"")</f>
        <v>-182908.58999999997</v>
      </c>
      <c r="H70" s="8">
        <f>VLOOKUP(A70,'[3]Last AUM History '!$A:$B,2,FALSE)</f>
        <v>1249574</v>
      </c>
      <c r="I70">
        <f t="shared" si="6"/>
        <v>1.249574</v>
      </c>
      <c r="J70">
        <f t="shared" si="7"/>
        <v>-188499</v>
      </c>
      <c r="K70" s="9">
        <f t="shared" si="8"/>
        <v>-188499</v>
      </c>
      <c r="L70">
        <f t="shared" si="9"/>
        <v>1.061075</v>
      </c>
      <c r="M70">
        <f t="shared" si="10"/>
        <v>-0.188499</v>
      </c>
      <c r="N70">
        <f t="shared" si="11"/>
        <v>-0.18290858999999995</v>
      </c>
    </row>
    <row r="71" spans="1:14" x14ac:dyDescent="0.25">
      <c r="A71" t="s">
        <v>145</v>
      </c>
      <c r="B71" t="s">
        <v>146</v>
      </c>
      <c r="C71" t="s">
        <v>51</v>
      </c>
      <c r="D71" t="s">
        <v>245</v>
      </c>
      <c r="E71" t="s">
        <v>262</v>
      </c>
      <c r="F71">
        <f>VLOOKUP(A71,'[3]AUM History Current'!$A:$B,2,FALSE)</f>
        <v>22871133</v>
      </c>
      <c r="G71" s="8">
        <f>IFERROR(VLOOKUP(A71,'[3]Total Flows'!$A$1:$B$129,2,FALSE),"")</f>
        <v>-1748491.5399999989</v>
      </c>
      <c r="H71" s="8">
        <f>VLOOKUP(A71,'[3]Last AUM History '!$A:$B,2,FALSE)</f>
        <v>24509694</v>
      </c>
      <c r="I71">
        <f t="shared" si="6"/>
        <v>24.509694</v>
      </c>
      <c r="J71">
        <f t="shared" si="7"/>
        <v>-1638561</v>
      </c>
      <c r="K71" s="9">
        <f t="shared" si="8"/>
        <v>-1638561</v>
      </c>
      <c r="L71">
        <f t="shared" si="9"/>
        <v>22.871133</v>
      </c>
      <c r="M71">
        <f t="shared" si="10"/>
        <v>-1.6385609999999999</v>
      </c>
      <c r="N71">
        <f t="shared" si="11"/>
        <v>-1.748491539999999</v>
      </c>
    </row>
    <row r="72" spans="1:14" x14ac:dyDescent="0.25">
      <c r="A72" t="s">
        <v>147</v>
      </c>
      <c r="B72" t="s">
        <v>148</v>
      </c>
      <c r="C72" t="s">
        <v>51</v>
      </c>
      <c r="D72" t="s">
        <v>245</v>
      </c>
      <c r="E72" t="s">
        <v>262</v>
      </c>
      <c r="F72">
        <f>VLOOKUP(A72,'[3]AUM History Current'!$A:$B,2,FALSE)</f>
        <v>232909856</v>
      </c>
      <c r="G72" s="8">
        <f>IFERROR(VLOOKUP(A72,'[3]Total Flows'!$A$1:$B$129,2,FALSE),"")</f>
        <v>-18124426.240000021</v>
      </c>
      <c r="H72" s="8">
        <f>VLOOKUP(A72,'[3]Last AUM History '!$A:$B,2,FALSE)</f>
        <v>250680875</v>
      </c>
      <c r="I72">
        <f t="shared" si="6"/>
        <v>250.68087499999999</v>
      </c>
      <c r="J72">
        <f t="shared" si="7"/>
        <v>-17771019</v>
      </c>
      <c r="K72" s="9">
        <f t="shared" si="8"/>
        <v>-17771019</v>
      </c>
      <c r="L72">
        <f t="shared" si="9"/>
        <v>232.90985599999999</v>
      </c>
      <c r="M72">
        <f t="shared" si="10"/>
        <v>-17.771018999999999</v>
      </c>
      <c r="N72">
        <f t="shared" si="11"/>
        <v>-18.12442624000002</v>
      </c>
    </row>
    <row r="73" spans="1:14" x14ac:dyDescent="0.25">
      <c r="A73" t="s">
        <v>149</v>
      </c>
      <c r="B73" t="s">
        <v>150</v>
      </c>
      <c r="C73" t="s">
        <v>51</v>
      </c>
      <c r="D73" t="s">
        <v>245</v>
      </c>
      <c r="E73" t="s">
        <v>262</v>
      </c>
      <c r="F73">
        <f>VLOOKUP(A73,'[3]AUM History Current'!$A:$B,2,FALSE)</f>
        <v>17548605</v>
      </c>
      <c r="G73" s="8">
        <f>IFERROR(VLOOKUP(A73,'[3]Total Flows'!$A$1:$B$129,2,FALSE),"")</f>
        <v>-1735954.5999999992</v>
      </c>
      <c r="H73" s="8">
        <f>VLOOKUP(A73,'[3]Last AUM History '!$A:$B,2,FALSE)</f>
        <v>19212387</v>
      </c>
      <c r="I73">
        <f t="shared" si="6"/>
        <v>19.212387</v>
      </c>
      <c r="J73">
        <f t="shared" si="7"/>
        <v>-1663782</v>
      </c>
      <c r="K73" s="9">
        <f t="shared" si="8"/>
        <v>-1663782</v>
      </c>
      <c r="L73">
        <f t="shared" si="9"/>
        <v>17.548604999999998</v>
      </c>
      <c r="M73">
        <f t="shared" si="10"/>
        <v>-1.6637820000000001</v>
      </c>
      <c r="N73">
        <f t="shared" si="11"/>
        <v>-1.7359545999999992</v>
      </c>
    </row>
    <row r="74" spans="1:14" x14ac:dyDescent="0.25">
      <c r="A74" t="s">
        <v>151</v>
      </c>
      <c r="B74" t="s">
        <v>152</v>
      </c>
      <c r="C74" t="s">
        <v>51</v>
      </c>
      <c r="D74" t="s">
        <v>245</v>
      </c>
      <c r="E74" t="s">
        <v>262</v>
      </c>
      <c r="F74">
        <f>VLOOKUP(A74,'[3]AUM History Current'!$A:$B,2,FALSE)</f>
        <v>324745916</v>
      </c>
      <c r="G74" s="8">
        <f>IFERROR(VLOOKUP(A74,'[3]Total Flows'!$A$1:$B$129,2,FALSE),"")</f>
        <v>-42366719.810000017</v>
      </c>
      <c r="H74" s="8">
        <f>VLOOKUP(A74,'[3]Last AUM History '!$A:$B,2,FALSE)</f>
        <v>366473118</v>
      </c>
      <c r="I74">
        <f t="shared" si="6"/>
        <v>366.473118</v>
      </c>
      <c r="J74">
        <f t="shared" si="7"/>
        <v>-41727202</v>
      </c>
      <c r="K74" s="9">
        <f t="shared" si="8"/>
        <v>-41727202</v>
      </c>
      <c r="L74">
        <f t="shared" si="9"/>
        <v>324.74591600000002</v>
      </c>
      <c r="M74">
        <f t="shared" si="10"/>
        <v>-41.727201999999998</v>
      </c>
      <c r="N74">
        <f t="shared" si="11"/>
        <v>-42.366719810000021</v>
      </c>
    </row>
    <row r="75" spans="1:14" x14ac:dyDescent="0.25">
      <c r="A75" t="s">
        <v>153</v>
      </c>
      <c r="B75" t="s">
        <v>154</v>
      </c>
      <c r="C75" t="s">
        <v>51</v>
      </c>
      <c r="D75" t="s">
        <v>245</v>
      </c>
      <c r="E75" t="s">
        <v>262</v>
      </c>
      <c r="F75">
        <f>VLOOKUP(A75,'[3]AUM History Current'!$A:$B,2,FALSE)</f>
        <v>544284583</v>
      </c>
      <c r="G75" s="8">
        <f>IFERROR(VLOOKUP(A75,'[3]Total Flows'!$A$1:$B$129,2,FALSE),"")</f>
        <v>-69706960.450000018</v>
      </c>
      <c r="H75" s="8">
        <f>VLOOKUP(A75,'[3]Last AUM History '!$A:$B,2,FALSE)</f>
        <v>613264658</v>
      </c>
      <c r="I75">
        <f t="shared" si="6"/>
        <v>613.26465800000005</v>
      </c>
      <c r="J75">
        <f t="shared" si="7"/>
        <v>-68980075</v>
      </c>
      <c r="K75" s="9">
        <f t="shared" si="8"/>
        <v>-68980075</v>
      </c>
      <c r="L75">
        <f t="shared" si="9"/>
        <v>544.284583</v>
      </c>
      <c r="M75">
        <f t="shared" si="10"/>
        <v>-68.980074999999999</v>
      </c>
      <c r="N75">
        <f t="shared" si="11"/>
        <v>-69.706960450000011</v>
      </c>
    </row>
    <row r="76" spans="1:14" x14ac:dyDescent="0.25">
      <c r="A76" t="s">
        <v>155</v>
      </c>
      <c r="B76" t="s">
        <v>156</v>
      </c>
      <c r="C76" t="s">
        <v>51</v>
      </c>
      <c r="D76" t="s">
        <v>245</v>
      </c>
      <c r="E76" t="s">
        <v>249</v>
      </c>
      <c r="F76">
        <f>VLOOKUP(A76,'[3]AUM History Current'!$A:$B,2,FALSE)</f>
        <v>121763648</v>
      </c>
      <c r="G76" s="8">
        <f>IFERROR(VLOOKUP(A76,'[3]Total Flows'!$A$1:$B$129,2,FALSE),"")</f>
        <v>-4642.7000000000826</v>
      </c>
      <c r="H76" s="8">
        <f>VLOOKUP(A76,'[3]Last AUM History '!$A:$B,2,FALSE)</f>
        <v>121839302</v>
      </c>
      <c r="I76">
        <f t="shared" si="6"/>
        <v>121.839302</v>
      </c>
      <c r="J76">
        <f t="shared" si="7"/>
        <v>-75654</v>
      </c>
      <c r="K76" s="9">
        <f t="shared" si="8"/>
        <v>-75654</v>
      </c>
      <c r="L76">
        <f t="shared" si="9"/>
        <v>121.763648</v>
      </c>
      <c r="M76">
        <f t="shared" si="10"/>
        <v>-7.5653999999999999E-2</v>
      </c>
      <c r="N76">
        <f t="shared" si="11"/>
        <v>-4.6427000000000829E-3</v>
      </c>
    </row>
    <row r="77" spans="1:14" x14ac:dyDescent="0.25">
      <c r="A77" t="s">
        <v>157</v>
      </c>
      <c r="B77" t="s">
        <v>158</v>
      </c>
      <c r="C77" t="s">
        <v>51</v>
      </c>
      <c r="D77" t="s">
        <v>246</v>
      </c>
      <c r="E77" t="s">
        <v>264</v>
      </c>
      <c r="F77">
        <f>VLOOKUP(A77,'[3]AUM History Current'!$A:$B,2,FALSE)</f>
        <v>142799</v>
      </c>
      <c r="G77" s="8">
        <f>IFERROR(VLOOKUP(A77,'[3]Total Flows'!$A$1:$B$129,2,FALSE),"")</f>
        <v>-1625.16</v>
      </c>
      <c r="H77" s="8">
        <f>VLOOKUP(A77,'[3]Last AUM History '!$A:$B,2,FALSE)</f>
        <v>143073</v>
      </c>
      <c r="I77">
        <f t="shared" si="6"/>
        <v>0.14307300000000001</v>
      </c>
      <c r="J77">
        <f t="shared" si="7"/>
        <v>-274</v>
      </c>
      <c r="K77" s="9">
        <f t="shared" si="8"/>
        <v>-274</v>
      </c>
      <c r="L77">
        <f t="shared" si="9"/>
        <v>0.14279900000000001</v>
      </c>
      <c r="M77">
        <f t="shared" si="10"/>
        <v>-2.7399999999999999E-4</v>
      </c>
      <c r="N77">
        <f t="shared" si="11"/>
        <v>-1.6251600000000001E-3</v>
      </c>
    </row>
    <row r="78" spans="1:14" x14ac:dyDescent="0.25">
      <c r="A78" t="s">
        <v>159</v>
      </c>
      <c r="B78" t="s">
        <v>160</v>
      </c>
      <c r="C78" t="s">
        <v>51</v>
      </c>
      <c r="D78" t="s">
        <v>246</v>
      </c>
      <c r="E78" t="s">
        <v>264</v>
      </c>
      <c r="F78">
        <f>VLOOKUP(A78,'[3]AUM History Current'!$A:$B,2,FALSE)</f>
        <v>87281</v>
      </c>
      <c r="G78" s="8">
        <f>IFERROR(VLOOKUP(A78,'[3]Total Flows'!$A$1:$B$129,2,FALSE),"")</f>
        <v>-1505.89</v>
      </c>
      <c r="H78" s="8">
        <f>VLOOKUP(A78,'[3]Last AUM History '!$A:$B,2,FALSE)</f>
        <v>87979</v>
      </c>
      <c r="I78">
        <f t="shared" si="6"/>
        <v>8.7979000000000002E-2</v>
      </c>
      <c r="J78">
        <f t="shared" si="7"/>
        <v>-698</v>
      </c>
      <c r="K78" s="9">
        <f t="shared" si="8"/>
        <v>-698</v>
      </c>
      <c r="L78">
        <f t="shared" si="9"/>
        <v>8.7280999999999997E-2</v>
      </c>
      <c r="M78">
        <f t="shared" si="10"/>
        <v>-6.9800000000000005E-4</v>
      </c>
      <c r="N78">
        <f t="shared" si="11"/>
        <v>-1.5058900000000002E-3</v>
      </c>
    </row>
    <row r="79" spans="1:14" x14ac:dyDescent="0.25">
      <c r="A79" t="s">
        <v>161</v>
      </c>
      <c r="B79" t="s">
        <v>162</v>
      </c>
      <c r="C79" t="s">
        <v>51</v>
      </c>
      <c r="D79" t="s">
        <v>246</v>
      </c>
      <c r="E79" t="s">
        <v>264</v>
      </c>
      <c r="F79">
        <f>VLOOKUP(A79,'[3]AUM History Current'!$A:$B,2,FALSE)</f>
        <v>4880540</v>
      </c>
      <c r="G79" s="8">
        <f>IFERROR(VLOOKUP(A79,'[3]Total Flows'!$A$1:$B$129,2,FALSE),"")</f>
        <v>-65440.870000000024</v>
      </c>
      <c r="H79" s="8">
        <f>VLOOKUP(A79,'[3]Last AUM History '!$A:$B,2,FALSE)</f>
        <v>4891405</v>
      </c>
      <c r="I79">
        <f t="shared" si="6"/>
        <v>4.8914049999999998</v>
      </c>
      <c r="J79">
        <f t="shared" si="7"/>
        <v>-10865</v>
      </c>
      <c r="K79" s="9">
        <f t="shared" si="8"/>
        <v>-10865</v>
      </c>
      <c r="L79">
        <f t="shared" si="9"/>
        <v>4.8805399999999999</v>
      </c>
      <c r="M79">
        <f t="shared" si="10"/>
        <v>-1.0865E-2</v>
      </c>
      <c r="N79">
        <f t="shared" si="11"/>
        <v>-6.5440870000000026E-2</v>
      </c>
    </row>
    <row r="80" spans="1:14" x14ac:dyDescent="0.25">
      <c r="A80" t="s">
        <v>163</v>
      </c>
      <c r="B80" t="s">
        <v>164</v>
      </c>
      <c r="C80" t="s">
        <v>51</v>
      </c>
      <c r="D80" t="s">
        <v>246</v>
      </c>
      <c r="E80" t="s">
        <v>264</v>
      </c>
      <c r="F80">
        <f>VLOOKUP(A80,'[3]AUM History Current'!$A:$B,2,FALSE)</f>
        <v>338741</v>
      </c>
      <c r="G80" s="8">
        <f>IFERROR(VLOOKUP(A80,'[3]Total Flows'!$A$1:$B$129,2,FALSE),"")</f>
        <v>-4878.46</v>
      </c>
      <c r="H80" s="8">
        <f>VLOOKUP(A80,'[3]Last AUM History '!$A:$B,2,FALSE)</f>
        <v>340831</v>
      </c>
      <c r="I80">
        <f t="shared" si="6"/>
        <v>0.340831</v>
      </c>
      <c r="J80">
        <f t="shared" si="7"/>
        <v>-2090</v>
      </c>
      <c r="K80" s="9">
        <f t="shared" si="8"/>
        <v>-2090</v>
      </c>
      <c r="L80">
        <f t="shared" si="9"/>
        <v>0.33874100000000001</v>
      </c>
      <c r="M80">
        <f t="shared" si="10"/>
        <v>-2.0899999999999998E-3</v>
      </c>
      <c r="N80">
        <f t="shared" si="11"/>
        <v>-4.8784600000000003E-3</v>
      </c>
    </row>
    <row r="81" spans="1:14" x14ac:dyDescent="0.25">
      <c r="A81" t="s">
        <v>165</v>
      </c>
      <c r="B81" t="s">
        <v>166</v>
      </c>
      <c r="C81" t="s">
        <v>51</v>
      </c>
      <c r="D81" t="s">
        <v>246</v>
      </c>
      <c r="E81" t="s">
        <v>264</v>
      </c>
      <c r="F81">
        <f>VLOOKUP(A81,'[3]AUM History Current'!$A:$B,2,FALSE)</f>
        <v>187925</v>
      </c>
      <c r="G81" s="8">
        <f>IFERROR(VLOOKUP(A81,'[3]Total Flows'!$A$1:$B$129,2,FALSE),"")</f>
        <v>-1740.22</v>
      </c>
      <c r="H81" s="8">
        <f>VLOOKUP(A81,'[3]Last AUM History '!$A:$B,2,FALSE)</f>
        <v>187915</v>
      </c>
      <c r="I81">
        <f t="shared" si="6"/>
        <v>0.187915</v>
      </c>
      <c r="J81">
        <f t="shared" si="7"/>
        <v>10</v>
      </c>
      <c r="K81" s="9">
        <f t="shared" si="8"/>
        <v>10</v>
      </c>
      <c r="L81">
        <f t="shared" si="9"/>
        <v>0.18792500000000001</v>
      </c>
      <c r="M81">
        <f t="shared" si="10"/>
        <v>1.0000000000000001E-5</v>
      </c>
      <c r="N81">
        <f t="shared" si="11"/>
        <v>-1.74022E-3</v>
      </c>
    </row>
    <row r="82" spans="1:14" x14ac:dyDescent="0.25">
      <c r="A82" t="s">
        <v>167</v>
      </c>
      <c r="B82" t="s">
        <v>168</v>
      </c>
      <c r="C82" t="s">
        <v>51</v>
      </c>
      <c r="D82" t="s">
        <v>246</v>
      </c>
      <c r="E82" t="s">
        <v>264</v>
      </c>
      <c r="F82">
        <f>VLOOKUP(A82,'[3]AUM History Current'!$A:$B,2,FALSE)</f>
        <v>635258</v>
      </c>
      <c r="G82" s="8">
        <f>IFERROR(VLOOKUP(A82,'[3]Total Flows'!$A$1:$B$129,2,FALSE),"")</f>
        <v>-2758.01</v>
      </c>
      <c r="H82" s="8">
        <f>VLOOKUP(A82,'[3]Last AUM History '!$A:$B,2,FALSE)</f>
        <v>631685</v>
      </c>
      <c r="I82">
        <f t="shared" si="6"/>
        <v>0.63168500000000005</v>
      </c>
      <c r="J82">
        <f t="shared" si="7"/>
        <v>3573</v>
      </c>
      <c r="K82" s="9">
        <f t="shared" si="8"/>
        <v>3573</v>
      </c>
      <c r="L82">
        <f t="shared" si="9"/>
        <v>0.63525799999999999</v>
      </c>
      <c r="M82">
        <f t="shared" si="10"/>
        <v>3.5729999999999998E-3</v>
      </c>
      <c r="N82">
        <f t="shared" si="11"/>
        <v>-2.7580100000000004E-3</v>
      </c>
    </row>
    <row r="83" spans="1:14" x14ac:dyDescent="0.25">
      <c r="A83" t="s">
        <v>169</v>
      </c>
      <c r="B83" t="s">
        <v>170</v>
      </c>
      <c r="C83" t="s">
        <v>51</v>
      </c>
      <c r="D83" t="s">
        <v>246</v>
      </c>
      <c r="E83" t="s">
        <v>264</v>
      </c>
      <c r="F83">
        <f>VLOOKUP(A83,'[3]AUM History Current'!$A:$B,2,FALSE)</f>
        <v>135031</v>
      </c>
      <c r="G83" s="8">
        <f>IFERROR(VLOOKUP(A83,'[3]Total Flows'!$A$1:$B$129,2,FALSE),"")</f>
        <v>-1605.7</v>
      </c>
      <c r="H83" s="8">
        <f>VLOOKUP(A83,'[3]Last AUM History '!$A:$B,2,FALSE)</f>
        <v>135227</v>
      </c>
      <c r="I83">
        <f t="shared" si="6"/>
        <v>0.13522700000000001</v>
      </c>
      <c r="J83">
        <f t="shared" si="7"/>
        <v>-196</v>
      </c>
      <c r="K83" s="9">
        <f t="shared" si="8"/>
        <v>-196</v>
      </c>
      <c r="L83">
        <f t="shared" si="9"/>
        <v>0.13503100000000001</v>
      </c>
      <c r="M83">
        <f t="shared" si="10"/>
        <v>-1.9599999999999999E-4</v>
      </c>
      <c r="N83">
        <f t="shared" si="11"/>
        <v>-1.6057000000000001E-3</v>
      </c>
    </row>
    <row r="84" spans="1:14" x14ac:dyDescent="0.25">
      <c r="A84" t="s">
        <v>171</v>
      </c>
      <c r="B84" t="s">
        <v>172</v>
      </c>
      <c r="C84" t="s">
        <v>51</v>
      </c>
      <c r="D84" t="s">
        <v>246</v>
      </c>
      <c r="E84" t="s">
        <v>264</v>
      </c>
      <c r="F84">
        <f>VLOOKUP(A84,'[3]AUM History Current'!$A:$B,2,FALSE)</f>
        <v>155065</v>
      </c>
      <c r="G84" s="8">
        <f>IFERROR(VLOOKUP(A84,'[3]Total Flows'!$A$1:$B$129,2,FALSE),"")</f>
        <v>-1644.49</v>
      </c>
      <c r="H84" s="8">
        <f>VLOOKUP(A84,'[3]Last AUM History '!$A:$B,2,FALSE)</f>
        <v>155214</v>
      </c>
      <c r="I84">
        <f t="shared" si="6"/>
        <v>0.15521399999999999</v>
      </c>
      <c r="J84">
        <f t="shared" si="7"/>
        <v>-149</v>
      </c>
      <c r="K84" s="9">
        <f t="shared" si="8"/>
        <v>-149</v>
      </c>
      <c r="L84">
        <f t="shared" si="9"/>
        <v>0.15506500000000001</v>
      </c>
      <c r="M84">
        <f t="shared" si="10"/>
        <v>-1.4899999999999999E-4</v>
      </c>
      <c r="N84">
        <f t="shared" si="11"/>
        <v>-1.64449E-3</v>
      </c>
    </row>
    <row r="85" spans="1:14" x14ac:dyDescent="0.25">
      <c r="A85" t="s">
        <v>173</v>
      </c>
      <c r="B85" t="s">
        <v>174</v>
      </c>
      <c r="C85" t="s">
        <v>51</v>
      </c>
      <c r="D85" t="s">
        <v>246</v>
      </c>
      <c r="E85" t="s">
        <v>264</v>
      </c>
      <c r="F85">
        <f>VLOOKUP(A85,'[3]AUM History Current'!$A:$B,2,FALSE)</f>
        <v>279361</v>
      </c>
      <c r="G85" s="8">
        <f>IFERROR(VLOOKUP(A85,'[3]Total Flows'!$A$1:$B$129,2,FALSE),"")</f>
        <v>-1958.1100000000001</v>
      </c>
      <c r="H85" s="8">
        <f>VLOOKUP(A85,'[3]Last AUM History '!$A:$B,2,FALSE)</f>
        <v>278072</v>
      </c>
      <c r="I85">
        <f t="shared" si="6"/>
        <v>0.27807199999999999</v>
      </c>
      <c r="J85">
        <f t="shared" si="7"/>
        <v>1289</v>
      </c>
      <c r="K85" s="9">
        <f t="shared" si="8"/>
        <v>1289</v>
      </c>
      <c r="L85">
        <f t="shared" si="9"/>
        <v>0.27936100000000003</v>
      </c>
      <c r="M85">
        <f t="shared" si="10"/>
        <v>1.289E-3</v>
      </c>
      <c r="N85">
        <f t="shared" si="11"/>
        <v>-1.9581100000000003E-3</v>
      </c>
    </row>
    <row r="86" spans="1:14" x14ac:dyDescent="0.25">
      <c r="A86" t="s">
        <v>175</v>
      </c>
      <c r="B86" t="s">
        <v>176</v>
      </c>
      <c r="C86" t="s">
        <v>51</v>
      </c>
      <c r="D86" t="s">
        <v>246</v>
      </c>
      <c r="E86" t="s">
        <v>264</v>
      </c>
      <c r="F86">
        <f>VLOOKUP(A86,'[3]AUM History Current'!$A:$B,2,FALSE)</f>
        <v>28094</v>
      </c>
      <c r="G86" s="8">
        <f>IFERROR(VLOOKUP(A86,'[3]Total Flows'!$A$1:$B$129,2,FALSE),"")</f>
        <v>-1209.0000000000002</v>
      </c>
      <c r="H86" s="8">
        <f>VLOOKUP(A86,'[3]Last AUM History '!$A:$B,2,FALSE)</f>
        <v>29020</v>
      </c>
      <c r="I86">
        <f t="shared" si="6"/>
        <v>2.9020000000000001E-2</v>
      </c>
      <c r="J86">
        <f t="shared" si="7"/>
        <v>-926</v>
      </c>
      <c r="K86" s="9">
        <f t="shared" si="8"/>
        <v>-926</v>
      </c>
      <c r="L86">
        <f t="shared" si="9"/>
        <v>2.8094000000000001E-2</v>
      </c>
      <c r="M86">
        <f t="shared" si="10"/>
        <v>-9.2599999999999996E-4</v>
      </c>
      <c r="N86">
        <f t="shared" si="11"/>
        <v>-1.2090000000000002E-3</v>
      </c>
    </row>
    <row r="87" spans="1:14" x14ac:dyDescent="0.25">
      <c r="A87" t="s">
        <v>177</v>
      </c>
      <c r="B87" t="s">
        <v>178</v>
      </c>
      <c r="C87" t="s">
        <v>51</v>
      </c>
      <c r="D87" t="s">
        <v>246</v>
      </c>
      <c r="E87" t="s">
        <v>264</v>
      </c>
      <c r="F87">
        <f>VLOOKUP(A87,'[3]AUM History Current'!$A:$B,2,FALSE)</f>
        <v>16569</v>
      </c>
      <c r="G87" s="8">
        <f>IFERROR(VLOOKUP(A87,'[3]Total Flows'!$A$1:$B$129,2,FALSE),"")</f>
        <v>-579.68999999999983</v>
      </c>
      <c r="H87" s="8">
        <f>VLOOKUP(A87,'[3]Last AUM History '!$A:$B,2,FALSE)</f>
        <v>16991</v>
      </c>
      <c r="I87">
        <f t="shared" si="6"/>
        <v>1.6990999999999999E-2</v>
      </c>
      <c r="J87">
        <f t="shared" si="7"/>
        <v>-422</v>
      </c>
      <c r="K87" s="9">
        <f t="shared" si="8"/>
        <v>-422</v>
      </c>
      <c r="L87">
        <f t="shared" si="9"/>
        <v>1.6569E-2</v>
      </c>
      <c r="M87">
        <f t="shared" si="10"/>
        <v>-4.2200000000000001E-4</v>
      </c>
      <c r="N87">
        <f t="shared" si="11"/>
        <v>-5.7968999999999978E-4</v>
      </c>
    </row>
    <row r="88" spans="1:14" x14ac:dyDescent="0.25">
      <c r="A88" t="s">
        <v>179</v>
      </c>
      <c r="B88" t="s">
        <v>180</v>
      </c>
      <c r="C88" t="s">
        <v>51</v>
      </c>
      <c r="D88" t="s">
        <v>246</v>
      </c>
      <c r="E88" t="s">
        <v>255</v>
      </c>
      <c r="F88">
        <f>VLOOKUP(A88,'[3]AUM History Current'!$A:$B,2,FALSE)</f>
        <v>194823287</v>
      </c>
      <c r="G88" s="8">
        <f>IFERROR(VLOOKUP(A88,'[3]Total Flows'!$A$1:$B$129,2,FALSE),"")</f>
        <v>-10873093.450000003</v>
      </c>
      <c r="H88" s="8">
        <f>VLOOKUP(A88,'[3]Last AUM History '!$A:$B,2,FALSE)</f>
        <v>201751089</v>
      </c>
      <c r="I88">
        <f t="shared" si="6"/>
        <v>201.75108900000001</v>
      </c>
      <c r="J88">
        <f t="shared" si="7"/>
        <v>-6927802</v>
      </c>
      <c r="K88" s="9">
        <f t="shared" si="8"/>
        <v>-6927802</v>
      </c>
      <c r="L88">
        <f t="shared" si="9"/>
        <v>194.82328699999999</v>
      </c>
      <c r="M88">
        <f t="shared" si="10"/>
        <v>-6.9278019999999998</v>
      </c>
      <c r="N88">
        <f t="shared" si="11"/>
        <v>-10.873093450000002</v>
      </c>
    </row>
    <row r="89" spans="1:14" x14ac:dyDescent="0.25">
      <c r="A89" t="s">
        <v>181</v>
      </c>
      <c r="B89" t="s">
        <v>182</v>
      </c>
      <c r="C89" t="s">
        <v>51</v>
      </c>
      <c r="D89" t="s">
        <v>246</v>
      </c>
      <c r="E89" t="s">
        <v>255</v>
      </c>
      <c r="F89">
        <f>VLOOKUP(A89,'[3]AUM History Current'!$A:$B,2,FALSE)</f>
        <v>306660320</v>
      </c>
      <c r="G89" s="8">
        <f>IFERROR(VLOOKUP(A89,'[3]Total Flows'!$A$1:$B$129,2,FALSE),"")</f>
        <v>-12008190.73</v>
      </c>
      <c r="H89" s="8">
        <f>VLOOKUP(A89,'[3]Last AUM History '!$A:$B,2,FALSE)</f>
        <v>312423908</v>
      </c>
      <c r="I89">
        <f t="shared" si="6"/>
        <v>312.42390799999998</v>
      </c>
      <c r="J89">
        <f t="shared" si="7"/>
        <v>-5763588</v>
      </c>
      <c r="K89" s="9">
        <f t="shared" si="8"/>
        <v>-5763588</v>
      </c>
      <c r="L89">
        <f t="shared" si="9"/>
        <v>306.66032000000001</v>
      </c>
      <c r="M89">
        <f t="shared" si="10"/>
        <v>-5.7635880000000004</v>
      </c>
      <c r="N89">
        <f t="shared" si="11"/>
        <v>-12.008190730000001</v>
      </c>
    </row>
    <row r="90" spans="1:14" x14ac:dyDescent="0.25">
      <c r="A90" t="s">
        <v>183</v>
      </c>
      <c r="B90" t="s">
        <v>184</v>
      </c>
      <c r="C90" t="s">
        <v>51</v>
      </c>
      <c r="D90" t="s">
        <v>246</v>
      </c>
      <c r="E90" t="s">
        <v>255</v>
      </c>
      <c r="F90">
        <f>VLOOKUP(A90,'[3]AUM History Current'!$A:$B,2,FALSE)</f>
        <v>115957326</v>
      </c>
      <c r="G90" s="8">
        <f>IFERROR(VLOOKUP(A90,'[3]Total Flows'!$A$1:$B$129,2,FALSE),"")</f>
        <v>-16726670.740000002</v>
      </c>
      <c r="H90" s="8">
        <f>VLOOKUP(A90,'[3]Last AUM History '!$A:$B,2,FALSE)</f>
        <v>132260888</v>
      </c>
      <c r="I90">
        <f t="shared" si="6"/>
        <v>132.26088799999999</v>
      </c>
      <c r="J90">
        <f t="shared" si="7"/>
        <v>-16303562</v>
      </c>
      <c r="K90" s="9">
        <f t="shared" si="8"/>
        <v>-16303562</v>
      </c>
      <c r="L90">
        <f t="shared" si="9"/>
        <v>115.95732599999999</v>
      </c>
      <c r="M90">
        <f t="shared" si="10"/>
        <v>-16.303561999999999</v>
      </c>
      <c r="N90">
        <f t="shared" si="11"/>
        <v>-16.726670740000003</v>
      </c>
    </row>
    <row r="91" spans="1:14" x14ac:dyDescent="0.25">
      <c r="A91" t="s">
        <v>185</v>
      </c>
      <c r="B91" t="s">
        <v>186</v>
      </c>
      <c r="C91" t="s">
        <v>51</v>
      </c>
      <c r="D91" t="s">
        <v>246</v>
      </c>
      <c r="E91" t="s">
        <v>255</v>
      </c>
      <c r="F91">
        <f>VLOOKUP(A91,'[3]AUM History Current'!$A:$B,2,FALSE)</f>
        <v>277838515</v>
      </c>
      <c r="G91" s="8">
        <f>IFERROR(VLOOKUP(A91,'[3]Total Flows'!$A$1:$B$129,2,FALSE),"")</f>
        <v>-27240350.970000014</v>
      </c>
      <c r="H91" s="8">
        <f>VLOOKUP(A91,'[3]Last AUM History '!$A:$B,2,FALSE)</f>
        <v>303707882</v>
      </c>
      <c r="I91">
        <f t="shared" si="6"/>
        <v>303.70788199999998</v>
      </c>
      <c r="J91">
        <f t="shared" si="7"/>
        <v>-25869367</v>
      </c>
      <c r="K91" s="9">
        <f t="shared" si="8"/>
        <v>-25869367</v>
      </c>
      <c r="L91">
        <f t="shared" si="9"/>
        <v>277.83851499999997</v>
      </c>
      <c r="M91">
        <f t="shared" si="10"/>
        <v>-25.869367</v>
      </c>
      <c r="N91">
        <f t="shared" si="11"/>
        <v>-27.240350970000012</v>
      </c>
    </row>
    <row r="92" spans="1:14" x14ac:dyDescent="0.25">
      <c r="A92" t="s">
        <v>187</v>
      </c>
      <c r="B92" t="s">
        <v>188</v>
      </c>
      <c r="C92" t="s">
        <v>51</v>
      </c>
      <c r="D92" t="s">
        <v>246</v>
      </c>
      <c r="E92" t="s">
        <v>255</v>
      </c>
      <c r="F92">
        <f>VLOOKUP(A92,'[3]AUM History Current'!$A:$B,2,FALSE)</f>
        <v>96066220</v>
      </c>
      <c r="G92" s="8">
        <f>IFERROR(VLOOKUP(A92,'[3]Total Flows'!$A$1:$B$129,2,FALSE),"")</f>
        <v>-19908.650000000169</v>
      </c>
      <c r="H92" s="8">
        <f>VLOOKUP(A92,'[3]Last AUM History '!$A:$B,2,FALSE)</f>
        <v>92942418</v>
      </c>
      <c r="I92">
        <f t="shared" si="6"/>
        <v>92.942418000000004</v>
      </c>
      <c r="J92">
        <f t="shared" si="7"/>
        <v>3123802</v>
      </c>
      <c r="K92" s="9">
        <f t="shared" si="8"/>
        <v>3123802</v>
      </c>
      <c r="L92">
        <f t="shared" si="9"/>
        <v>96.066220000000001</v>
      </c>
      <c r="M92">
        <f t="shared" si="10"/>
        <v>3.123802</v>
      </c>
      <c r="N92">
        <f t="shared" si="11"/>
        <v>-1.990865000000017E-2</v>
      </c>
    </row>
    <row r="93" spans="1:14" x14ac:dyDescent="0.25">
      <c r="A93" t="s">
        <v>189</v>
      </c>
      <c r="B93" t="s">
        <v>190</v>
      </c>
      <c r="C93" t="s">
        <v>51</v>
      </c>
      <c r="D93" t="s">
        <v>246</v>
      </c>
      <c r="E93" t="s">
        <v>255</v>
      </c>
      <c r="F93">
        <f>VLOOKUP(A93,'[3]AUM History Current'!$A:$B,2,FALSE)</f>
        <v>106181073</v>
      </c>
      <c r="G93" s="8">
        <f>IFERROR(VLOOKUP(A93,'[3]Total Flows'!$A$1:$B$129,2,FALSE),"")</f>
        <v>1089505.3800000004</v>
      </c>
      <c r="H93" s="8">
        <f>VLOOKUP(A93,'[3]Last AUM History '!$A:$B,2,FALSE)</f>
        <v>101671056</v>
      </c>
      <c r="I93">
        <f t="shared" si="6"/>
        <v>101.67105599999999</v>
      </c>
      <c r="J93">
        <f t="shared" si="7"/>
        <v>4510017</v>
      </c>
      <c r="K93" s="9">
        <f t="shared" si="8"/>
        <v>4510017</v>
      </c>
      <c r="L93">
        <f t="shared" si="9"/>
        <v>106.181073</v>
      </c>
      <c r="M93">
        <f t="shared" si="10"/>
        <v>4.5100170000000004</v>
      </c>
      <c r="N93">
        <f t="shared" si="11"/>
        <v>1.0895053800000003</v>
      </c>
    </row>
    <row r="94" spans="1:14" x14ac:dyDescent="0.25">
      <c r="A94" t="s">
        <v>191</v>
      </c>
      <c r="B94" t="s">
        <v>192</v>
      </c>
      <c r="C94" t="s">
        <v>51</v>
      </c>
      <c r="D94" t="s">
        <v>246</v>
      </c>
      <c r="E94" t="s">
        <v>252</v>
      </c>
      <c r="F94">
        <f>VLOOKUP(A94,'[3]AUM History Current'!$A:$B,2,FALSE)</f>
        <v>214538635</v>
      </c>
      <c r="G94" s="8">
        <f>IFERROR(VLOOKUP(A94,'[3]Total Flows'!$A$1:$B$129,2,FALSE),"")</f>
        <v>-15585921.889999999</v>
      </c>
      <c r="H94" s="8">
        <f>VLOOKUP(A94,'[3]Last AUM History '!$A:$B,2,FALSE)</f>
        <v>230490457</v>
      </c>
      <c r="I94">
        <f t="shared" si="6"/>
        <v>230.49045699999999</v>
      </c>
      <c r="J94">
        <f t="shared" si="7"/>
        <v>-15951822</v>
      </c>
      <c r="K94" s="9">
        <f t="shared" si="8"/>
        <v>-15951822</v>
      </c>
      <c r="L94">
        <f t="shared" si="9"/>
        <v>214.538635</v>
      </c>
      <c r="M94">
        <f t="shared" si="10"/>
        <v>-15.951822</v>
      </c>
      <c r="N94">
        <f t="shared" si="11"/>
        <v>-15.585921889999998</v>
      </c>
    </row>
    <row r="95" spans="1:14" x14ac:dyDescent="0.25">
      <c r="A95" t="s">
        <v>193</v>
      </c>
      <c r="B95" t="s">
        <v>194</v>
      </c>
      <c r="C95" t="s">
        <v>51</v>
      </c>
      <c r="D95" t="s">
        <v>246</v>
      </c>
      <c r="E95" t="s">
        <v>252</v>
      </c>
      <c r="F95">
        <f>VLOOKUP(A95,'[3]AUM History Current'!$A:$B,2,FALSE)</f>
        <v>153951234</v>
      </c>
      <c r="G95" s="8">
        <f>IFERROR(VLOOKUP(A95,'[3]Total Flows'!$A$1:$B$129,2,FALSE),"")</f>
        <v>-15687265.600000005</v>
      </c>
      <c r="H95" s="8">
        <f>VLOOKUP(A95,'[3]Last AUM History '!$A:$B,2,FALSE)</f>
        <v>170018725</v>
      </c>
      <c r="I95">
        <f t="shared" si="6"/>
        <v>170.01872499999999</v>
      </c>
      <c r="J95">
        <f t="shared" si="7"/>
        <v>-16067491</v>
      </c>
      <c r="K95" s="9">
        <f t="shared" si="8"/>
        <v>-16067491</v>
      </c>
      <c r="L95">
        <f t="shared" si="9"/>
        <v>153.951234</v>
      </c>
      <c r="M95">
        <f t="shared" si="10"/>
        <v>-16.067491</v>
      </c>
      <c r="N95">
        <f t="shared" si="11"/>
        <v>-15.687265600000005</v>
      </c>
    </row>
    <row r="96" spans="1:14" x14ac:dyDescent="0.25">
      <c r="A96" t="s">
        <v>195</v>
      </c>
      <c r="B96" t="s">
        <v>196</v>
      </c>
      <c r="C96" t="s">
        <v>51</v>
      </c>
      <c r="D96" t="s">
        <v>246</v>
      </c>
      <c r="E96" t="s">
        <v>251</v>
      </c>
      <c r="F96">
        <f>VLOOKUP(A96,'[3]AUM History Current'!$A:$B,2,FALSE)</f>
        <v>4695301</v>
      </c>
      <c r="G96" s="8">
        <f>IFERROR(VLOOKUP(A96,'[3]Total Flows'!$A$1:$B$129,2,FALSE),"")</f>
        <v>-235764.66999999998</v>
      </c>
      <c r="H96" s="8">
        <f>VLOOKUP(A96,'[3]Last AUM History '!$A:$B,2,FALSE)</f>
        <v>5173858</v>
      </c>
      <c r="I96">
        <f t="shared" si="6"/>
        <v>5.1738580000000001</v>
      </c>
      <c r="J96">
        <f t="shared" si="7"/>
        <v>-478557</v>
      </c>
      <c r="K96" s="9">
        <f t="shared" si="8"/>
        <v>-478557</v>
      </c>
      <c r="L96">
        <f t="shared" si="9"/>
        <v>4.6953009999999997</v>
      </c>
      <c r="M96">
        <f t="shared" si="10"/>
        <v>-0.47855700000000001</v>
      </c>
      <c r="N96">
        <f t="shared" si="11"/>
        <v>-0.23576466999999998</v>
      </c>
    </row>
    <row r="97" spans="1:14" x14ac:dyDescent="0.25">
      <c r="A97" t="s">
        <v>197</v>
      </c>
      <c r="B97" t="s">
        <v>198</v>
      </c>
      <c r="C97" t="s">
        <v>51</v>
      </c>
      <c r="D97" t="s">
        <v>246</v>
      </c>
      <c r="E97" t="s">
        <v>252</v>
      </c>
      <c r="F97">
        <f>VLOOKUP(A97,'[3]AUM History Current'!$A:$B,2,FALSE)</f>
        <v>238309510</v>
      </c>
      <c r="G97" s="8">
        <f>IFERROR(VLOOKUP(A97,'[3]Total Flows'!$A$1:$B$129,2,FALSE),"")</f>
        <v>-24934080.980000012</v>
      </c>
      <c r="H97" s="8">
        <f>VLOOKUP(A97,'[3]Last AUM History '!$A:$B,2,FALSE)</f>
        <v>263555955</v>
      </c>
      <c r="I97">
        <f t="shared" si="6"/>
        <v>263.55595499999998</v>
      </c>
      <c r="J97">
        <f t="shared" si="7"/>
        <v>-25246445</v>
      </c>
      <c r="K97" s="9">
        <f t="shared" si="8"/>
        <v>-25246445</v>
      </c>
      <c r="L97">
        <f t="shared" si="9"/>
        <v>238.30950999999999</v>
      </c>
      <c r="M97">
        <f t="shared" si="10"/>
        <v>-25.246445000000001</v>
      </c>
      <c r="N97">
        <f t="shared" si="11"/>
        <v>-24.934080980000012</v>
      </c>
    </row>
    <row r="98" spans="1:14" x14ac:dyDescent="0.25">
      <c r="A98" t="s">
        <v>199</v>
      </c>
      <c r="B98" t="s">
        <v>200</v>
      </c>
      <c r="C98" t="s">
        <v>51</v>
      </c>
      <c r="D98" s="5" t="s">
        <v>246</v>
      </c>
      <c r="E98" t="s">
        <v>264</v>
      </c>
      <c r="F98">
        <f>VLOOKUP(A98,'[3]AUM History Current'!$A:$B,2,FALSE)</f>
        <v>77632</v>
      </c>
      <c r="G98" s="8" t="str">
        <f>IFERROR(VLOOKUP(A98,'[3]Total Flows'!$A$1:$B$129,2,FALSE),"")</f>
        <v/>
      </c>
      <c r="H98" s="8">
        <f>VLOOKUP(A98,'[3]Last AUM History '!$A:$B,2,FALSE)</f>
        <v>78336</v>
      </c>
      <c r="I98">
        <f t="shared" si="6"/>
        <v>7.8336000000000003E-2</v>
      </c>
      <c r="J98">
        <f t="shared" si="7"/>
        <v>-704</v>
      </c>
      <c r="K98" s="9">
        <f t="shared" si="8"/>
        <v>-704</v>
      </c>
      <c r="L98">
        <f t="shared" si="9"/>
        <v>7.7632000000000007E-2</v>
      </c>
      <c r="M98">
        <f t="shared" si="10"/>
        <v>-7.0399999999999998E-4</v>
      </c>
      <c r="N98" t="str">
        <f t="shared" si="11"/>
        <v/>
      </c>
    </row>
    <row r="99" spans="1:14" x14ac:dyDescent="0.25">
      <c r="A99" t="s">
        <v>201</v>
      </c>
      <c r="B99" t="s">
        <v>202</v>
      </c>
      <c r="C99" t="s">
        <v>51</v>
      </c>
      <c r="D99" s="5" t="s">
        <v>245</v>
      </c>
      <c r="E99" t="s">
        <v>248</v>
      </c>
      <c r="F99" s="6">
        <f>VLOOKUP(A99,'[3]AUM History Current'!$A:$B,2,FALSE)</f>
        <v>0</v>
      </c>
      <c r="G99" s="8" t="str">
        <f>IFERROR(VLOOKUP(A99,'[3]Total Flows'!$A$1:$B$129,2,FALSE),"")</f>
        <v/>
      </c>
      <c r="H99" s="8">
        <f>VLOOKUP(A99,'[3]Last AUM History '!$A:$B,2,FALSE)</f>
        <v>0</v>
      </c>
      <c r="I99">
        <f t="shared" si="6"/>
        <v>0</v>
      </c>
      <c r="J99">
        <f t="shared" si="7"/>
        <v>0</v>
      </c>
      <c r="K99" s="9">
        <f t="shared" si="8"/>
        <v>0</v>
      </c>
      <c r="L99">
        <f t="shared" si="9"/>
        <v>0</v>
      </c>
      <c r="M99">
        <f t="shared" si="10"/>
        <v>0</v>
      </c>
      <c r="N99" t="str">
        <f t="shared" si="11"/>
        <v/>
      </c>
    </row>
    <row r="100" spans="1:14" x14ac:dyDescent="0.25">
      <c r="A100" t="s">
        <v>203</v>
      </c>
      <c r="B100" t="s">
        <v>204</v>
      </c>
      <c r="C100" t="s">
        <v>51</v>
      </c>
      <c r="D100" s="5" t="s">
        <v>245</v>
      </c>
      <c r="E100" t="s">
        <v>250</v>
      </c>
      <c r="G100" s="8" t="str">
        <f>IFERROR(VLOOKUP(A100,'[3]Total Flows'!$A$1:$B$129,2,FALSE),"")</f>
        <v/>
      </c>
      <c r="H100" s="8">
        <f>VLOOKUP(A100,'[3]Last AUM History '!$A:$B,2,FALSE)</f>
        <v>0</v>
      </c>
      <c r="I100">
        <f t="shared" si="6"/>
        <v>0</v>
      </c>
      <c r="J100">
        <f t="shared" si="7"/>
        <v>0</v>
      </c>
      <c r="K100" s="9">
        <f t="shared" si="8"/>
        <v>0</v>
      </c>
      <c r="L100">
        <f t="shared" si="9"/>
        <v>0</v>
      </c>
      <c r="M100">
        <f t="shared" si="10"/>
        <v>0</v>
      </c>
      <c r="N100" t="str">
        <f t="shared" si="11"/>
        <v/>
      </c>
    </row>
    <row r="101" spans="1:14" x14ac:dyDescent="0.25">
      <c r="A101" t="s">
        <v>205</v>
      </c>
      <c r="B101" t="s">
        <v>206</v>
      </c>
      <c r="C101" t="s">
        <v>51</v>
      </c>
      <c r="D101" s="5" t="s">
        <v>245</v>
      </c>
      <c r="E101" t="s">
        <v>249</v>
      </c>
      <c r="G101" s="8" t="str">
        <f>IFERROR(VLOOKUP(A101,'[3]Total Flows'!$A$1:$B$129,2,FALSE),"")</f>
        <v/>
      </c>
      <c r="H101" s="8">
        <f>VLOOKUP(A101,'[3]Last AUM History '!$A:$B,2,FALSE)</f>
        <v>0</v>
      </c>
      <c r="I101">
        <f t="shared" si="6"/>
        <v>0</v>
      </c>
      <c r="J101">
        <f t="shared" si="7"/>
        <v>0</v>
      </c>
      <c r="K101" s="9">
        <f t="shared" si="8"/>
        <v>0</v>
      </c>
      <c r="L101">
        <f t="shared" si="9"/>
        <v>0</v>
      </c>
      <c r="M101">
        <f t="shared" si="10"/>
        <v>0</v>
      </c>
      <c r="N101" t="str">
        <f t="shared" si="11"/>
        <v/>
      </c>
    </row>
    <row r="102" spans="1:14" x14ac:dyDescent="0.25">
      <c r="A102" t="s">
        <v>207</v>
      </c>
      <c r="B102" t="s">
        <v>208</v>
      </c>
      <c r="C102" t="s">
        <v>51</v>
      </c>
      <c r="D102" s="5" t="s">
        <v>245</v>
      </c>
      <c r="E102" t="s">
        <v>249</v>
      </c>
      <c r="G102" s="8" t="str">
        <f>IFERROR(VLOOKUP(A102,'[3]Total Flows'!$A$1:$B$129,2,FALSE),"")</f>
        <v/>
      </c>
      <c r="H102" s="8">
        <f>VLOOKUP(A102,'[3]Last AUM History '!$A:$B,2,FALSE)</f>
        <v>0</v>
      </c>
      <c r="I102">
        <f t="shared" si="6"/>
        <v>0</v>
      </c>
      <c r="J102">
        <f t="shared" si="7"/>
        <v>0</v>
      </c>
      <c r="K102" s="9">
        <f t="shared" si="8"/>
        <v>0</v>
      </c>
      <c r="L102">
        <f t="shared" si="9"/>
        <v>0</v>
      </c>
      <c r="M102">
        <f t="shared" si="10"/>
        <v>0</v>
      </c>
      <c r="N102" t="str">
        <f t="shared" si="11"/>
        <v/>
      </c>
    </row>
    <row r="103" spans="1:14" x14ac:dyDescent="0.25">
      <c r="A103" t="s">
        <v>209</v>
      </c>
      <c r="B103" t="str">
        <f>VLOOKUP(A103,'[1]Model portfolios'!$A:$AS,4,FALSE)</f>
        <v>CNP Linea Protetta Dinamica Plus</v>
      </c>
      <c r="C103" t="s">
        <v>51</v>
      </c>
      <c r="D103" t="s">
        <v>245</v>
      </c>
      <c r="E103" t="s">
        <v>250</v>
      </c>
      <c r="F103">
        <f>VLOOKUP(A103,'[3]AUM History Current'!$A:$B,2,FALSE)</f>
        <v>4017874</v>
      </c>
      <c r="G103" s="8">
        <f>IFERROR(VLOOKUP(A103,'[3]Total Flows'!$A$1:$B$129,2,FALSE),"")</f>
        <v>-34029.530000000021</v>
      </c>
      <c r="H103" s="8">
        <f>VLOOKUP(A103,'[3]Last AUM History '!$A:$B,2,FALSE)</f>
        <v>3913810</v>
      </c>
      <c r="I103">
        <f t="shared" si="6"/>
        <v>3.9138099999999998</v>
      </c>
      <c r="J103">
        <f t="shared" si="7"/>
        <v>104064</v>
      </c>
      <c r="K103" s="9">
        <f t="shared" si="8"/>
        <v>104064</v>
      </c>
      <c r="L103">
        <f t="shared" si="9"/>
        <v>4.0178739999999999</v>
      </c>
      <c r="M103">
        <f t="shared" si="10"/>
        <v>0.104064</v>
      </c>
      <c r="N103">
        <f t="shared" si="11"/>
        <v>-3.4029530000000023E-2</v>
      </c>
    </row>
    <row r="104" spans="1:14" x14ac:dyDescent="0.25">
      <c r="A104" t="s">
        <v>210</v>
      </c>
      <c r="B104" t="s">
        <v>211</v>
      </c>
      <c r="C104" t="s">
        <v>51</v>
      </c>
      <c r="D104" t="s">
        <v>245</v>
      </c>
      <c r="E104" t="s">
        <v>249</v>
      </c>
      <c r="F104">
        <f>VLOOKUP(A104,'[3]AUM History Current'!$A:$B,2,FALSE)</f>
        <v>27300227</v>
      </c>
      <c r="G104" s="8">
        <f>IFERROR(VLOOKUP(A104,'[3]Total Flows'!$A$1:$B$129,2,FALSE),"")</f>
        <v>-558197.35000000009</v>
      </c>
      <c r="H104" s="8">
        <f>VLOOKUP(A104,'[3]Last AUM History '!$A:$B,2,FALSE)</f>
        <v>27597514</v>
      </c>
      <c r="I104">
        <f t="shared" si="6"/>
        <v>27.597514</v>
      </c>
      <c r="J104">
        <f t="shared" si="7"/>
        <v>-297287</v>
      </c>
      <c r="K104" s="9">
        <f t="shared" si="8"/>
        <v>-297287</v>
      </c>
      <c r="L104">
        <f t="shared" si="9"/>
        <v>27.300227</v>
      </c>
      <c r="M104">
        <f t="shared" si="10"/>
        <v>-0.29728700000000002</v>
      </c>
      <c r="N104">
        <f t="shared" si="11"/>
        <v>-0.55819735000000015</v>
      </c>
    </row>
    <row r="105" spans="1:14" x14ac:dyDescent="0.25">
      <c r="A105" t="s">
        <v>212</v>
      </c>
      <c r="B105" t="s">
        <v>213</v>
      </c>
      <c r="C105" t="s">
        <v>51</v>
      </c>
      <c r="D105" t="s">
        <v>246</v>
      </c>
      <c r="E105" t="s">
        <v>253</v>
      </c>
      <c r="F105">
        <f>VLOOKUP(A105,'[3]AUM History Current'!$A:$B,2,FALSE)</f>
        <v>917442674</v>
      </c>
      <c r="G105" s="8">
        <f>IFERROR(VLOOKUP(A105,'[3]Total Flows'!$A$1:$B$129,2,FALSE),"")</f>
        <v>10840043.590000013</v>
      </c>
      <c r="H105" s="8">
        <f>VLOOKUP(A105,'[3]Last AUM History '!$A:$B,2,FALSE)</f>
        <v>869067080</v>
      </c>
      <c r="I105">
        <f t="shared" si="6"/>
        <v>869.06708000000003</v>
      </c>
      <c r="J105">
        <f t="shared" si="7"/>
        <v>48375594</v>
      </c>
      <c r="K105" s="9">
        <f t="shared" si="8"/>
        <v>48375594</v>
      </c>
      <c r="L105">
        <f t="shared" si="9"/>
        <v>917.44267400000001</v>
      </c>
      <c r="M105">
        <f t="shared" si="10"/>
        <v>48.375594</v>
      </c>
      <c r="N105">
        <f t="shared" si="11"/>
        <v>10.840043590000013</v>
      </c>
    </row>
    <row r="106" spans="1:14" x14ac:dyDescent="0.25">
      <c r="A106" t="s">
        <v>214</v>
      </c>
      <c r="B106" t="s">
        <v>215</v>
      </c>
      <c r="C106" t="s">
        <v>51</v>
      </c>
      <c r="D106" t="s">
        <v>246</v>
      </c>
      <c r="E106" t="s">
        <v>253</v>
      </c>
      <c r="F106">
        <f>VLOOKUP(A106,'[3]AUM History Current'!$A:$B,2,FALSE)</f>
        <v>253333398</v>
      </c>
      <c r="G106" s="8">
        <f>IFERROR(VLOOKUP(A106,'[3]Total Flows'!$A$1:$B$129,2,FALSE),"")</f>
        <v>7390538.6799999997</v>
      </c>
      <c r="H106" s="8">
        <f>VLOOKUP(A106,'[3]Last AUM History '!$A:$B,2,FALSE)</f>
        <v>239873847</v>
      </c>
      <c r="I106">
        <f t="shared" si="6"/>
        <v>239.87384700000001</v>
      </c>
      <c r="J106">
        <f t="shared" si="7"/>
        <v>13459551</v>
      </c>
      <c r="K106" s="9">
        <f t="shared" si="8"/>
        <v>13459551</v>
      </c>
      <c r="L106">
        <f t="shared" si="9"/>
        <v>253.33339799999999</v>
      </c>
      <c r="M106">
        <f t="shared" si="10"/>
        <v>13.459550999999999</v>
      </c>
      <c r="N106">
        <f t="shared" si="11"/>
        <v>7.3905386799999997</v>
      </c>
    </row>
    <row r="107" spans="1:14" x14ac:dyDescent="0.25">
      <c r="A107" t="s">
        <v>216</v>
      </c>
      <c r="B107" t="s">
        <v>217</v>
      </c>
      <c r="C107" t="s">
        <v>51</v>
      </c>
      <c r="D107" t="s">
        <v>246</v>
      </c>
      <c r="E107" t="s">
        <v>253</v>
      </c>
      <c r="G107" s="8">
        <f>IFERROR(VLOOKUP(A107,'[3]Total Flows'!$A$1:$B$129,2,FALSE),"")</f>
        <v>455287.96000000054</v>
      </c>
      <c r="H107" s="8"/>
      <c r="I107">
        <f t="shared" si="6"/>
        <v>0</v>
      </c>
      <c r="J107">
        <f t="shared" si="7"/>
        <v>0</v>
      </c>
      <c r="K107" s="9">
        <f t="shared" si="8"/>
        <v>0</v>
      </c>
      <c r="L107">
        <f t="shared" si="9"/>
        <v>0</v>
      </c>
      <c r="M107">
        <f t="shared" si="10"/>
        <v>0</v>
      </c>
      <c r="N107">
        <f t="shared" si="11"/>
        <v>0.45528796000000055</v>
      </c>
    </row>
    <row r="108" spans="1:14" x14ac:dyDescent="0.25">
      <c r="A108" t="s">
        <v>218</v>
      </c>
      <c r="B108" t="s">
        <v>219</v>
      </c>
      <c r="C108" t="s">
        <v>51</v>
      </c>
      <c r="D108" s="5" t="s">
        <v>246</v>
      </c>
      <c r="E108" t="s">
        <v>253</v>
      </c>
      <c r="G108" s="8"/>
      <c r="H108" s="8"/>
      <c r="I108">
        <f t="shared" si="6"/>
        <v>0</v>
      </c>
      <c r="J108">
        <f t="shared" si="7"/>
        <v>0</v>
      </c>
      <c r="K108" s="9">
        <f t="shared" si="8"/>
        <v>0</v>
      </c>
      <c r="L108">
        <f t="shared" si="9"/>
        <v>0</v>
      </c>
      <c r="M108">
        <f t="shared" si="10"/>
        <v>0</v>
      </c>
      <c r="N108">
        <f t="shared" si="11"/>
        <v>0</v>
      </c>
    </row>
    <row r="109" spans="1:14" x14ac:dyDescent="0.25">
      <c r="A109" t="s">
        <v>220</v>
      </c>
      <c r="B109" t="str">
        <f>VLOOKUP($A109,'[2]Desk mapping'!$G:$L,3,FALSE)</f>
        <v>ASSET ALLOCATION MODEL PROTETTO 80</v>
      </c>
      <c r="C109" t="s">
        <v>51</v>
      </c>
      <c r="D109" t="s">
        <v>246</v>
      </c>
      <c r="E109" t="s">
        <v>255</v>
      </c>
      <c r="F109">
        <f>VLOOKUP(A109,'[3]AUM History Current'!$A:$B,2,FALSE)</f>
        <v>105718402</v>
      </c>
      <c r="G109" s="8">
        <f>IFERROR(VLOOKUP(A109,'[3]Total Flows'!$A$1:$B$129,2,FALSE),"")</f>
        <v>-3074648.8299999991</v>
      </c>
      <c r="H109" s="8">
        <f>VLOOKUP(A109,'[3]Last AUM History '!$A:$B,2,FALSE)</f>
        <v>108101631</v>
      </c>
      <c r="I109">
        <f t="shared" si="6"/>
        <v>108.101631</v>
      </c>
      <c r="J109">
        <f t="shared" si="7"/>
        <v>-2383229</v>
      </c>
      <c r="K109" s="9">
        <f t="shared" si="8"/>
        <v>-2383229</v>
      </c>
      <c r="L109">
        <f t="shared" si="9"/>
        <v>105.718402</v>
      </c>
      <c r="M109">
        <f t="shared" si="10"/>
        <v>-2.383229</v>
      </c>
      <c r="N109">
        <f t="shared" si="11"/>
        <v>-3.0746488299999992</v>
      </c>
    </row>
    <row r="110" spans="1:14" x14ac:dyDescent="0.25">
      <c r="A110" t="s">
        <v>221</v>
      </c>
      <c r="B110" t="s">
        <v>222</v>
      </c>
      <c r="C110" t="s">
        <v>51</v>
      </c>
      <c r="D110" t="s">
        <v>246</v>
      </c>
      <c r="E110" t="s">
        <v>251</v>
      </c>
      <c r="G110" s="8">
        <f>IFERROR(VLOOKUP(A110,'[3]Total Flows'!$A$1:$B$129,2,FALSE),"")</f>
        <v>-432255.85000000003</v>
      </c>
      <c r="H110" s="8"/>
      <c r="I110">
        <f t="shared" si="6"/>
        <v>0</v>
      </c>
      <c r="J110">
        <f t="shared" si="7"/>
        <v>0</v>
      </c>
      <c r="K110" s="9">
        <f t="shared" si="8"/>
        <v>0</v>
      </c>
      <c r="L110">
        <f t="shared" si="9"/>
        <v>0</v>
      </c>
      <c r="M110">
        <f t="shared" si="10"/>
        <v>0</v>
      </c>
      <c r="N110">
        <f t="shared" si="11"/>
        <v>-0.43225585000000005</v>
      </c>
    </row>
    <row r="111" spans="1:14" x14ac:dyDescent="0.25">
      <c r="A111" s="2" t="s">
        <v>223</v>
      </c>
      <c r="B111" s="2" t="s">
        <v>224</v>
      </c>
      <c r="C111" s="2" t="s">
        <v>51</v>
      </c>
      <c r="D111" s="2" t="s">
        <v>246</v>
      </c>
      <c r="E111" s="2" t="s">
        <v>252</v>
      </c>
      <c r="F111" s="2"/>
      <c r="G111" s="2" t="str">
        <f>IFERROR(VLOOKUP(A111,'[3]Total Flows'!$A$1:$B$129,2,FALSE),"")</f>
        <v/>
      </c>
      <c r="H111" s="2"/>
      <c r="I111" s="2">
        <f t="shared" si="6"/>
        <v>0</v>
      </c>
      <c r="J111" s="2">
        <f t="shared" si="7"/>
        <v>0</v>
      </c>
      <c r="K111" s="2">
        <f t="shared" si="8"/>
        <v>0</v>
      </c>
      <c r="L111" s="2">
        <f t="shared" si="9"/>
        <v>0</v>
      </c>
      <c r="M111" s="2">
        <f t="shared" si="10"/>
        <v>0</v>
      </c>
      <c r="N111" s="2" t="str">
        <f t="shared" si="11"/>
        <v/>
      </c>
    </row>
    <row r="112" spans="1:14" x14ac:dyDescent="0.25">
      <c r="A112" s="2" t="s">
        <v>225</v>
      </c>
      <c r="B112" s="2" t="s">
        <v>226</v>
      </c>
      <c r="C112" s="2" t="s">
        <v>51</v>
      </c>
      <c r="D112" s="2" t="s">
        <v>246</v>
      </c>
      <c r="E112" s="2" t="s">
        <v>253</v>
      </c>
      <c r="F112" s="2"/>
      <c r="G112" s="2" t="str">
        <f>IFERROR(VLOOKUP(A112,'[3]Total Flows'!$A$1:$B$129,2,FALSE),"")</f>
        <v/>
      </c>
      <c r="H112" s="2"/>
      <c r="I112" s="2">
        <f t="shared" si="6"/>
        <v>0</v>
      </c>
      <c r="J112" s="2">
        <f t="shared" si="7"/>
        <v>0</v>
      </c>
      <c r="K112" s="2">
        <f t="shared" si="8"/>
        <v>0</v>
      </c>
      <c r="L112" s="2">
        <f t="shared" si="9"/>
        <v>0</v>
      </c>
      <c r="M112" s="2">
        <f t="shared" si="10"/>
        <v>0</v>
      </c>
      <c r="N112" s="2" t="str">
        <f t="shared" si="11"/>
        <v/>
      </c>
    </row>
    <row r="113" spans="1:14" x14ac:dyDescent="0.25">
      <c r="A113" t="s">
        <v>227</v>
      </c>
      <c r="B113" t="s">
        <v>228</v>
      </c>
      <c r="D113" s="5"/>
      <c r="G113" s="8" t="str">
        <f>IFERROR(VLOOKUP(A113,'[3]Total Flows'!$A$1:$B$129,2,FALSE),"")</f>
        <v/>
      </c>
      <c r="H113" s="8"/>
      <c r="I113">
        <f t="shared" si="6"/>
        <v>0</v>
      </c>
      <c r="J113">
        <f t="shared" si="7"/>
        <v>0</v>
      </c>
      <c r="K113" s="9">
        <f t="shared" si="8"/>
        <v>0</v>
      </c>
      <c r="L113">
        <f t="shared" si="9"/>
        <v>0</v>
      </c>
      <c r="M113">
        <f t="shared" si="10"/>
        <v>0</v>
      </c>
      <c r="N113" t="str">
        <f t="shared" si="11"/>
        <v/>
      </c>
    </row>
    <row r="114" spans="1:14" x14ac:dyDescent="0.25">
      <c r="A114" t="s">
        <v>229</v>
      </c>
      <c r="B114" t="s">
        <v>230</v>
      </c>
      <c r="D114" s="5"/>
      <c r="G114" s="8" t="str">
        <f>IFERROR(VLOOKUP(A114,'[3]Total Flows'!$A$1:$B$129,2,FALSE),"")</f>
        <v/>
      </c>
      <c r="H114" s="8"/>
      <c r="I114">
        <f t="shared" si="6"/>
        <v>0</v>
      </c>
      <c r="J114">
        <f t="shared" si="7"/>
        <v>0</v>
      </c>
      <c r="K114" s="9">
        <f t="shared" si="8"/>
        <v>0</v>
      </c>
      <c r="L114">
        <f t="shared" si="9"/>
        <v>0</v>
      </c>
      <c r="M114">
        <f t="shared" si="10"/>
        <v>0</v>
      </c>
      <c r="N114" t="str">
        <f t="shared" si="11"/>
        <v/>
      </c>
    </row>
    <row r="115" spans="1:14" x14ac:dyDescent="0.25">
      <c r="A115" t="s">
        <v>231</v>
      </c>
      <c r="B115" t="s">
        <v>232</v>
      </c>
      <c r="D115" s="5"/>
      <c r="G115" s="8" t="str">
        <f>IFERROR(VLOOKUP(A115,'[3]Total Flows'!$A$1:$B$129,2,FALSE),"")</f>
        <v/>
      </c>
      <c r="H115" s="8"/>
      <c r="I115">
        <f t="shared" si="6"/>
        <v>0</v>
      </c>
      <c r="J115">
        <f t="shared" si="7"/>
        <v>0</v>
      </c>
      <c r="K115" s="9">
        <f t="shared" si="8"/>
        <v>0</v>
      </c>
      <c r="L115">
        <f t="shared" si="9"/>
        <v>0</v>
      </c>
      <c r="M115">
        <f t="shared" si="10"/>
        <v>0</v>
      </c>
      <c r="N115" t="str">
        <f t="shared" si="11"/>
        <v/>
      </c>
    </row>
    <row r="116" spans="1:14" x14ac:dyDescent="0.25">
      <c r="A116" t="s">
        <v>233</v>
      </c>
      <c r="B116" t="s">
        <v>234</v>
      </c>
      <c r="D116" s="5"/>
      <c r="G116" s="8" t="str">
        <f>IFERROR(VLOOKUP(A116,'[3]Total Flows'!$A$1:$B$129,2,FALSE),"")</f>
        <v/>
      </c>
      <c r="H116" s="8"/>
      <c r="I116">
        <f t="shared" si="6"/>
        <v>0</v>
      </c>
      <c r="J116">
        <f t="shared" si="7"/>
        <v>0</v>
      </c>
      <c r="K116" s="9">
        <f t="shared" si="8"/>
        <v>0</v>
      </c>
      <c r="L116">
        <f t="shared" si="9"/>
        <v>0</v>
      </c>
      <c r="M116">
        <f t="shared" si="10"/>
        <v>0</v>
      </c>
      <c r="N116" t="str">
        <f t="shared" si="11"/>
        <v/>
      </c>
    </row>
    <row r="117" spans="1:14" x14ac:dyDescent="0.25">
      <c r="A117" s="2" t="s">
        <v>235</v>
      </c>
      <c r="B117" s="2" t="s">
        <v>236</v>
      </c>
      <c r="C117" s="2" t="s">
        <v>51</v>
      </c>
      <c r="D117" s="2" t="s">
        <v>246</v>
      </c>
      <c r="E117" s="2" t="s">
        <v>252</v>
      </c>
      <c r="F117" s="2"/>
      <c r="G117" s="2" t="str">
        <f>IFERROR(VLOOKUP(A117,'[3]Total Flows'!$A$1:$B$129,2,FALSE),"")</f>
        <v/>
      </c>
      <c r="H117" s="2"/>
      <c r="I117" s="2">
        <f t="shared" si="6"/>
        <v>0</v>
      </c>
      <c r="J117" s="2">
        <f t="shared" si="7"/>
        <v>0</v>
      </c>
      <c r="K117" s="2">
        <f t="shared" si="8"/>
        <v>0</v>
      </c>
      <c r="L117" s="2">
        <f t="shared" si="9"/>
        <v>0</v>
      </c>
      <c r="M117" s="2">
        <f t="shared" si="10"/>
        <v>0</v>
      </c>
      <c r="N117" s="2" t="str">
        <f t="shared" si="11"/>
        <v/>
      </c>
    </row>
    <row r="118" spans="1:14" x14ac:dyDescent="0.25">
      <c r="A118" s="2" t="s">
        <v>237</v>
      </c>
      <c r="B118" s="2" t="s">
        <v>238</v>
      </c>
      <c r="C118" s="2" t="s">
        <v>51</v>
      </c>
      <c r="D118" s="2" t="s">
        <v>246</v>
      </c>
      <c r="E118" s="2" t="s">
        <v>252</v>
      </c>
      <c r="F118" s="2"/>
      <c r="G118" s="2" t="str">
        <f>IFERROR(VLOOKUP(A118,'[3]Total Flows'!$A$1:$B$129,2,FALSE),"")</f>
        <v/>
      </c>
      <c r="H118" s="2"/>
      <c r="I118" s="2">
        <f t="shared" si="6"/>
        <v>0</v>
      </c>
      <c r="J118" s="2">
        <f t="shared" si="7"/>
        <v>0</v>
      </c>
      <c r="K118" s="2">
        <f t="shared" si="8"/>
        <v>0</v>
      </c>
      <c r="L118" s="2">
        <f t="shared" si="9"/>
        <v>0</v>
      </c>
      <c r="M118" s="2">
        <f t="shared" si="10"/>
        <v>0</v>
      </c>
      <c r="N118" s="2" t="str">
        <f t="shared" si="11"/>
        <v/>
      </c>
    </row>
    <row r="119" spans="1:14" x14ac:dyDescent="0.25">
      <c r="A119" t="s">
        <v>239</v>
      </c>
      <c r="B119" t="s">
        <v>240</v>
      </c>
      <c r="C119" t="s">
        <v>10</v>
      </c>
      <c r="D119" s="5"/>
      <c r="G119" s="8"/>
      <c r="H119" s="8"/>
      <c r="I119">
        <f t="shared" si="6"/>
        <v>0</v>
      </c>
      <c r="J119">
        <f t="shared" si="7"/>
        <v>0</v>
      </c>
      <c r="K119" s="9">
        <f t="shared" si="8"/>
        <v>0</v>
      </c>
      <c r="L119">
        <f t="shared" si="9"/>
        <v>0</v>
      </c>
      <c r="M119">
        <f t="shared" si="10"/>
        <v>0</v>
      </c>
      <c r="N119">
        <f t="shared" si="11"/>
        <v>0</v>
      </c>
    </row>
    <row r="120" spans="1:14" x14ac:dyDescent="0.25">
      <c r="A120" t="s">
        <v>241</v>
      </c>
      <c r="B120" t="s">
        <v>242</v>
      </c>
      <c r="C120" t="s">
        <v>10</v>
      </c>
      <c r="D120" s="5"/>
      <c r="G120" s="8"/>
      <c r="H120" s="8"/>
      <c r="I120">
        <f t="shared" si="6"/>
        <v>0</v>
      </c>
      <c r="J120">
        <f t="shared" si="7"/>
        <v>0</v>
      </c>
      <c r="K120" s="9">
        <f t="shared" si="8"/>
        <v>0</v>
      </c>
      <c r="L120">
        <f t="shared" si="9"/>
        <v>0</v>
      </c>
      <c r="M120">
        <f t="shared" si="10"/>
        <v>0</v>
      </c>
      <c r="N120">
        <f t="shared" si="11"/>
        <v>0</v>
      </c>
    </row>
    <row r="121" spans="1:14" x14ac:dyDescent="0.25">
      <c r="A121" t="s">
        <v>243</v>
      </c>
      <c r="B121" t="s">
        <v>244</v>
      </c>
      <c r="C121" t="s">
        <v>51</v>
      </c>
      <c r="D121" t="s">
        <v>246</v>
      </c>
      <c r="E121" t="s">
        <v>253</v>
      </c>
      <c r="G121" s="8"/>
      <c r="H121" s="8"/>
      <c r="I121">
        <f t="shared" si="6"/>
        <v>0</v>
      </c>
      <c r="J121">
        <f t="shared" si="7"/>
        <v>0</v>
      </c>
      <c r="K121" s="9">
        <f t="shared" si="8"/>
        <v>0</v>
      </c>
      <c r="L121">
        <f t="shared" si="9"/>
        <v>0</v>
      </c>
      <c r="M121">
        <f t="shared" si="10"/>
        <v>0</v>
      </c>
      <c r="N121">
        <f t="shared" si="11"/>
        <v>0</v>
      </c>
    </row>
    <row r="122" spans="1:14" x14ac:dyDescent="0.25">
      <c r="A122" s="1"/>
      <c r="B122" s="1"/>
      <c r="C122" s="1"/>
      <c r="D122" s="1"/>
      <c r="E122" s="1"/>
      <c r="F122" s="1">
        <f>SUM(F2:F121)</f>
        <v>23663615936.888096</v>
      </c>
      <c r="G122" s="1">
        <f>SUM(G2:G121)</f>
        <v>-2907001309.7078838</v>
      </c>
      <c r="H122" s="1">
        <f>SUM(H2:H121)</f>
        <v>26179290031.309433</v>
      </c>
      <c r="I122" s="1">
        <f>SUM(I2:I121)</f>
        <v>26179.290031309432</v>
      </c>
      <c r="J122" s="1">
        <f t="shared" ref="J122:N122" si="12">SUM(J2:J121)</f>
        <v>-2515674094.4213357</v>
      </c>
      <c r="K122" s="1">
        <f t="shared" si="12"/>
        <v>-2515674094.4213357</v>
      </c>
      <c r="L122" s="1">
        <f t="shared" si="12"/>
        <v>23663.615936888091</v>
      </c>
      <c r="M122" s="1">
        <f t="shared" si="12"/>
        <v>-2515.6740944213361</v>
      </c>
      <c r="N122" s="1">
        <f t="shared" si="12"/>
        <v>-2907.0013097078868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Startegy Changes Mod or Fun (QT</vt:lpstr>
      <vt:lpstr>AUM Data Sheet Dublin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Annicchini Victoria (AMUNDI.IRL)</dc:creator>
  <cp:lastModifiedBy>Annicchini Victoria (AMUNDI.IRL)</cp:lastModifiedBy>
  <dcterms:created xsi:type="dcterms:W3CDTF">2025-01-30T11:57:57Z</dcterms:created>
  <dcterms:modified xsi:type="dcterms:W3CDTF">2025-01-30T14:36:35Z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2025-01-30T12:34:17Z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4a5209bc-5003-4328-8538-4fc5b8350c9a</vt:lpwstr>
  </property>
  <property fmtid="{D5CDD505-2E9C-101B-9397-08002B2CF9AE}" pid="8" name="MSIP_Label_b883b941-8ea7-4241-901e-c2d3d23093c7_ContentBits">
    <vt:lpwstr>0</vt:lpwstr>
  </property>
</Properties>
</file>