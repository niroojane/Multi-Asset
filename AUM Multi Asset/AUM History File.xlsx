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P:\Amundi_Multi-Asset\Multi-Asset_Fund_Solutions\Portfolio_Management\Dublin\MAP\Salvatore\AUM Files\"/>
    </mc:Choice>
  </mc:AlternateContent>
  <xr:revisionPtr revIDLastSave="0" documentId="13_ncr:1_{B35CADD8-BE51-4D7F-9537-75F6D08E0FD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AUM" sheetId="1" r:id="rId1"/>
    <sheet name="Last Aum File" sheetId="6" r:id="rId2"/>
    <sheet name="breakdown by model New Date" sheetId="34" r:id="rId3"/>
    <sheet name="breakdown by model OLD Date" sheetId="33" r:id="rId4"/>
    <sheet name="31st Dec 22" sheetId="35" r:id="rId5"/>
    <sheet name="30th June 2021" sheetId="32" r:id="rId6"/>
    <sheet name="16th June 2021" sheetId="31" r:id="rId7"/>
    <sheet name="10th March 2021" sheetId="30" r:id="rId8"/>
    <sheet name="17th Feb 2021" sheetId="29" r:id="rId9"/>
    <sheet name="27th Jan 2021" sheetId="28" r:id="rId10"/>
    <sheet name="31st December 2020" sheetId="27" r:id="rId11"/>
    <sheet name="31st Nov 2020" sheetId="26" r:id="rId12"/>
    <sheet name="18th Nov 2020" sheetId="25" r:id="rId13"/>
    <sheet name="10th Nov 2020" sheetId="23" r:id="rId14"/>
    <sheet name="17th Oct" sheetId="24" r:id="rId15"/>
    <sheet name="13th Sept 2020" sheetId="22" r:id="rId16"/>
    <sheet name="30th Sept 2020" sheetId="21" r:id="rId17"/>
    <sheet name="09th Septmber" sheetId="20" r:id="rId18"/>
    <sheet name="1st of July 2020" sheetId="19" r:id="rId19"/>
    <sheet name="17th June 2020" sheetId="18" r:id="rId20"/>
    <sheet name="31st May 2020" sheetId="17" r:id="rId21"/>
    <sheet name="30th of April 2020" sheetId="13" r:id="rId22"/>
    <sheet name="8th April" sheetId="12" r:id="rId23"/>
    <sheet name="31st March Update" sheetId="16" r:id="rId24"/>
    <sheet name="31st March 2020" sheetId="14" r:id="rId25"/>
    <sheet name="22nd March 2020" sheetId="11" r:id="rId26"/>
    <sheet name="26th Feb 2020" sheetId="9" r:id="rId27"/>
    <sheet name="13th Feb 2020" sheetId="10" r:id="rId28"/>
    <sheet name="Jan 29th 2020" sheetId="7" r:id="rId29"/>
    <sheet name="Jan 6th 2020" sheetId="8" r:id="rId30"/>
    <sheet name="Dec 2nd 2019" sheetId="4" r:id="rId31"/>
    <sheet name="Nov 20th 2019" sheetId="3" r:id="rId32"/>
    <sheet name="Nov 6th 2019" sheetId="2" r:id="rId33"/>
    <sheet name="AUM End September " sheetId="5" r:id="rId34"/>
  </sheets>
  <definedNames>
    <definedName name="_xlnm._FilterDatabase" localSheetId="1" hidden="1">'Last Aum File'!$A$1:$M$123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5" i="6" l="1"/>
  <c r="E104" i="6"/>
  <c r="E103" i="6"/>
  <c r="E113" i="1" l="1"/>
  <c r="E112" i="1"/>
  <c r="E111" i="1"/>
  <c r="D3" i="16" l="1"/>
</calcChain>
</file>

<file path=xl/sharedStrings.xml><?xml version="1.0" encoding="utf-8"?>
<sst xmlns="http://schemas.openxmlformats.org/spreadsheetml/2006/main" count="4633" uniqueCount="444">
  <si>
    <t>+</t>
  </si>
  <si>
    <t>AUM</t>
  </si>
  <si>
    <t>CCRESCITA</t>
  </si>
  <si>
    <t>CMEDIUM</t>
  </si>
  <si>
    <t>COBBLEURO</t>
  </si>
  <si>
    <t>CREDDITO</t>
  </si>
  <si>
    <t>CSVILUPPO</t>
  </si>
  <si>
    <t>CTREND_20</t>
  </si>
  <si>
    <t>PLIC</t>
  </si>
  <si>
    <t>PP1-3Y</t>
  </si>
  <si>
    <t>PP3Y</t>
  </si>
  <si>
    <t>PUPORTF20</t>
  </si>
  <si>
    <t>PUPORTF30</t>
  </si>
  <si>
    <t>PUPORTF40</t>
  </si>
  <si>
    <t>PUPORTF50</t>
  </si>
  <si>
    <t>PUPORTF70</t>
  </si>
  <si>
    <t>STEPONE</t>
  </si>
  <si>
    <t>UES20</t>
  </si>
  <si>
    <t>UES30</t>
  </si>
  <si>
    <t>UES40</t>
  </si>
  <si>
    <t>UES50</t>
  </si>
  <si>
    <t>UES70</t>
  </si>
  <si>
    <t>SFI-MONE</t>
  </si>
  <si>
    <t>SFI-PRUD</t>
  </si>
  <si>
    <t>SFI-PRUD-</t>
  </si>
  <si>
    <t>ULDIAM1-M</t>
  </si>
  <si>
    <t>MLINC</t>
  </si>
  <si>
    <t>MULLI360</t>
  </si>
  <si>
    <t>MUSI</t>
  </si>
  <si>
    <t>CNPDYNPR80</t>
  </si>
  <si>
    <t>CRVDYNPR80</t>
  </si>
  <si>
    <t>LINPRO</t>
  </si>
  <si>
    <t>MAA</t>
  </si>
  <si>
    <t>MAB</t>
  </si>
  <si>
    <t>MAC</t>
  </si>
  <si>
    <t>MAD</t>
  </si>
  <si>
    <t>MAE</t>
  </si>
  <si>
    <t>MAF</t>
  </si>
  <si>
    <t>MAG</t>
  </si>
  <si>
    <t>MAH</t>
  </si>
  <si>
    <t>PMAI</t>
  </si>
  <si>
    <t>MAL</t>
  </si>
  <si>
    <t>MAM</t>
  </si>
  <si>
    <t>MAN</t>
  </si>
  <si>
    <t>MATRUNIP</t>
  </si>
  <si>
    <t>MLPFLEX</t>
  </si>
  <si>
    <t>SFI-TR</t>
  </si>
  <si>
    <t>ULACCO</t>
  </si>
  <si>
    <t>1PM</t>
  </si>
  <si>
    <t>1QM</t>
  </si>
  <si>
    <t>1RM</t>
  </si>
  <si>
    <t>APMA1</t>
  </si>
  <si>
    <t>APMA2</t>
  </si>
  <si>
    <t>APMA3</t>
  </si>
  <si>
    <t>APMA4</t>
  </si>
  <si>
    <t>DINAR1TF</t>
  </si>
  <si>
    <t>DINAR2TF</t>
  </si>
  <si>
    <t>DINAR3TF</t>
  </si>
  <si>
    <t>LINBIL</t>
  </si>
  <si>
    <t>LINBILPIU</t>
  </si>
  <si>
    <t>LINCAUTA</t>
  </si>
  <si>
    <t>LINDIN</t>
  </si>
  <si>
    <t>LINPRUD</t>
  </si>
  <si>
    <t>LINPRUPIU</t>
  </si>
  <si>
    <t>MEPF10</t>
  </si>
  <si>
    <t>MEPF2N</t>
  </si>
  <si>
    <t>MEPF4</t>
  </si>
  <si>
    <t>MEPF5</t>
  </si>
  <si>
    <t>MEPF6</t>
  </si>
  <si>
    <t>MEPF8</t>
  </si>
  <si>
    <t>MGUPAMSF1</t>
  </si>
  <si>
    <t>MGUPAMSF2</t>
  </si>
  <si>
    <t>MGUPAMSF3</t>
  </si>
  <si>
    <t>MGUPAMSF4</t>
  </si>
  <si>
    <t>MGUPAMSF5</t>
  </si>
  <si>
    <t>MGUPAMTF1</t>
  </si>
  <si>
    <t>MGUPAMTF2</t>
  </si>
  <si>
    <t>MGUPAMTF3</t>
  </si>
  <si>
    <t>MGUPAMTF4</t>
  </si>
  <si>
    <t>MGUPAMTF5</t>
  </si>
  <si>
    <t>MLIFEBND</t>
  </si>
  <si>
    <t>MUNIP</t>
  </si>
  <si>
    <t>R1M</t>
  </si>
  <si>
    <t>R2M</t>
  </si>
  <si>
    <t>ULBER-</t>
  </si>
  <si>
    <t>ULBIL</t>
  </si>
  <si>
    <t>ULBILPIU</t>
  </si>
  <si>
    <t>ULC</t>
  </si>
  <si>
    <t>ULDER</t>
  </si>
  <si>
    <t>ULDIN</t>
  </si>
  <si>
    <t>ULG4NEW</t>
  </si>
  <si>
    <t>ULP</t>
  </si>
  <si>
    <t>ULP-ER</t>
  </si>
  <si>
    <t>ULPER</t>
  </si>
  <si>
    <t>ULPRUD</t>
  </si>
  <si>
    <t>AAPROT80</t>
  </si>
  <si>
    <t>MULTHEM</t>
  </si>
  <si>
    <t>MULSTEP</t>
  </si>
  <si>
    <t>MUSG</t>
  </si>
  <si>
    <t>E207</t>
  </si>
  <si>
    <t>E208</t>
  </si>
  <si>
    <t>E209</t>
  </si>
  <si>
    <t>E224</t>
  </si>
  <si>
    <t>E118</t>
  </si>
  <si>
    <t>E119</t>
  </si>
  <si>
    <t>E120</t>
  </si>
  <si>
    <t>E142</t>
  </si>
  <si>
    <t>E143</t>
  </si>
  <si>
    <t>E144</t>
  </si>
  <si>
    <t>E193</t>
  </si>
  <si>
    <t>PF71664</t>
  </si>
  <si>
    <t>PF76580</t>
  </si>
  <si>
    <t>PF78195</t>
  </si>
  <si>
    <t>PSUKLD1</t>
  </si>
  <si>
    <t>PU3</t>
  </si>
  <si>
    <t>U1</t>
  </si>
  <si>
    <t>U13</t>
  </si>
  <si>
    <t>U14</t>
  </si>
  <si>
    <t>U15</t>
  </si>
  <si>
    <t>U17</t>
  </si>
  <si>
    <t>U2</t>
  </si>
  <si>
    <t>U6</t>
  </si>
  <si>
    <t>PF79139</t>
  </si>
  <si>
    <t>PF80513</t>
  </si>
  <si>
    <t>MEUPAMSF3</t>
  </si>
  <si>
    <t>HF11</t>
  </si>
  <si>
    <t>Decalog ID</t>
  </si>
  <si>
    <t>AUM from our AUM Sept 2019 file</t>
  </si>
  <si>
    <t>E169</t>
  </si>
  <si>
    <t>PACIFAI</t>
  </si>
  <si>
    <t>Multhem</t>
  </si>
  <si>
    <t>DIOP3</t>
  </si>
  <si>
    <t>DIOP4</t>
  </si>
  <si>
    <t>BBSECCORE</t>
  </si>
  <si>
    <t>BBSECPERIPH</t>
  </si>
  <si>
    <t>BBSECEURIG</t>
  </si>
  <si>
    <t>BBSECUSTBOND</t>
  </si>
  <si>
    <t>DIOP 1</t>
  </si>
  <si>
    <t>DIOP 2</t>
  </si>
  <si>
    <t>PF82304</t>
  </si>
  <si>
    <t>CNPTHEMPROT</t>
  </si>
  <si>
    <t>CRVTHEMPROT</t>
  </si>
  <si>
    <t>Date</t>
  </si>
  <si>
    <t>8th April</t>
  </si>
  <si>
    <t>PF_COD</t>
  </si>
  <si>
    <t>ACTIF_TOTAL_NET</t>
  </si>
  <si>
    <t xml:space="preserve">1PM         </t>
  </si>
  <si>
    <t xml:space="preserve">1QM         </t>
  </si>
  <si>
    <t xml:space="preserve">1RM         </t>
  </si>
  <si>
    <t xml:space="preserve">AAPROT80    </t>
  </si>
  <si>
    <t xml:space="preserve">CCRESCITA   </t>
  </si>
  <si>
    <t xml:space="preserve">CMEDIUM     </t>
  </si>
  <si>
    <t xml:space="preserve">CNPDYNPR80  </t>
  </si>
  <si>
    <t xml:space="preserve">CNPTHEMPROT </t>
  </si>
  <si>
    <t xml:space="preserve">COBBLEURO   </t>
  </si>
  <si>
    <t xml:space="preserve">CREDDITO    </t>
  </si>
  <si>
    <t xml:space="preserve">CRVDYNPR80  </t>
  </si>
  <si>
    <t xml:space="preserve">CRVTHEMPROT </t>
  </si>
  <si>
    <t xml:space="preserve">CSVILUPPO   </t>
  </si>
  <si>
    <t xml:space="preserve">CTREND_20   </t>
  </si>
  <si>
    <t xml:space="preserve">DINAR1TF    </t>
  </si>
  <si>
    <t xml:space="preserve">DINAR2TF    </t>
  </si>
  <si>
    <t xml:space="preserve">DINAR3TF    </t>
  </si>
  <si>
    <t xml:space="preserve">E118        </t>
  </si>
  <si>
    <t xml:space="preserve">E119        </t>
  </si>
  <si>
    <t xml:space="preserve">E120        </t>
  </si>
  <si>
    <t xml:space="preserve">E142        </t>
  </si>
  <si>
    <t xml:space="preserve">E143        </t>
  </si>
  <si>
    <t xml:space="preserve">E144        </t>
  </si>
  <si>
    <t xml:space="preserve">E193        </t>
  </si>
  <si>
    <t xml:space="preserve">E207        </t>
  </si>
  <si>
    <t xml:space="preserve">E208        </t>
  </si>
  <si>
    <t xml:space="preserve">LINPRO      </t>
  </si>
  <si>
    <t xml:space="preserve">MAA         </t>
  </si>
  <si>
    <t xml:space="preserve">MAB         </t>
  </si>
  <si>
    <t xml:space="preserve">MAC         </t>
  </si>
  <si>
    <t xml:space="preserve">MAD         </t>
  </si>
  <si>
    <t xml:space="preserve">MAE         </t>
  </si>
  <si>
    <t xml:space="preserve">MAF         </t>
  </si>
  <si>
    <t xml:space="preserve">MAG         </t>
  </si>
  <si>
    <t xml:space="preserve">MAH         </t>
  </si>
  <si>
    <t xml:space="preserve">MAL         </t>
  </si>
  <si>
    <t xml:space="preserve">MAM         </t>
  </si>
  <si>
    <t xml:space="preserve">MAN         </t>
  </si>
  <si>
    <t xml:space="preserve">MATRUNIP    </t>
  </si>
  <si>
    <t xml:space="preserve">MEPF10      </t>
  </si>
  <si>
    <t xml:space="preserve">MEPF2N      </t>
  </si>
  <si>
    <t xml:space="preserve">MEPF4       </t>
  </si>
  <si>
    <t xml:space="preserve">MEPF5       </t>
  </si>
  <si>
    <t xml:space="preserve">MEPF6       </t>
  </si>
  <si>
    <t xml:space="preserve">MEPF8       </t>
  </si>
  <si>
    <t xml:space="preserve">MLIFEBND    </t>
  </si>
  <si>
    <t xml:space="preserve">MLINC       </t>
  </si>
  <si>
    <t xml:space="preserve">MLPFLEX     </t>
  </si>
  <si>
    <t xml:space="preserve">MULLI360    </t>
  </si>
  <si>
    <t xml:space="preserve">MULSTEP     </t>
  </si>
  <si>
    <t xml:space="preserve">MULTHEM     </t>
  </si>
  <si>
    <t xml:space="preserve">MUNIP       </t>
  </si>
  <si>
    <t xml:space="preserve">MUSG        </t>
  </si>
  <si>
    <t xml:space="preserve">MUSI        </t>
  </si>
  <si>
    <t xml:space="preserve">PACIFAI     </t>
  </si>
  <si>
    <t xml:space="preserve">PF71664     </t>
  </si>
  <si>
    <t xml:space="preserve">PF76580     </t>
  </si>
  <si>
    <t xml:space="preserve">PF78195     </t>
  </si>
  <si>
    <t xml:space="preserve">PF79139     </t>
  </si>
  <si>
    <t xml:space="preserve">PF80513     </t>
  </si>
  <si>
    <t xml:space="preserve">PF82304     </t>
  </si>
  <si>
    <t xml:space="preserve">PLIC        </t>
  </si>
  <si>
    <t xml:space="preserve">PMAI        </t>
  </si>
  <si>
    <t xml:space="preserve">PP1-3Y      </t>
  </si>
  <si>
    <t xml:space="preserve">PP3Y        </t>
  </si>
  <si>
    <t xml:space="preserve">PU3         </t>
  </si>
  <si>
    <t xml:space="preserve">PUPORTF20   </t>
  </si>
  <si>
    <t xml:space="preserve">PUPORTF30   </t>
  </si>
  <si>
    <t xml:space="preserve">PUPORTF40   </t>
  </si>
  <si>
    <t xml:space="preserve">PUPORTF50   </t>
  </si>
  <si>
    <t xml:space="preserve">PUPORTF70   </t>
  </si>
  <si>
    <t xml:space="preserve">R1M         </t>
  </si>
  <si>
    <t xml:space="preserve">R2M         </t>
  </si>
  <si>
    <t xml:space="preserve">SFI-MONE    </t>
  </si>
  <si>
    <t xml:space="preserve">SFI-TR      </t>
  </si>
  <si>
    <t xml:space="preserve">STEPONE     </t>
  </si>
  <si>
    <t xml:space="preserve">U1          </t>
  </si>
  <si>
    <t xml:space="preserve">U13         </t>
  </si>
  <si>
    <t xml:space="preserve">U14         </t>
  </si>
  <si>
    <t xml:space="preserve">U15         </t>
  </si>
  <si>
    <t xml:space="preserve">U2          </t>
  </si>
  <si>
    <t xml:space="preserve">U6          </t>
  </si>
  <si>
    <t xml:space="preserve">UES20       </t>
  </si>
  <si>
    <t xml:space="preserve">UES30       </t>
  </si>
  <si>
    <t xml:space="preserve">UES40       </t>
  </si>
  <si>
    <t xml:space="preserve">UES50       </t>
  </si>
  <si>
    <t xml:space="preserve">UES70       </t>
  </si>
  <si>
    <t xml:space="preserve">ULACCO      </t>
  </si>
  <si>
    <t xml:space="preserve">ULBIL       </t>
  </si>
  <si>
    <t xml:space="preserve">ULBILPIU    </t>
  </si>
  <si>
    <t xml:space="preserve">ULC         </t>
  </si>
  <si>
    <t xml:space="preserve">ULDIN       </t>
  </si>
  <si>
    <t xml:space="preserve">ULG4NEW     </t>
  </si>
  <si>
    <t xml:space="preserve">ULP         </t>
  </si>
  <si>
    <t xml:space="preserve">ULPRUD      </t>
  </si>
  <si>
    <t>31st March</t>
  </si>
  <si>
    <t>17th June</t>
  </si>
  <si>
    <t/>
  </si>
  <si>
    <t>ULECSTARS</t>
  </si>
  <si>
    <t>UDM6</t>
  </si>
  <si>
    <t>UDM9</t>
  </si>
  <si>
    <t>UDM7</t>
  </si>
  <si>
    <t>PF87100</t>
  </si>
  <si>
    <t>PF87115</t>
  </si>
  <si>
    <t>PPIAZNAM</t>
  </si>
  <si>
    <t>PPIAZNAMHEDG</t>
  </si>
  <si>
    <t>PPIAZINTER</t>
  </si>
  <si>
    <t>PPIAZJAP</t>
  </si>
  <si>
    <t>PF88524</t>
  </si>
  <si>
    <t>MDIA4UL</t>
  </si>
  <si>
    <t>PLAP</t>
  </si>
  <si>
    <t>PPIAZPACIF</t>
  </si>
  <si>
    <t xml:space="preserve">PF88300     </t>
  </si>
  <si>
    <t>F100123</t>
  </si>
  <si>
    <t>PF88300</t>
  </si>
  <si>
    <t>PF89408</t>
  </si>
  <si>
    <t>UNGOALS</t>
  </si>
  <si>
    <t>PF92127</t>
  </si>
  <si>
    <t>Add to UMD7</t>
  </si>
  <si>
    <t>Add to UMD9</t>
  </si>
  <si>
    <t>Add to UMD6</t>
  </si>
  <si>
    <t>PF52231</t>
  </si>
  <si>
    <t>PF95239</t>
  </si>
  <si>
    <t>CNPPROT80</t>
  </si>
  <si>
    <t>CRVPROT80</t>
  </si>
  <si>
    <t>ULFTREND</t>
  </si>
  <si>
    <t>ULMATREND</t>
  </si>
  <si>
    <t>PF101372</t>
  </si>
  <si>
    <t>PF101376</t>
  </si>
  <si>
    <t>PF101380</t>
  </si>
  <si>
    <t>PF103025</t>
  </si>
  <si>
    <t>MODSAXAC</t>
  </si>
  <si>
    <t>MODSAXAERO</t>
  </si>
  <si>
    <t>MODSAXLRO</t>
  </si>
  <si>
    <t>MODSAXEC</t>
  </si>
  <si>
    <t>MODSAXRO</t>
  </si>
  <si>
    <t>MODETFBAL</t>
  </si>
  <si>
    <t>MODETFBALUS</t>
  </si>
  <si>
    <t>MODETFDYN</t>
  </si>
  <si>
    <t>MODETFDYNUS</t>
  </si>
  <si>
    <t>MODETFPRU</t>
  </si>
  <si>
    <t>MODETFPRUUS</t>
  </si>
  <si>
    <t>UNIT LINKED UN GOALS</t>
  </si>
  <si>
    <t>SMIT 14</t>
  </si>
  <si>
    <t>UL Prudente Piu</t>
  </si>
  <si>
    <t>UL Prudente</t>
  </si>
  <si>
    <t>UNIT LINKED MULTI ASSET TREND</t>
  </si>
  <si>
    <t>Unit Linked G4 new</t>
  </si>
  <si>
    <t>UNIT LINKED FUTURE TREND</t>
  </si>
  <si>
    <t>UL Global Equity Dividend &amp; Subordinated</t>
  </si>
  <si>
    <t>UL Dinamica</t>
  </si>
  <si>
    <t>UL Cauta</t>
  </si>
  <si>
    <t>UL Bilanciata Piu</t>
  </si>
  <si>
    <t>UL Bilanciata</t>
  </si>
  <si>
    <t>Unit Linked Multi Equity Accumulation</t>
  </si>
  <si>
    <t>Univalore E Strategia 70</t>
  </si>
  <si>
    <t>Univalore E Strategia 50</t>
  </si>
  <si>
    <t>Univalore E Strategia 40</t>
  </si>
  <si>
    <t>Univalore E Strategia 30</t>
  </si>
  <si>
    <t>Univalore E Strategia 20</t>
  </si>
  <si>
    <t>Univalore E Azionario Emerg Eu E Meditteraneo</t>
  </si>
  <si>
    <t>UEEEM</t>
  </si>
  <si>
    <t>Unit Linked Multi Equity India</t>
  </si>
  <si>
    <t>UEAIN</t>
  </si>
  <si>
    <t>Unit Linked Multi Equity Greater China</t>
  </si>
  <si>
    <t>UEAC</t>
  </si>
  <si>
    <t>Unit Linked Multi Equity Latin America</t>
  </si>
  <si>
    <t>UEAAL</t>
  </si>
  <si>
    <t>UDM AZIONARIA INFRASTRUTTURE</t>
  </si>
  <si>
    <t>UDMINFRA</t>
  </si>
  <si>
    <t>Unit Linked Multi Equity Global</t>
  </si>
  <si>
    <t>Unit Linked Multi Equity Global Emerging Markets</t>
  </si>
  <si>
    <t>UDM8</t>
  </si>
  <si>
    <t>Unit Linked Multi Equity Pacific</t>
  </si>
  <si>
    <t>Unit Linked Multi Equity North America</t>
  </si>
  <si>
    <t>Mod UDM5 Ex Allianz</t>
  </si>
  <si>
    <t>UDM5EX</t>
  </si>
  <si>
    <t>Unit Linked Multi Equity Europe</t>
  </si>
  <si>
    <t>UDM5</t>
  </si>
  <si>
    <t>Unit Linked Multi Bond Global</t>
  </si>
  <si>
    <t>UDM3</t>
  </si>
  <si>
    <t>Unit Linked Multi Bond Euro</t>
  </si>
  <si>
    <t>UDM2</t>
  </si>
  <si>
    <t>Unit Linked Multi Equity Europe Small Cap</t>
  </si>
  <si>
    <t>UDM10</t>
  </si>
  <si>
    <t>Unit Linked Multi Money Market Euro</t>
  </si>
  <si>
    <t>UDM1</t>
  </si>
  <si>
    <t>CAM CNP - Linea Dinamica Plus</t>
  </si>
  <si>
    <t>CAM CNP - Linea  Dinamica</t>
  </si>
  <si>
    <t>PL Euro Bond over 3 years</t>
  </si>
  <si>
    <t>PL Euro Bond 1-3 years</t>
  </si>
  <si>
    <t>Unit Linked Multi Bond US</t>
  </si>
  <si>
    <t>PLUSB</t>
  </si>
  <si>
    <t>PL Income Clock</t>
  </si>
  <si>
    <t>PL Euro Bond Enhanced</t>
  </si>
  <si>
    <t>PLEBE</t>
  </si>
  <si>
    <t>Unit Linked Multi Equity AC Pacific</t>
  </si>
  <si>
    <t>Patrimonio Stars</t>
  </si>
  <si>
    <t>PATRIMONIO</t>
  </si>
  <si>
    <t>NULL</t>
  </si>
  <si>
    <t>Univalore Stars Income</t>
  </si>
  <si>
    <t>Univalore Stars Growth</t>
  </si>
  <si>
    <t>Unit Linked Multi Bond Euro Short Term</t>
  </si>
  <si>
    <t>MUSEST</t>
  </si>
  <si>
    <t>Univalore Stars Euro</t>
  </si>
  <si>
    <t>MUSE</t>
  </si>
  <si>
    <t>Unit Linked AMix UNIPLAN</t>
  </si>
  <si>
    <t>Unit Linked Multi Thematic Equity</t>
  </si>
  <si>
    <t>STEP CRESCITA</t>
  </si>
  <si>
    <t>Unit Linked LIFE INCOME 360</t>
  </si>
  <si>
    <t>CNP PL EURO BD ENHANCED MODEL</t>
  </si>
  <si>
    <t>MULBEC</t>
  </si>
  <si>
    <t>Life Program Flexible</t>
  </si>
  <si>
    <t>Unit Linked Life Income</t>
  </si>
  <si>
    <t>Life Program Bond</t>
  </si>
  <si>
    <t>EURO CASH</t>
  </si>
  <si>
    <t>MEUROC</t>
  </si>
  <si>
    <t>Unit Linked E6 New</t>
  </si>
  <si>
    <t>Unit Linked E4 new</t>
  </si>
  <si>
    <t>Unit Linked E3 new</t>
  </si>
  <si>
    <t>Unit Linked OLD 4</t>
  </si>
  <si>
    <t>Unit Linked E2 New</t>
  </si>
  <si>
    <t>Unit Linked G5 New</t>
  </si>
  <si>
    <t>PIP_ Equity</t>
  </si>
  <si>
    <t>MEP</t>
  </si>
  <si>
    <t>PIP_Bond</t>
  </si>
  <si>
    <t>MEBM</t>
  </si>
  <si>
    <t>Unit Linked Mono Equity North America</t>
  </si>
  <si>
    <t>Unit Linked Mono Equity Europe</t>
  </si>
  <si>
    <t>MDIA3UL</t>
  </si>
  <si>
    <t>Unit Linked Mono Bond Global</t>
  </si>
  <si>
    <t>MDIA2UL</t>
  </si>
  <si>
    <t>Unit Linked A TR UNIPLAN</t>
  </si>
  <si>
    <t>CAM Ottobre</t>
  </si>
  <si>
    <t>CAM Setttembre</t>
  </si>
  <si>
    <t>CAM Agosto</t>
  </si>
  <si>
    <t>CAM Luglio</t>
  </si>
  <si>
    <t>MAI</t>
  </si>
  <si>
    <t>CAM Giugno</t>
  </si>
  <si>
    <t>CAM Maggio</t>
  </si>
  <si>
    <t>CAM Aprile</t>
  </si>
  <si>
    <t>CAM Marzo</t>
  </si>
  <si>
    <t>CAM Febbraio</t>
  </si>
  <si>
    <t>CAM Gennaio</t>
  </si>
  <si>
    <t>CAM Dicembre</t>
  </si>
  <si>
    <t>CAM Novembre</t>
  </si>
  <si>
    <t>INCOME SMART</t>
  </si>
  <si>
    <t>INCSMRT</t>
  </si>
  <si>
    <t>Uniflex Active 3</t>
  </si>
  <si>
    <t>Uniflex Active 2</t>
  </si>
  <si>
    <t>Uniflex Active 1</t>
  </si>
  <si>
    <t>CRV THEMATIC PROTECTION 80</t>
  </si>
  <si>
    <t>CRV PROTEZIONE 80</t>
  </si>
  <si>
    <t>CRV Dynamic Protection 80</t>
  </si>
  <si>
    <t>CNP Thematic Protection 80</t>
  </si>
  <si>
    <t>CNP PROTEZIONE 80</t>
  </si>
  <si>
    <t>CNP Dynamic Protection 80</t>
  </si>
  <si>
    <t>GPF CRESCITA</t>
  </si>
  <si>
    <t>Absolute Return Stars</t>
  </si>
  <si>
    <t>ARSTARS</t>
  </si>
  <si>
    <t>ASSET ALLOCATION MODEL PROTETTO 80</t>
  </si>
  <si>
    <t>HNW 2R TRAN</t>
  </si>
  <si>
    <t>2RTRAN</t>
  </si>
  <si>
    <t>HNW 2R SIC</t>
  </si>
  <si>
    <t>2RSIC</t>
  </si>
  <si>
    <t>HNW 2R DIN</t>
  </si>
  <si>
    <t>2RDIN</t>
  </si>
  <si>
    <t>CAM Ares Risparmio Obbligaz. M</t>
  </si>
  <si>
    <t>CAM Ares Risparmio Bilanciato M</t>
  </si>
  <si>
    <t>CAM Ares Risparmio Attivo M</t>
  </si>
  <si>
    <t>ModelName</t>
  </si>
  <si>
    <t>Model Master</t>
  </si>
  <si>
    <t>Tipo Prodotto</t>
  </si>
  <si>
    <t>Week 39 9/29/23</t>
  </si>
  <si>
    <t>Week 38 9/22/23</t>
  </si>
  <si>
    <t>Week 37 9/15/23</t>
  </si>
  <si>
    <t>Week 36 9/8/23</t>
  </si>
  <si>
    <t>Week 35 9/1/23</t>
  </si>
  <si>
    <t>Unit Linked product (SMIT2 SOC.14) - breakdown by model</t>
  </si>
  <si>
    <t>Week 48 12/1/23</t>
  </si>
  <si>
    <t>Week 49 12/8/23</t>
  </si>
  <si>
    <t>Week 50 12/15/23</t>
  </si>
  <si>
    <t>Week 51 12/22/23</t>
  </si>
  <si>
    <t>Week 52 12/29/23</t>
  </si>
  <si>
    <t>PF115036</t>
  </si>
  <si>
    <t>PF201311</t>
  </si>
  <si>
    <t>FS</t>
  </si>
  <si>
    <t>Last Date Used</t>
  </si>
  <si>
    <t>PF204806</t>
  </si>
  <si>
    <t>AMPSBALCEUR</t>
  </si>
  <si>
    <t>AMPSCONCEUR</t>
  </si>
  <si>
    <t>AMPSDYNCEUR</t>
  </si>
  <si>
    <t>AMPSEQCEUR</t>
  </si>
  <si>
    <t>AMPSINCEUR</t>
  </si>
  <si>
    <t>MPSGBPBAL</t>
  </si>
  <si>
    <t>MPSGBPGRO</t>
  </si>
  <si>
    <t>20/12/24 11:06:03</t>
  </si>
  <si>
    <t>30/09/24 11:23:38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</si>
</sst>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.##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9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9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9"/>
      <color rgb="FFFFFFFF"/>
      <name val="Arial"/>
      <family val="2"/>
    </font>
    <font>
      <b/>
      <sz val="13"/>
      <color rgb="FF333333"/>
      <name val="Arial"/>
      <family val="2"/>
    </font>
    <font>
      <sz val="10"/>
      <name val="Arial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54"/>
        <bgColor indexed="49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009EE0"/>
        <bgColor rgb="FFFFFFFF"/>
      </patternFill>
    </fill>
    <fill>
      <patternFill patternType="solid">
        <fgColor rgb="FF001C4B"/>
        <bgColor rgb="FFFFFFFF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31"/>
      </left>
      <right style="thin">
        <color indexed="31"/>
      </right>
      <top style="thin">
        <color indexed="22"/>
      </top>
      <bottom style="thin">
        <color indexed="22"/>
      </bottom>
      <diagonal/>
    </border>
    <border>
      <left style="thin">
        <color rgb="FFDDDDDD"/>
      </left>
      <right style="thin">
        <color rgb="FFDDDDDD"/>
      </right>
      <top style="thin">
        <color rgb="FFCAC9D9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09EE0"/>
      </left>
      <right style="thin">
        <color rgb="FF009EE0"/>
      </right>
      <top style="thin">
        <color rgb="FF009EE0"/>
      </top>
      <bottom style="thin">
        <color rgb="FF009EE0"/>
      </bottom>
      <diagonal/>
    </border>
    <border>
      <left/>
      <right/>
      <top/>
      <bottom style="thin">
        <color rgb="FF00000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6" fillId="3" borderId="0" applyNumberFormat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13" fillId="0" borderId="0"/>
    <xf numFmtId="0" fontId="18" fillId="0" borderId="0"/>
  </cellStyleXfs>
  <cellXfs count="110">
    <xf numFmtId="0" fontId="0" fillId="0" borderId="0" xfId="0"/>
    <xf numFmtId="0" fontId="3" fillId="2" borderId="0" xfId="2" applyFont="1" applyFill="1"/>
    <xf numFmtId="0" fontId="4" fillId="0" borderId="0" xfId="2" applyFont="1"/>
    <xf numFmtId="0" fontId="4" fillId="0" borderId="0" xfId="2" applyFont="1" applyAlignment="1">
      <alignment indent="1"/>
    </xf>
    <xf numFmtId="43" fontId="3" fillId="2" borderId="0" xfId="1" applyFont="1" applyFill="1"/>
    <xf numFmtId="43" fontId="5" fillId="0" borderId="0" xfId="1" applyFont="1"/>
    <xf numFmtId="43" fontId="4" fillId="0" borderId="0" xfId="1" applyFont="1"/>
    <xf numFmtId="43" fontId="0" fillId="0" borderId="0" xfId="1" applyFont="1"/>
    <xf numFmtId="164" fontId="0" fillId="0" borderId="0" xfId="0" applyNumberFormat="1"/>
    <xf numFmtId="0" fontId="3" fillId="2" borderId="0" xfId="3" applyFont="1" applyFill="1"/>
    <xf numFmtId="0" fontId="4" fillId="0" borderId="0" xfId="3" applyFont="1"/>
    <xf numFmtId="0" fontId="4" fillId="0" borderId="0" xfId="3" applyFont="1" applyAlignment="1">
      <alignment indent="1"/>
    </xf>
    <xf numFmtId="0" fontId="7" fillId="4" borderId="0" xfId="0" applyFont="1" applyFill="1" applyAlignment="1">
      <alignment horizontal="center" wrapText="1"/>
    </xf>
    <xf numFmtId="164" fontId="7" fillId="4" borderId="0" xfId="1" applyNumberFormat="1" applyFont="1" applyFill="1" applyAlignment="1">
      <alignment horizontal="center" wrapText="1"/>
    </xf>
    <xf numFmtId="164" fontId="6" fillId="3" borderId="0" xfId="4" applyNumberFormat="1"/>
    <xf numFmtId="0" fontId="0" fillId="5" borderId="0" xfId="0" applyFill="1"/>
    <xf numFmtId="164" fontId="6" fillId="5" borderId="0" xfId="4" applyNumberFormat="1" applyFill="1"/>
    <xf numFmtId="0" fontId="0" fillId="0" borderId="0" xfId="0" applyFill="1"/>
    <xf numFmtId="0" fontId="0" fillId="6" borderId="0" xfId="0" applyFill="1"/>
    <xf numFmtId="4" fontId="0" fillId="0" borderId="0" xfId="0" applyNumberFormat="1" applyProtection="1"/>
    <xf numFmtId="43" fontId="0" fillId="0" borderId="0" xfId="0" applyNumberFormat="1"/>
    <xf numFmtId="10" fontId="0" fillId="0" borderId="0" xfId="5" applyNumberFormat="1" applyFont="1"/>
    <xf numFmtId="0" fontId="3" fillId="2" borderId="0" xfId="6" applyFont="1" applyFill="1"/>
    <xf numFmtId="0" fontId="4" fillId="0" borderId="0" xfId="6" applyFont="1"/>
    <xf numFmtId="0" fontId="5" fillId="0" borderId="0" xfId="6" applyFont="1"/>
    <xf numFmtId="0" fontId="4" fillId="0" borderId="0" xfId="6" applyFont="1" applyAlignment="1">
      <alignment indent="1"/>
    </xf>
    <xf numFmtId="0" fontId="9" fillId="2" borderId="0" xfId="7" applyFont="1" applyFill="1"/>
    <xf numFmtId="0" fontId="10" fillId="0" borderId="0" xfId="7" applyFont="1" applyAlignment="1">
      <alignment indent="1"/>
    </xf>
    <xf numFmtId="0" fontId="9" fillId="2" borderId="0" xfId="8" applyFont="1" applyFill="1"/>
    <xf numFmtId="0" fontId="10" fillId="0" borderId="0" xfId="8" applyFont="1"/>
    <xf numFmtId="14" fontId="11" fillId="0" borderId="0" xfId="8" applyNumberFormat="1" applyFont="1"/>
    <xf numFmtId="0" fontId="10" fillId="0" borderId="0" xfId="8" applyFont="1" applyAlignment="1">
      <alignment indent="1"/>
    </xf>
    <xf numFmtId="14" fontId="10" fillId="0" borderId="0" xfId="8" applyNumberFormat="1" applyFont="1"/>
    <xf numFmtId="43" fontId="9" fillId="2" borderId="0" xfId="1" applyFont="1" applyFill="1"/>
    <xf numFmtId="43" fontId="11" fillId="0" borderId="0" xfId="1" applyFont="1"/>
    <xf numFmtId="43" fontId="10" fillId="0" borderId="0" xfId="1" applyFont="1"/>
    <xf numFmtId="43" fontId="4" fillId="0" borderId="0" xfId="1" applyFont="1" applyAlignment="1">
      <alignment indent="1"/>
    </xf>
    <xf numFmtId="43" fontId="10" fillId="6" borderId="0" xfId="1" applyFont="1" applyFill="1"/>
    <xf numFmtId="0" fontId="10" fillId="0" borderId="0" xfId="7" applyFont="1" applyFill="1" applyAlignment="1">
      <alignment indent="1"/>
    </xf>
    <xf numFmtId="0" fontId="10" fillId="0" borderId="0" xfId="7" applyFont="1"/>
    <xf numFmtId="0" fontId="10" fillId="6" borderId="0" xfId="7" applyFont="1" applyFill="1"/>
    <xf numFmtId="43" fontId="10" fillId="0" borderId="0" xfId="1" applyFont="1" applyAlignment="1">
      <alignment indent="1"/>
    </xf>
    <xf numFmtId="43" fontId="10" fillId="0" borderId="0" xfId="1" applyFont="1" applyFill="1" applyAlignment="1">
      <alignment indent="1"/>
    </xf>
    <xf numFmtId="0" fontId="12" fillId="0" borderId="1" xfId="9" applyFont="1" applyBorder="1" applyAlignment="1">
      <alignment horizontal="center"/>
    </xf>
    <xf numFmtId="0" fontId="12" fillId="7" borderId="2" xfId="9" applyNumberFormat="1" applyFont="1" applyFill="1" applyBorder="1" applyAlignment="1">
      <alignment indent="1"/>
    </xf>
    <xf numFmtId="165" fontId="12" fillId="7" borderId="2" xfId="9" applyNumberFormat="1" applyFont="1" applyFill="1" applyBorder="1"/>
    <xf numFmtId="0" fontId="12" fillId="7" borderId="2" xfId="9" applyNumberFormat="1" applyFont="1" applyFill="1" applyBorder="1" applyAlignment="1">
      <alignment horizontal="right"/>
    </xf>
    <xf numFmtId="14" fontId="12" fillId="7" borderId="2" xfId="9" applyNumberFormat="1" applyFont="1" applyFill="1" applyBorder="1"/>
    <xf numFmtId="0" fontId="12" fillId="0" borderId="1" xfId="10" applyFont="1" applyBorder="1" applyAlignment="1">
      <alignment horizontal="center"/>
    </xf>
    <xf numFmtId="0" fontId="12" fillId="7" borderId="2" xfId="10" applyNumberFormat="1" applyFont="1" applyFill="1" applyBorder="1" applyAlignment="1">
      <alignment indent="1"/>
    </xf>
    <xf numFmtId="165" fontId="12" fillId="7" borderId="2" xfId="10" applyNumberFormat="1" applyFont="1" applyFill="1" applyBorder="1"/>
    <xf numFmtId="14" fontId="12" fillId="7" borderId="2" xfId="10" applyNumberFormat="1" applyFont="1" applyFill="1" applyBorder="1"/>
    <xf numFmtId="0" fontId="12" fillId="7" borderId="2" xfId="10" applyNumberFormat="1" applyFont="1" applyFill="1" applyBorder="1" applyAlignment="1">
      <alignment horizontal="right"/>
    </xf>
    <xf numFmtId="0" fontId="12" fillId="7" borderId="0" xfId="9" applyNumberFormat="1" applyFont="1" applyFill="1" applyBorder="1" applyAlignment="1">
      <alignment indent="1"/>
    </xf>
    <xf numFmtId="165" fontId="12" fillId="7" borderId="0" xfId="9" applyNumberFormat="1" applyFont="1" applyFill="1" applyBorder="1"/>
    <xf numFmtId="14" fontId="12" fillId="7" borderId="0" xfId="9" applyNumberFormat="1" applyFont="1" applyFill="1" applyBorder="1"/>
    <xf numFmtId="0" fontId="12" fillId="7" borderId="0" xfId="10" applyNumberFormat="1" applyFont="1" applyFill="1" applyBorder="1" applyAlignment="1">
      <alignment indent="1"/>
    </xf>
    <xf numFmtId="165" fontId="12" fillId="7" borderId="0" xfId="10" applyNumberFormat="1" applyFont="1" applyFill="1" applyBorder="1"/>
    <xf numFmtId="14" fontId="12" fillId="7" borderId="0" xfId="10" applyNumberFormat="1" applyFont="1" applyFill="1" applyBorder="1"/>
    <xf numFmtId="0" fontId="12" fillId="7" borderId="2" xfId="0" applyNumberFormat="1" applyFont="1" applyFill="1" applyBorder="1" applyAlignment="1">
      <alignment indent="1"/>
    </xf>
    <xf numFmtId="165" fontId="12" fillId="7" borderId="2" xfId="0" applyNumberFormat="1" applyFont="1" applyFill="1" applyBorder="1"/>
    <xf numFmtId="0" fontId="12" fillId="7" borderId="2" xfId="0" applyNumberFormat="1" applyFont="1" applyFill="1" applyBorder="1" applyAlignment="1">
      <alignment horizontal="right"/>
    </xf>
    <xf numFmtId="0" fontId="12" fillId="8" borderId="0" xfId="9" applyFont="1" applyFill="1" applyBorder="1" applyAlignment="1">
      <alignment horizontal="left"/>
    </xf>
    <xf numFmtId="4" fontId="0" fillId="0" borderId="0" xfId="0" applyNumberFormat="1"/>
    <xf numFmtId="0" fontId="13" fillId="0" borderId="0" xfId="12"/>
    <xf numFmtId="0" fontId="14" fillId="9" borderId="0" xfId="12" applyFont="1" applyFill="1" applyAlignment="1">
      <alignment horizontal="left"/>
    </xf>
    <xf numFmtId="0" fontId="15" fillId="10" borderId="3" xfId="12" applyFont="1" applyFill="1" applyBorder="1" applyAlignment="1">
      <alignment horizontal="right"/>
    </xf>
    <xf numFmtId="0" fontId="15" fillId="10" borderId="3" xfId="12" applyFont="1" applyFill="1" applyBorder="1" applyAlignment="1">
      <alignment horizontal="left"/>
    </xf>
    <xf numFmtId="3" fontId="14" fillId="9" borderId="4" xfId="12" applyNumberFormat="1" applyFont="1" applyFill="1" applyBorder="1" applyAlignment="1">
      <alignment horizontal="right"/>
    </xf>
    <xf numFmtId="49" fontId="14" fillId="10" borderId="4" xfId="12" applyNumberFormat="1" applyFont="1" applyFill="1" applyBorder="1" applyAlignment="1">
      <alignment horizontal="left"/>
    </xf>
    <xf numFmtId="49" fontId="16" fillId="11" borderId="5" xfId="12" applyNumberFormat="1" applyFont="1" applyFill="1" applyBorder="1" applyAlignment="1">
      <alignment horizontal="left"/>
    </xf>
    <xf numFmtId="49" fontId="16" fillId="12" borderId="0" xfId="12" applyNumberFormat="1" applyFont="1" applyFill="1" applyAlignment="1">
      <alignment horizontal="left"/>
    </xf>
    <xf numFmtId="0" fontId="16" fillId="12" borderId="0" xfId="12" applyFont="1" applyFill="1" applyAlignment="1">
      <alignment horizontal="left"/>
    </xf>
    <xf numFmtId="0" fontId="14" fillId="9" borderId="0" xfId="0" applyFont="1" applyFill="1" applyAlignment="1">
      <alignment horizontal="left"/>
    </xf>
    <xf numFmtId="0" fontId="16" fillId="12" borderId="0" xfId="0" applyFont="1" applyFill="1" applyAlignment="1">
      <alignment horizontal="left"/>
    </xf>
    <xf numFmtId="49" fontId="16" fillId="11" borderId="5" xfId="0" applyNumberFormat="1" applyFont="1" applyFill="1" applyBorder="1" applyAlignment="1">
      <alignment horizontal="left"/>
    </xf>
    <xf numFmtId="49" fontId="16" fillId="12" borderId="0" xfId="0" applyNumberFormat="1" applyFont="1" applyFill="1" applyAlignment="1">
      <alignment horizontal="left"/>
    </xf>
    <xf numFmtId="49" fontId="14" fillId="10" borderId="4" xfId="0" applyNumberFormat="1" applyFont="1" applyFill="1" applyBorder="1" applyAlignment="1">
      <alignment horizontal="left"/>
    </xf>
    <xf numFmtId="4" fontId="14" fillId="9" borderId="4" xfId="0" applyNumberFormat="1" applyFont="1" applyFill="1" applyBorder="1" applyAlignment="1">
      <alignment horizontal="right"/>
    </xf>
    <xf numFmtId="0" fontId="15" fillId="10" borderId="3" xfId="0" applyFont="1" applyFill="1" applyBorder="1" applyAlignment="1">
      <alignment horizontal="left"/>
    </xf>
    <xf numFmtId="4" fontId="15" fillId="10" borderId="3" xfId="0" applyNumberFormat="1" applyFont="1" applyFill="1" applyBorder="1" applyAlignment="1">
      <alignment horizontal="right"/>
    </xf>
    <xf numFmtId="16" fontId="0" fillId="0" borderId="0" xfId="0" applyNumberFormat="1"/>
    <xf numFmtId="0" fontId="19" fillId="0" borderId="0" xfId="0" applyFont="1"/>
    <xf numFmtId="0" fontId="12" fillId="0" borderId="0" xfId="0" applyFont="1" applyFill="1"/>
    <xf numFmtId="0" fontId="12" fillId="0" borderId="0" xfId="13" applyFont="1" applyFill="1"/>
    <xf numFmtId="0" fontId="20" fillId="8" borderId="7" xfId="13" applyFont="1" applyFill="1" applyBorder="1" applyAlignment="1">
      <alignment horizontal="center" vertical="center" wrapText="1"/>
    </xf>
    <xf numFmtId="0" fontId="20" fillId="8" borderId="7" xfId="13" applyFont="1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43" fontId="20" fillId="0" borderId="0" xfId="1" applyFont="1" applyAlignment="1">
      <alignment horizontal="left" indent="1"/>
    </xf>
    <xf numFmtId="0" fontId="20" fillId="0" borderId="0" xfId="0" applyFont="1" applyFill="1" applyAlignment="1">
      <alignment horizontal="left"/>
    </xf>
    <xf numFmtId="43" fontId="0" fillId="0" borderId="0" xfId="1" applyFont="1" applyAlignment="1">
      <alignment horizontal="left"/>
    </xf>
    <xf numFmtId="0" fontId="0" fillId="0" borderId="0" xfId="0" applyAlignment="1">
      <alignment horizontal="left"/>
    </xf>
    <xf numFmtId="43" fontId="1" fillId="0" borderId="0" xfId="1" applyFont="1" applyAlignment="1">
      <alignment horizontal="right"/>
    </xf>
    <xf numFmtId="43" fontId="20" fillId="0" borderId="0" xfId="1" applyFont="1" applyAlignment="1">
      <alignment horizontal="right" indent="1"/>
    </xf>
    <xf numFmtId="0" fontId="1" fillId="0" borderId="0" xfId="0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20" fillId="0" borderId="0" xfId="13" applyFont="1" applyFill="1" applyAlignment="1">
      <alignment horizontal="right"/>
    </xf>
    <xf numFmtId="43" fontId="0" fillId="0" borderId="0" xfId="1" applyFont="1" applyAlignment="1">
      <alignment horizontal="right"/>
    </xf>
    <xf numFmtId="43" fontId="10" fillId="0" borderId="0" xfId="1" applyFont="1" applyAlignment="1">
      <alignment horizontal="right"/>
    </xf>
    <xf numFmtId="0" fontId="20" fillId="0" borderId="0" xfId="0" applyFont="1" applyAlignment="1">
      <alignment horizontal="left"/>
    </xf>
    <xf numFmtId="0" fontId="1" fillId="6" borderId="0" xfId="0" applyFont="1" applyFill="1" applyAlignment="1">
      <alignment horizontal="left"/>
    </xf>
    <xf numFmtId="43" fontId="1" fillId="6" borderId="0" xfId="1" applyFont="1" applyFill="1" applyAlignment="1">
      <alignment horizontal="right"/>
    </xf>
    <xf numFmtId="43" fontId="1" fillId="0" borderId="0" xfId="1" applyFont="1" applyAlignment="1">
      <alignment horizontal="left"/>
    </xf>
    <xf numFmtId="43" fontId="20" fillId="0" borderId="0" xfId="1" applyFont="1" applyAlignment="1">
      <alignment horizontal="right"/>
    </xf>
    <xf numFmtId="0" fontId="20" fillId="0" borderId="0" xfId="0" applyFont="1" applyAlignment="1">
      <alignment horizontal="right"/>
    </xf>
    <xf numFmtId="49" fontId="17" fillId="9" borderId="6" xfId="0" applyNumberFormat="1" applyFont="1" applyFill="1" applyBorder="1" applyAlignment="1">
      <alignment horizontal="left" vertical="center"/>
    </xf>
    <xf numFmtId="49" fontId="17" fillId="9" borderId="6" xfId="12" applyNumberFormat="1" applyFont="1" applyFill="1" applyBorder="1" applyAlignment="1">
      <alignment horizontal="left" vertical="center"/>
    </xf>
    <xf numFmtId="0" fontId="1" fillId="13" borderId="0" xfId="0" applyFont="1" applyFill="1" applyAlignment="1">
      <alignment horizontal="left"/>
    </xf>
    <xf numFmtId="0" fontId="0" fillId="13" borderId="0" xfId="0" applyFill="1"/>
    <xf numFmtId="43" fontId="0" fillId="13" borderId="0" xfId="1" applyFont="1" applyFill="1"/>
  </cellXfs>
  <cellStyles count="14">
    <cellStyle name="Comma" xfId="1" builtinId="3"/>
    <cellStyle name="Good" xfId="4" builtinId="26"/>
    <cellStyle name="Normal" xfId="0" builtinId="0"/>
    <cellStyle name="Normal 2" xfId="11" xr:uid="{00000000-0005-0000-0000-000003000000}"/>
    <cellStyle name="Normal 3" xfId="12" xr:uid="{00000000-0005-0000-0000-000004000000}"/>
    <cellStyle name="Normal 4" xfId="13" xr:uid="{00000000-0005-0000-0000-000005000000}"/>
    <cellStyle name="Normal_26th Feb 2020" xfId="6" xr:uid="{00000000-0005-0000-0000-000006000000}"/>
    <cellStyle name="Normal_4th of May" xfId="8" xr:uid="{00000000-0005-0000-0000-000007000000}"/>
    <cellStyle name="Normal_AUM" xfId="3" xr:uid="{00000000-0005-0000-0000-000008000000}"/>
    <cellStyle name="Normal_AUM_1" xfId="7" xr:uid="{00000000-0005-0000-0000-000009000000}"/>
    <cellStyle name="Normal_Nov 6th 2019" xfId="2" xr:uid="{00000000-0005-0000-0000-00000A000000}"/>
    <cellStyle name="Normal_Sheet1" xfId="9" xr:uid="{00000000-0005-0000-0000-00000B000000}"/>
    <cellStyle name="Normal_Sheet2" xfId="10" xr:uid="{00000000-0005-0000-0000-00000C000000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5"/>
  <sheetViews>
    <sheetView zoomScaleNormal="100" workbookViewId="0">
      <selection activeCell="K13" sqref="K13"/>
    </sheetView>
  </sheetViews>
  <sheetFormatPr defaultRowHeight="15" x14ac:dyDescent="0.25"/>
  <cols>
    <col min="1" max="1" width="15.7109375" style="90" bestFit="1" customWidth="1"/>
    <col min="2" max="2" width="18.28515625" style="97" bestFit="1" customWidth="1"/>
    <col min="4" max="4" width="15.5703125" style="87" bestFit="1" customWidth="1"/>
    <col min="5" max="5" width="19.85546875" style="94" bestFit="1" customWidth="1"/>
    <col min="6" max="6" width="15.5703125" bestFit="1" customWidth="1"/>
    <col min="7" max="7" width="15.28515625" bestFit="1" customWidth="1"/>
    <col min="8" max="8" width="12.5703125" bestFit="1" customWidth="1"/>
    <col min="10" max="10" width="13.28515625" bestFit="1" customWidth="1"/>
    <col min="11" max="11" width="15.28515625" bestFit="1" customWidth="1"/>
  </cols>
  <sheetData>
    <row r="1" spans="1:5" x14ac:dyDescent="0.25">
      <c r="A1" s="86" t="s">
        <v>0</v>
      </c>
      <c r="B1" s="85" t="s">
        <v>1</v>
      </c>
      <c r="D1" s="85" t="s">
        <v>0</v>
      </c>
      <c r="E1" s="85" t="s">
        <v>1</v>
      </c>
    </row>
    <row r="2" spans="1:5" x14ac:dyDescent="0.25">
      <c r="A2" s="87" t="s">
        <v>48</v>
      </c>
      <c r="B2" s="92">
        <v>286172410</v>
      </c>
      <c r="D2" s="87" t="s">
        <v>48</v>
      </c>
      <c r="E2" s="92">
        <v>286172410</v>
      </c>
    </row>
    <row r="3" spans="1:5" x14ac:dyDescent="0.25">
      <c r="A3" s="87" t="s">
        <v>49</v>
      </c>
      <c r="B3" s="92">
        <v>44621309</v>
      </c>
      <c r="D3" s="87" t="s">
        <v>49</v>
      </c>
      <c r="E3" s="92">
        <v>44621309</v>
      </c>
    </row>
    <row r="4" spans="1:5" x14ac:dyDescent="0.25">
      <c r="A4" s="87" t="s">
        <v>50</v>
      </c>
      <c r="B4" s="92">
        <v>29605967</v>
      </c>
      <c r="D4" s="87" t="s">
        <v>50</v>
      </c>
      <c r="E4" s="92">
        <v>29605967</v>
      </c>
    </row>
    <row r="5" spans="1:5" x14ac:dyDescent="0.25">
      <c r="A5" s="87" t="s">
        <v>95</v>
      </c>
      <c r="B5" s="92">
        <v>105977735</v>
      </c>
      <c r="D5" s="87" t="s">
        <v>95</v>
      </c>
      <c r="E5" s="92">
        <v>105977735</v>
      </c>
    </row>
    <row r="6" spans="1:5" x14ac:dyDescent="0.25">
      <c r="A6" s="87" t="s">
        <v>2</v>
      </c>
      <c r="B6" s="92">
        <v>1259071</v>
      </c>
      <c r="D6" s="100" t="s">
        <v>435</v>
      </c>
      <c r="E6" s="101">
        <v>107202527.34500003</v>
      </c>
    </row>
    <row r="7" spans="1:5" x14ac:dyDescent="0.25">
      <c r="A7" s="87" t="s">
        <v>3</v>
      </c>
      <c r="B7" s="92">
        <v>221348</v>
      </c>
      <c r="D7" s="100" t="s">
        <v>436</v>
      </c>
      <c r="E7" s="101">
        <v>105284436.56300001</v>
      </c>
    </row>
    <row r="8" spans="1:5" x14ac:dyDescent="0.25">
      <c r="A8" s="87" t="s">
        <v>29</v>
      </c>
      <c r="B8" s="92">
        <v>116832547</v>
      </c>
      <c r="D8" s="100" t="s">
        <v>437</v>
      </c>
      <c r="E8" s="101">
        <v>109306192.39279999</v>
      </c>
    </row>
    <row r="9" spans="1:5" x14ac:dyDescent="0.25">
      <c r="A9" s="87" t="s">
        <v>269</v>
      </c>
      <c r="B9" s="92">
        <v>96897819</v>
      </c>
      <c r="D9" s="100" t="s">
        <v>438</v>
      </c>
      <c r="E9" s="101">
        <v>114259606.03320001</v>
      </c>
    </row>
    <row r="10" spans="1:5" x14ac:dyDescent="0.25">
      <c r="A10" s="87" t="s">
        <v>140</v>
      </c>
      <c r="B10" s="92">
        <v>195364106</v>
      </c>
      <c r="D10" s="100" t="s">
        <v>439</v>
      </c>
      <c r="E10" s="101">
        <v>102806109.1728</v>
      </c>
    </row>
    <row r="11" spans="1:5" x14ac:dyDescent="0.25">
      <c r="A11" s="87" t="s">
        <v>4</v>
      </c>
      <c r="B11" s="92">
        <v>2649</v>
      </c>
      <c r="D11" s="87" t="s">
        <v>2</v>
      </c>
      <c r="E11" s="92">
        <v>1259071</v>
      </c>
    </row>
    <row r="12" spans="1:5" x14ac:dyDescent="0.25">
      <c r="A12" s="87" t="s">
        <v>5</v>
      </c>
      <c r="B12" s="92">
        <v>83275</v>
      </c>
      <c r="D12" s="87" t="s">
        <v>3</v>
      </c>
      <c r="E12" s="92">
        <v>221348</v>
      </c>
    </row>
    <row r="13" spans="1:5" x14ac:dyDescent="0.25">
      <c r="A13" s="87" t="s">
        <v>30</v>
      </c>
      <c r="B13" s="92">
        <v>279293562</v>
      </c>
      <c r="D13" s="87" t="s">
        <v>29</v>
      </c>
      <c r="E13" s="92">
        <v>116832547</v>
      </c>
    </row>
    <row r="14" spans="1:5" x14ac:dyDescent="0.25">
      <c r="A14" s="87" t="s">
        <v>270</v>
      </c>
      <c r="B14" s="92">
        <v>106822030</v>
      </c>
      <c r="D14" s="87" t="s">
        <v>269</v>
      </c>
      <c r="E14" s="92">
        <v>96897819</v>
      </c>
    </row>
    <row r="15" spans="1:5" x14ac:dyDescent="0.25">
      <c r="A15" s="87" t="s">
        <v>141</v>
      </c>
      <c r="B15" s="92">
        <v>307505809</v>
      </c>
      <c r="D15" s="87" t="s">
        <v>140</v>
      </c>
      <c r="E15" s="92">
        <v>195364106</v>
      </c>
    </row>
    <row r="16" spans="1:5" x14ac:dyDescent="0.25">
      <c r="A16" s="87" t="s">
        <v>6</v>
      </c>
      <c r="B16" s="92">
        <v>33771</v>
      </c>
      <c r="D16" s="87" t="s">
        <v>4</v>
      </c>
      <c r="E16" s="92">
        <v>2649</v>
      </c>
    </row>
    <row r="17" spans="1:5" x14ac:dyDescent="0.25">
      <c r="A17" s="87" t="s">
        <v>7</v>
      </c>
      <c r="B17" s="92">
        <v>23564</v>
      </c>
      <c r="D17" s="87" t="s">
        <v>5</v>
      </c>
      <c r="E17" s="92">
        <v>83275</v>
      </c>
    </row>
    <row r="18" spans="1:5" x14ac:dyDescent="0.25">
      <c r="A18" s="87" t="s">
        <v>55</v>
      </c>
      <c r="B18" s="92">
        <v>1363503</v>
      </c>
      <c r="D18" s="87" t="s">
        <v>30</v>
      </c>
      <c r="E18" s="92">
        <v>279293562</v>
      </c>
    </row>
    <row r="19" spans="1:5" x14ac:dyDescent="0.25">
      <c r="A19" s="87" t="s">
        <v>56</v>
      </c>
      <c r="B19" s="92">
        <v>26945800</v>
      </c>
      <c r="D19" s="87" t="s">
        <v>270</v>
      </c>
      <c r="E19" s="92">
        <v>106822030</v>
      </c>
    </row>
    <row r="20" spans="1:5" x14ac:dyDescent="0.25">
      <c r="A20" s="87" t="s">
        <v>57</v>
      </c>
      <c r="B20" s="92">
        <v>795570</v>
      </c>
      <c r="D20" s="87" t="s">
        <v>141</v>
      </c>
      <c r="E20" s="92">
        <v>307505809</v>
      </c>
    </row>
    <row r="21" spans="1:5" x14ac:dyDescent="0.25">
      <c r="A21" s="87" t="s">
        <v>103</v>
      </c>
      <c r="B21" s="92">
        <v>7495265.8199999994</v>
      </c>
      <c r="D21" s="87" t="s">
        <v>6</v>
      </c>
      <c r="E21" s="92">
        <v>33771</v>
      </c>
    </row>
    <row r="22" spans="1:5" x14ac:dyDescent="0.25">
      <c r="A22" s="87" t="s">
        <v>104</v>
      </c>
      <c r="B22" s="92">
        <v>58236487.470000006</v>
      </c>
      <c r="D22" s="87" t="s">
        <v>7</v>
      </c>
      <c r="E22" s="92">
        <v>23564</v>
      </c>
    </row>
    <row r="23" spans="1:5" x14ac:dyDescent="0.25">
      <c r="A23" s="87" t="s">
        <v>105</v>
      </c>
      <c r="B23" s="92">
        <v>121448782.71000001</v>
      </c>
      <c r="D23" s="87" t="s">
        <v>55</v>
      </c>
      <c r="E23" s="92">
        <v>1363503</v>
      </c>
    </row>
    <row r="24" spans="1:5" x14ac:dyDescent="0.25">
      <c r="A24" s="87" t="s">
        <v>106</v>
      </c>
      <c r="B24" s="92">
        <v>324009437.85999995</v>
      </c>
      <c r="D24" s="87" t="s">
        <v>56</v>
      </c>
      <c r="E24" s="92">
        <v>26945800</v>
      </c>
    </row>
    <row r="25" spans="1:5" x14ac:dyDescent="0.25">
      <c r="A25" s="87" t="s">
        <v>107</v>
      </c>
      <c r="B25" s="92">
        <v>242806300.35000002</v>
      </c>
      <c r="D25" s="87" t="s">
        <v>57</v>
      </c>
      <c r="E25" s="92">
        <v>795570</v>
      </c>
    </row>
    <row r="26" spans="1:5" x14ac:dyDescent="0.25">
      <c r="A26" s="87" t="s">
        <v>108</v>
      </c>
      <c r="B26" s="92">
        <v>83823203.900000006</v>
      </c>
      <c r="D26" s="87" t="s">
        <v>103</v>
      </c>
      <c r="E26" s="92">
        <v>7495265.8199999994</v>
      </c>
    </row>
    <row r="27" spans="1:5" x14ac:dyDescent="0.25">
      <c r="A27" s="87" t="s">
        <v>109</v>
      </c>
      <c r="B27" s="92">
        <v>136428638.49000001</v>
      </c>
      <c r="D27" s="87" t="s">
        <v>104</v>
      </c>
      <c r="E27" s="92">
        <v>58236487.470000006</v>
      </c>
    </row>
    <row r="28" spans="1:5" x14ac:dyDescent="0.25">
      <c r="A28" s="87" t="s">
        <v>99</v>
      </c>
      <c r="B28" s="92">
        <v>53160977.919999994</v>
      </c>
      <c r="D28" s="87" t="s">
        <v>105</v>
      </c>
      <c r="E28" s="92">
        <v>121448782.71000001</v>
      </c>
    </row>
    <row r="29" spans="1:5" x14ac:dyDescent="0.25">
      <c r="A29" s="87" t="s">
        <v>100</v>
      </c>
      <c r="B29" s="92">
        <v>74247835.579999998</v>
      </c>
      <c r="D29" s="87" t="s">
        <v>106</v>
      </c>
      <c r="E29" s="92">
        <v>324009437.85999995</v>
      </c>
    </row>
    <row r="30" spans="1:5" x14ac:dyDescent="0.25">
      <c r="A30" s="87" t="s">
        <v>101</v>
      </c>
      <c r="B30" s="92">
        <v>198759201.82000002</v>
      </c>
      <c r="D30" s="87" t="s">
        <v>107</v>
      </c>
      <c r="E30" s="92">
        <v>242806300.35000002</v>
      </c>
    </row>
    <row r="31" spans="1:5" x14ac:dyDescent="0.25">
      <c r="A31" s="87" t="s">
        <v>102</v>
      </c>
      <c r="B31" s="92">
        <v>59556669.140000001</v>
      </c>
      <c r="D31" s="87" t="s">
        <v>108</v>
      </c>
      <c r="E31" s="92">
        <v>83823203.900000006</v>
      </c>
    </row>
    <row r="32" spans="1:5" x14ac:dyDescent="0.25">
      <c r="A32" s="87" t="s">
        <v>259</v>
      </c>
      <c r="B32" s="92">
        <v>10775273011</v>
      </c>
      <c r="D32" s="87" t="s">
        <v>109</v>
      </c>
      <c r="E32" s="92">
        <v>136428638.49000001</v>
      </c>
    </row>
    <row r="33" spans="1:5" x14ac:dyDescent="0.25">
      <c r="A33" s="87" t="s">
        <v>31</v>
      </c>
      <c r="B33" s="92">
        <v>893968</v>
      </c>
      <c r="D33" s="87" t="s">
        <v>99</v>
      </c>
      <c r="E33" s="92">
        <v>53160977.919999994</v>
      </c>
    </row>
    <row r="34" spans="1:5" x14ac:dyDescent="0.25">
      <c r="A34" s="87" t="s">
        <v>32</v>
      </c>
      <c r="B34" s="92">
        <v>279016</v>
      </c>
      <c r="D34" s="87" t="s">
        <v>100</v>
      </c>
      <c r="E34" s="92">
        <v>74247835.579999998</v>
      </c>
    </row>
    <row r="35" spans="1:5" x14ac:dyDescent="0.25">
      <c r="A35" s="87" t="s">
        <v>33</v>
      </c>
      <c r="B35" s="92">
        <v>4871246</v>
      </c>
      <c r="D35" s="87" t="s">
        <v>101</v>
      </c>
      <c r="E35" s="92">
        <v>198759201.82000002</v>
      </c>
    </row>
    <row r="36" spans="1:5" x14ac:dyDescent="0.25">
      <c r="A36" s="87" t="s">
        <v>34</v>
      </c>
      <c r="B36" s="92">
        <v>187778</v>
      </c>
      <c r="D36" s="87" t="s">
        <v>102</v>
      </c>
      <c r="E36" s="92">
        <v>59556669.140000001</v>
      </c>
    </row>
    <row r="37" spans="1:5" x14ac:dyDescent="0.25">
      <c r="A37" s="87" t="s">
        <v>35</v>
      </c>
      <c r="B37" s="92">
        <v>341235</v>
      </c>
      <c r="D37" s="87" t="s">
        <v>259</v>
      </c>
      <c r="E37" s="92">
        <v>10775273011</v>
      </c>
    </row>
    <row r="38" spans="1:5" x14ac:dyDescent="0.25">
      <c r="A38" s="87" t="s">
        <v>36</v>
      </c>
      <c r="B38" s="92">
        <v>154948</v>
      </c>
      <c r="D38" s="87" t="s">
        <v>31</v>
      </c>
      <c r="E38" s="92">
        <v>893968</v>
      </c>
    </row>
    <row r="39" spans="1:5" x14ac:dyDescent="0.25">
      <c r="A39" s="87" t="s">
        <v>37</v>
      </c>
      <c r="B39" s="92">
        <v>87215</v>
      </c>
      <c r="D39" s="87" t="s">
        <v>32</v>
      </c>
      <c r="E39" s="92">
        <v>279016</v>
      </c>
    </row>
    <row r="40" spans="1:5" x14ac:dyDescent="0.25">
      <c r="A40" s="87" t="s">
        <v>38</v>
      </c>
      <c r="B40" s="92">
        <v>134904</v>
      </c>
      <c r="D40" s="87" t="s">
        <v>33</v>
      </c>
      <c r="E40" s="92">
        <v>4871246</v>
      </c>
    </row>
    <row r="41" spans="1:5" x14ac:dyDescent="0.25">
      <c r="A41" s="87" t="s">
        <v>39</v>
      </c>
      <c r="B41" s="92">
        <v>634676</v>
      </c>
      <c r="D41" s="87" t="s">
        <v>34</v>
      </c>
      <c r="E41" s="92">
        <v>187778</v>
      </c>
    </row>
    <row r="42" spans="1:5" x14ac:dyDescent="0.25">
      <c r="A42" s="87" t="s">
        <v>41</v>
      </c>
      <c r="B42" s="92">
        <v>142698</v>
      </c>
      <c r="D42" s="87" t="s">
        <v>35</v>
      </c>
      <c r="E42" s="92">
        <v>341235</v>
      </c>
    </row>
    <row r="43" spans="1:5" x14ac:dyDescent="0.25">
      <c r="A43" s="87" t="s">
        <v>42</v>
      </c>
      <c r="B43" s="92">
        <v>16557</v>
      </c>
      <c r="D43" s="87" t="s">
        <v>36</v>
      </c>
      <c r="E43" s="92">
        <v>154948</v>
      </c>
    </row>
    <row r="44" spans="1:5" x14ac:dyDescent="0.25">
      <c r="A44" s="87" t="s">
        <v>43</v>
      </c>
      <c r="B44" s="92">
        <v>28074</v>
      </c>
      <c r="D44" s="87" t="s">
        <v>37</v>
      </c>
      <c r="E44" s="92">
        <v>87215</v>
      </c>
    </row>
    <row r="45" spans="1:5" x14ac:dyDescent="0.25">
      <c r="A45" s="87" t="s">
        <v>44</v>
      </c>
      <c r="B45" s="92">
        <v>12280450</v>
      </c>
      <c r="D45" s="87" t="s">
        <v>38</v>
      </c>
      <c r="E45" s="92">
        <v>134904</v>
      </c>
    </row>
    <row r="46" spans="1:5" x14ac:dyDescent="0.25">
      <c r="A46" s="87" t="s">
        <v>255</v>
      </c>
      <c r="B46" s="92">
        <v>5997356</v>
      </c>
      <c r="D46" s="87" t="s">
        <v>39</v>
      </c>
      <c r="E46" s="92">
        <v>634676</v>
      </c>
    </row>
    <row r="47" spans="1:5" x14ac:dyDescent="0.25">
      <c r="A47" s="87" t="s">
        <v>64</v>
      </c>
      <c r="B47" s="92">
        <v>395535</v>
      </c>
      <c r="D47" s="87" t="s">
        <v>41</v>
      </c>
      <c r="E47" s="92">
        <v>142698</v>
      </c>
    </row>
    <row r="48" spans="1:5" x14ac:dyDescent="0.25">
      <c r="A48" s="87" t="s">
        <v>65</v>
      </c>
      <c r="B48" s="92">
        <v>7616069</v>
      </c>
      <c r="D48" s="87" t="s">
        <v>42</v>
      </c>
      <c r="E48" s="92">
        <v>16557</v>
      </c>
    </row>
    <row r="49" spans="1:5" x14ac:dyDescent="0.25">
      <c r="A49" s="87" t="s">
        <v>66</v>
      </c>
      <c r="B49" s="92">
        <v>1067361</v>
      </c>
      <c r="D49" s="87" t="s">
        <v>43</v>
      </c>
      <c r="E49" s="92">
        <v>28074</v>
      </c>
    </row>
    <row r="50" spans="1:5" x14ac:dyDescent="0.25">
      <c r="A50" s="87" t="s">
        <v>67</v>
      </c>
      <c r="B50" s="92">
        <v>72484395</v>
      </c>
      <c r="D50" s="87" t="s">
        <v>44</v>
      </c>
      <c r="E50" s="92">
        <v>12280450</v>
      </c>
    </row>
    <row r="51" spans="1:5" x14ac:dyDescent="0.25">
      <c r="A51" s="87" t="s">
        <v>68</v>
      </c>
      <c r="B51" s="92">
        <v>64408792</v>
      </c>
      <c r="D51" s="87" t="s">
        <v>255</v>
      </c>
      <c r="E51" s="92">
        <v>5997356</v>
      </c>
    </row>
    <row r="52" spans="1:5" x14ac:dyDescent="0.25">
      <c r="A52" s="87" t="s">
        <v>69</v>
      </c>
      <c r="B52" s="92">
        <v>128787502</v>
      </c>
      <c r="D52" s="87" t="s">
        <v>64</v>
      </c>
      <c r="E52" s="92">
        <v>395535</v>
      </c>
    </row>
    <row r="53" spans="1:5" x14ac:dyDescent="0.25">
      <c r="A53" s="87" t="s">
        <v>80</v>
      </c>
      <c r="B53" s="92">
        <v>86278219</v>
      </c>
      <c r="D53" s="87" t="s">
        <v>65</v>
      </c>
      <c r="E53" s="92">
        <v>7616069</v>
      </c>
    </row>
    <row r="54" spans="1:5" x14ac:dyDescent="0.25">
      <c r="A54" s="87" t="s">
        <v>26</v>
      </c>
      <c r="B54" s="92">
        <v>215406941</v>
      </c>
      <c r="D54" s="87" t="s">
        <v>66</v>
      </c>
      <c r="E54" s="92">
        <v>1067361</v>
      </c>
    </row>
    <row r="55" spans="1:5" x14ac:dyDescent="0.25">
      <c r="A55" s="87" t="s">
        <v>45</v>
      </c>
      <c r="B55" s="92">
        <v>24819922</v>
      </c>
      <c r="D55" s="87" t="s">
        <v>67</v>
      </c>
      <c r="E55" s="92">
        <v>72484395</v>
      </c>
    </row>
    <row r="56" spans="1:5" x14ac:dyDescent="0.25">
      <c r="A56" s="87" t="s">
        <v>282</v>
      </c>
      <c r="B56" s="92">
        <v>114439451.95172112</v>
      </c>
      <c r="D56" s="87" t="s">
        <v>68</v>
      </c>
      <c r="E56" s="92">
        <v>64408792</v>
      </c>
    </row>
    <row r="57" spans="1:5" x14ac:dyDescent="0.25">
      <c r="A57" s="87" t="s">
        <v>283</v>
      </c>
      <c r="B57" s="92">
        <v>101886254.36918736</v>
      </c>
      <c r="D57" s="87" t="s">
        <v>69</v>
      </c>
      <c r="E57" s="92">
        <v>128787502</v>
      </c>
    </row>
    <row r="58" spans="1:5" x14ac:dyDescent="0.25">
      <c r="A58" s="87" t="s">
        <v>284</v>
      </c>
      <c r="B58" s="92">
        <v>127469029.13841511</v>
      </c>
      <c r="D58" s="87" t="s">
        <v>80</v>
      </c>
      <c r="E58" s="92">
        <v>86278219</v>
      </c>
    </row>
    <row r="59" spans="1:5" x14ac:dyDescent="0.25">
      <c r="A59" s="87" t="s">
        <v>285</v>
      </c>
      <c r="B59" s="92">
        <v>127630308.49236055</v>
      </c>
      <c r="D59" s="87" t="s">
        <v>26</v>
      </c>
      <c r="E59" s="92">
        <v>215406941</v>
      </c>
    </row>
    <row r="60" spans="1:5" x14ac:dyDescent="0.25">
      <c r="A60" s="87" t="s">
        <v>286</v>
      </c>
      <c r="B60" s="92">
        <v>102491967.48035637</v>
      </c>
      <c r="D60" s="87" t="s">
        <v>45</v>
      </c>
      <c r="E60" s="92">
        <v>24819922</v>
      </c>
    </row>
    <row r="61" spans="1:5" x14ac:dyDescent="0.25">
      <c r="A61" s="87" t="s">
        <v>287</v>
      </c>
      <c r="B61" s="92">
        <v>112853091.25012495</v>
      </c>
      <c r="D61" s="87" t="s">
        <v>282</v>
      </c>
      <c r="E61" s="92">
        <v>114439451.95172112</v>
      </c>
    </row>
    <row r="62" spans="1:5" x14ac:dyDescent="0.25">
      <c r="A62" s="87" t="s">
        <v>277</v>
      </c>
      <c r="B62" s="92"/>
      <c r="D62" s="87" t="s">
        <v>283</v>
      </c>
      <c r="E62" s="92">
        <v>101886254.36918736</v>
      </c>
    </row>
    <row r="63" spans="1:5" x14ac:dyDescent="0.25">
      <c r="A63" s="87" t="s">
        <v>278</v>
      </c>
      <c r="B63" s="92">
        <v>109992194.444775</v>
      </c>
      <c r="D63" s="87" t="s">
        <v>284</v>
      </c>
      <c r="E63" s="92">
        <v>127469029.13841511</v>
      </c>
    </row>
    <row r="64" spans="1:5" x14ac:dyDescent="0.25">
      <c r="A64" s="87" t="s">
        <v>280</v>
      </c>
      <c r="B64" s="92"/>
      <c r="D64" s="87" t="s">
        <v>285</v>
      </c>
      <c r="E64" s="92">
        <v>127630308.49236055</v>
      </c>
    </row>
    <row r="65" spans="1:5" x14ac:dyDescent="0.25">
      <c r="A65" s="87" t="s">
        <v>279</v>
      </c>
      <c r="B65" s="92">
        <v>110973228.29227298</v>
      </c>
      <c r="D65" s="87" t="s">
        <v>286</v>
      </c>
      <c r="E65" s="92">
        <v>102491967.48035637</v>
      </c>
    </row>
    <row r="66" spans="1:5" x14ac:dyDescent="0.25">
      <c r="A66" s="87" t="s">
        <v>281</v>
      </c>
      <c r="B66" s="92">
        <v>90531586.199399978</v>
      </c>
      <c r="D66" s="87" t="s">
        <v>287</v>
      </c>
      <c r="E66" s="92">
        <v>112853091.25012495</v>
      </c>
    </row>
    <row r="67" spans="1:5" x14ac:dyDescent="0.25">
      <c r="A67" s="87" t="s">
        <v>27</v>
      </c>
      <c r="B67" s="92">
        <v>154991340</v>
      </c>
      <c r="D67" s="87" t="s">
        <v>277</v>
      </c>
      <c r="E67" s="92"/>
    </row>
    <row r="68" spans="1:5" x14ac:dyDescent="0.25">
      <c r="A68" s="87" t="s">
        <v>97</v>
      </c>
      <c r="B68" s="92">
        <v>8203700</v>
      </c>
      <c r="D68" s="87" t="s">
        <v>278</v>
      </c>
      <c r="E68" s="92">
        <v>109992194.444775</v>
      </c>
    </row>
    <row r="69" spans="1:5" x14ac:dyDescent="0.25">
      <c r="A69" s="87" t="s">
        <v>96</v>
      </c>
      <c r="B69" s="103">
        <v>1795670827</v>
      </c>
      <c r="D69" s="87" t="s">
        <v>280</v>
      </c>
      <c r="E69" s="92"/>
    </row>
    <row r="70" spans="1:5" x14ac:dyDescent="0.25">
      <c r="A70" s="99" t="s">
        <v>81</v>
      </c>
      <c r="B70" s="104">
        <v>255343</v>
      </c>
      <c r="D70" s="87" t="s">
        <v>279</v>
      </c>
      <c r="E70" s="92">
        <v>110973228.29227298</v>
      </c>
    </row>
    <row r="71" spans="1:5" x14ac:dyDescent="0.25">
      <c r="A71" s="99" t="s">
        <v>98</v>
      </c>
      <c r="B71" s="104">
        <v>973396645</v>
      </c>
      <c r="D71" s="87" t="s">
        <v>281</v>
      </c>
      <c r="E71" s="92">
        <v>90531586.199399978</v>
      </c>
    </row>
    <row r="72" spans="1:5" x14ac:dyDescent="0.25">
      <c r="A72" s="99" t="s">
        <v>28</v>
      </c>
      <c r="B72" s="104">
        <v>239238036</v>
      </c>
      <c r="D72" s="100" t="s">
        <v>440</v>
      </c>
      <c r="E72" s="92"/>
    </row>
    <row r="73" spans="1:5" x14ac:dyDescent="0.25">
      <c r="A73" s="99" t="s">
        <v>276</v>
      </c>
      <c r="B73" s="104">
        <v>93538758.120000005</v>
      </c>
      <c r="D73" s="100" t="s">
        <v>441</v>
      </c>
      <c r="E73" s="92"/>
    </row>
    <row r="74" spans="1:5" x14ac:dyDescent="0.25">
      <c r="A74" s="99" t="s">
        <v>430</v>
      </c>
      <c r="B74" s="104">
        <v>98145264.699999988</v>
      </c>
      <c r="D74" s="87" t="s">
        <v>27</v>
      </c>
      <c r="E74" s="92">
        <v>154991340</v>
      </c>
    </row>
    <row r="75" spans="1:5" x14ac:dyDescent="0.25">
      <c r="A75" s="99" t="s">
        <v>431</v>
      </c>
      <c r="B75" s="103">
        <v>290323179.13999999</v>
      </c>
      <c r="D75" s="87" t="s">
        <v>97</v>
      </c>
      <c r="E75" s="92">
        <v>8203700</v>
      </c>
    </row>
    <row r="76" spans="1:5" x14ac:dyDescent="0.25">
      <c r="A76" s="87" t="s">
        <v>434</v>
      </c>
      <c r="B76" s="103">
        <v>27952778.120000001</v>
      </c>
      <c r="D76" s="87" t="s">
        <v>96</v>
      </c>
      <c r="E76" s="103">
        <v>1795670827</v>
      </c>
    </row>
    <row r="77" spans="1:5" x14ac:dyDescent="0.25">
      <c r="A77" s="87" t="s">
        <v>248</v>
      </c>
      <c r="B77" s="92">
        <v>6970226.1600000001</v>
      </c>
      <c r="D77" s="99" t="s">
        <v>81</v>
      </c>
      <c r="E77" s="104">
        <v>255343</v>
      </c>
    </row>
    <row r="78" spans="1:5" x14ac:dyDescent="0.25">
      <c r="A78" s="87" t="s">
        <v>249</v>
      </c>
      <c r="B78" s="92">
        <v>3927561.09</v>
      </c>
      <c r="D78" s="99" t="s">
        <v>98</v>
      </c>
      <c r="E78" s="104">
        <v>973396645</v>
      </c>
    </row>
    <row r="79" spans="1:5" x14ac:dyDescent="0.25">
      <c r="A79" s="87" t="s">
        <v>260</v>
      </c>
      <c r="B79" s="92">
        <v>451980230.57999998</v>
      </c>
      <c r="D79" s="99" t="s">
        <v>28</v>
      </c>
      <c r="E79" s="104">
        <v>239238036</v>
      </c>
    </row>
    <row r="80" spans="1:5" x14ac:dyDescent="0.25">
      <c r="A80" s="87" t="s">
        <v>254</v>
      </c>
      <c r="B80" s="92">
        <v>651526087.88</v>
      </c>
      <c r="D80" s="99" t="s">
        <v>276</v>
      </c>
      <c r="E80" s="104">
        <v>93538758.120000005</v>
      </c>
    </row>
    <row r="81" spans="1:8" x14ac:dyDescent="0.25">
      <c r="A81" s="87" t="s">
        <v>261</v>
      </c>
      <c r="B81" s="92">
        <v>277938223.63</v>
      </c>
      <c r="D81" s="99" t="s">
        <v>430</v>
      </c>
      <c r="E81" s="104">
        <v>98145264.699999988</v>
      </c>
    </row>
    <row r="82" spans="1:8" x14ac:dyDescent="0.25">
      <c r="A82" s="87" t="s">
        <v>263</v>
      </c>
      <c r="B82" s="92">
        <v>335146857.69</v>
      </c>
      <c r="D82" s="99" t="s">
        <v>431</v>
      </c>
      <c r="E82" s="103">
        <v>290323179.13999999</v>
      </c>
    </row>
    <row r="83" spans="1:8" x14ac:dyDescent="0.25">
      <c r="A83" s="87" t="s">
        <v>268</v>
      </c>
      <c r="B83" s="92">
        <v>319412485.87</v>
      </c>
      <c r="D83" s="87" t="s">
        <v>434</v>
      </c>
      <c r="E83" s="103">
        <v>27952778.120000001</v>
      </c>
    </row>
    <row r="84" spans="1:8" x14ac:dyDescent="0.25">
      <c r="A84" s="87" t="s">
        <v>256</v>
      </c>
      <c r="B84" s="92">
        <v>21212020</v>
      </c>
      <c r="D84" s="107" t="s">
        <v>110</v>
      </c>
      <c r="E84" s="103">
        <v>29235594.449999999</v>
      </c>
      <c r="F84" t="s">
        <v>252</v>
      </c>
      <c r="G84" s="92">
        <v>39585957</v>
      </c>
      <c r="H84" t="s">
        <v>265</v>
      </c>
    </row>
    <row r="85" spans="1:8" x14ac:dyDescent="0.25">
      <c r="A85" s="87" t="s">
        <v>8</v>
      </c>
      <c r="B85" s="92">
        <v>33652386</v>
      </c>
      <c r="D85" s="107" t="s">
        <v>111</v>
      </c>
      <c r="E85" s="103">
        <v>19225106.809999999</v>
      </c>
      <c r="F85" t="s">
        <v>253</v>
      </c>
      <c r="G85" s="92">
        <v>35236371</v>
      </c>
      <c r="H85" t="s">
        <v>264</v>
      </c>
    </row>
    <row r="86" spans="1:8" x14ac:dyDescent="0.25">
      <c r="A86" s="87" t="s">
        <v>40</v>
      </c>
      <c r="B86" s="92">
        <v>77561</v>
      </c>
      <c r="D86" s="107" t="s">
        <v>112</v>
      </c>
      <c r="E86" s="103">
        <v>24599610.579999998</v>
      </c>
      <c r="F86" t="s">
        <v>250</v>
      </c>
      <c r="G86" s="92">
        <v>109047593</v>
      </c>
      <c r="H86" t="s">
        <v>266</v>
      </c>
    </row>
    <row r="87" spans="1:8" x14ac:dyDescent="0.25">
      <c r="A87" s="87" t="s">
        <v>9</v>
      </c>
      <c r="B87" s="92">
        <v>87573063</v>
      </c>
      <c r="D87" s="107" t="s">
        <v>122</v>
      </c>
      <c r="E87" s="92">
        <v>20889994.030000001</v>
      </c>
      <c r="F87" t="s">
        <v>251</v>
      </c>
      <c r="G87" s="92">
        <v>54985364</v>
      </c>
      <c r="H87" t="s">
        <v>266</v>
      </c>
    </row>
    <row r="88" spans="1:8" x14ac:dyDescent="0.25">
      <c r="A88" s="87" t="s">
        <v>10</v>
      </c>
      <c r="B88" s="92">
        <v>122521317</v>
      </c>
      <c r="D88" s="107" t="s">
        <v>123</v>
      </c>
      <c r="E88" s="92">
        <v>22967775.329999998</v>
      </c>
      <c r="F88" t="s">
        <v>257</v>
      </c>
      <c r="G88" s="92">
        <v>8506495</v>
      </c>
      <c r="H88" t="s">
        <v>264</v>
      </c>
    </row>
    <row r="89" spans="1:8" x14ac:dyDescent="0.25">
      <c r="A89" s="87" t="s">
        <v>252</v>
      </c>
      <c r="B89" s="92">
        <v>39585957</v>
      </c>
      <c r="D89" s="107" t="s">
        <v>139</v>
      </c>
      <c r="E89" s="92">
        <v>20068945.129999999</v>
      </c>
    </row>
    <row r="90" spans="1:8" x14ac:dyDescent="0.25">
      <c r="A90" s="87" t="s">
        <v>253</v>
      </c>
      <c r="B90" s="92">
        <v>35236371</v>
      </c>
      <c r="D90" s="87" t="s">
        <v>248</v>
      </c>
      <c r="E90" s="92">
        <v>6970226.1600000001</v>
      </c>
    </row>
    <row r="91" spans="1:8" x14ac:dyDescent="0.25">
      <c r="A91" s="87" t="s">
        <v>250</v>
      </c>
      <c r="B91" s="92">
        <v>109047593</v>
      </c>
      <c r="D91" s="87" t="s">
        <v>249</v>
      </c>
      <c r="E91" s="92">
        <v>3927561.09</v>
      </c>
    </row>
    <row r="92" spans="1:8" x14ac:dyDescent="0.25">
      <c r="A92" s="87" t="s">
        <v>251</v>
      </c>
      <c r="B92" s="92">
        <v>54985364</v>
      </c>
      <c r="D92" s="87" t="s">
        <v>260</v>
      </c>
      <c r="E92" s="92">
        <v>451980230.57999998</v>
      </c>
    </row>
    <row r="93" spans="1:8" x14ac:dyDescent="0.25">
      <c r="A93" s="87" t="s">
        <v>257</v>
      </c>
      <c r="B93" s="92">
        <v>8506495</v>
      </c>
      <c r="D93" s="87" t="s">
        <v>254</v>
      </c>
      <c r="E93" s="92">
        <v>651526087.88</v>
      </c>
    </row>
    <row r="94" spans="1:8" x14ac:dyDescent="0.25">
      <c r="A94" s="87" t="s">
        <v>113</v>
      </c>
      <c r="B94" s="92">
        <v>141079789.02999997</v>
      </c>
      <c r="D94" s="87" t="s">
        <v>261</v>
      </c>
      <c r="E94" s="92">
        <v>277938223.63</v>
      </c>
      <c r="F94" t="s">
        <v>432</v>
      </c>
    </row>
    <row r="95" spans="1:8" x14ac:dyDescent="0.25">
      <c r="A95" s="87" t="s">
        <v>82</v>
      </c>
      <c r="B95" s="92">
        <v>20379176</v>
      </c>
      <c r="D95" s="87" t="s">
        <v>263</v>
      </c>
      <c r="E95" s="92">
        <v>335146857.69</v>
      </c>
      <c r="F95" t="s">
        <v>432</v>
      </c>
    </row>
    <row r="96" spans="1:8" x14ac:dyDescent="0.25">
      <c r="A96" s="87" t="s">
        <v>83</v>
      </c>
      <c r="B96" s="92">
        <v>3991454</v>
      </c>
      <c r="D96" s="87" t="s">
        <v>268</v>
      </c>
      <c r="E96" s="92">
        <v>319412485.87</v>
      </c>
      <c r="F96" t="s">
        <v>432</v>
      </c>
    </row>
    <row r="97" spans="1:15" x14ac:dyDescent="0.25">
      <c r="A97" s="87" t="s">
        <v>16</v>
      </c>
      <c r="B97" s="92">
        <v>78465</v>
      </c>
      <c r="D97" s="87" t="s">
        <v>256</v>
      </c>
      <c r="E97" s="92">
        <v>21212020</v>
      </c>
      <c r="F97" t="s">
        <v>432</v>
      </c>
    </row>
    <row r="98" spans="1:15" x14ac:dyDescent="0.25">
      <c r="A98" s="87" t="s">
        <v>245</v>
      </c>
      <c r="B98" s="92">
        <v>1100006489</v>
      </c>
      <c r="D98" s="87" t="s">
        <v>8</v>
      </c>
      <c r="E98" s="92">
        <v>33652386</v>
      </c>
      <c r="F98" t="s">
        <v>432</v>
      </c>
    </row>
    <row r="99" spans="1:15" x14ac:dyDescent="0.25">
      <c r="A99" s="87" t="s">
        <v>247</v>
      </c>
      <c r="B99" s="92">
        <v>46360523</v>
      </c>
      <c r="D99" s="87" t="s">
        <v>40</v>
      </c>
      <c r="E99" s="92">
        <v>77561</v>
      </c>
      <c r="J99" t="s">
        <v>245</v>
      </c>
      <c r="K99" s="92">
        <v>935973532</v>
      </c>
    </row>
    <row r="100" spans="1:15" x14ac:dyDescent="0.25">
      <c r="A100" s="87" t="s">
        <v>246</v>
      </c>
      <c r="B100" s="92">
        <v>173792904</v>
      </c>
      <c r="D100" s="87" t="s">
        <v>9</v>
      </c>
      <c r="E100" s="92">
        <v>87573063</v>
      </c>
      <c r="J100" t="s">
        <v>247</v>
      </c>
      <c r="K100" s="92">
        <v>2617657</v>
      </c>
    </row>
    <row r="101" spans="1:15" x14ac:dyDescent="0.25">
      <c r="A101" s="87" t="s">
        <v>17</v>
      </c>
      <c r="B101" s="92">
        <v>23044548</v>
      </c>
      <c r="C101" s="41"/>
      <c r="D101" s="87" t="s">
        <v>10</v>
      </c>
      <c r="E101" s="92">
        <v>122521317</v>
      </c>
      <c r="F101" s="41"/>
      <c r="G101" s="41"/>
      <c r="H101" s="41"/>
      <c r="I101" s="41"/>
      <c r="J101" t="s">
        <v>246</v>
      </c>
      <c r="K101" s="92">
        <v>134206947</v>
      </c>
      <c r="L101" s="41"/>
      <c r="M101" s="41"/>
      <c r="N101" s="41"/>
      <c r="O101" s="41"/>
    </row>
    <row r="102" spans="1:15" x14ac:dyDescent="0.25">
      <c r="A102" s="87" t="s">
        <v>18</v>
      </c>
      <c r="B102" s="92">
        <v>234658014</v>
      </c>
      <c r="D102" s="87" t="s">
        <v>252</v>
      </c>
      <c r="E102" s="92">
        <v>39585957</v>
      </c>
    </row>
    <row r="103" spans="1:15" x14ac:dyDescent="0.25">
      <c r="A103" s="87" t="s">
        <v>19</v>
      </c>
      <c r="B103" s="92">
        <v>17723615</v>
      </c>
      <c r="D103" s="87" t="s">
        <v>253</v>
      </c>
      <c r="E103" s="92">
        <v>35236371</v>
      </c>
      <c r="F103" t="s">
        <v>432</v>
      </c>
    </row>
    <row r="104" spans="1:15" x14ac:dyDescent="0.25">
      <c r="A104" s="87" t="s">
        <v>20</v>
      </c>
      <c r="B104" s="92">
        <v>550852602</v>
      </c>
      <c r="D104" s="87" t="s">
        <v>250</v>
      </c>
      <c r="E104" s="92">
        <v>109047593</v>
      </c>
      <c r="F104" t="s">
        <v>432</v>
      </c>
    </row>
    <row r="105" spans="1:15" x14ac:dyDescent="0.25">
      <c r="A105" s="87" t="s">
        <v>21</v>
      </c>
      <c r="B105" s="92">
        <v>328851184</v>
      </c>
      <c r="D105" s="87" t="s">
        <v>251</v>
      </c>
      <c r="E105" s="92">
        <v>54985364</v>
      </c>
      <c r="F105" t="s">
        <v>432</v>
      </c>
    </row>
    <row r="106" spans="1:15" x14ac:dyDescent="0.25">
      <c r="A106" s="88" t="s">
        <v>47</v>
      </c>
      <c r="B106" s="93">
        <v>4704953</v>
      </c>
      <c r="D106" s="87" t="s">
        <v>257</v>
      </c>
      <c r="E106" s="92">
        <v>8506495</v>
      </c>
    </row>
    <row r="107" spans="1:15" x14ac:dyDescent="0.25">
      <c r="A107" s="87" t="s">
        <v>84</v>
      </c>
      <c r="B107" s="92"/>
      <c r="D107" s="87" t="s">
        <v>113</v>
      </c>
      <c r="E107" s="92">
        <v>141079789.02999997</v>
      </c>
    </row>
    <row r="108" spans="1:15" x14ac:dyDescent="0.25">
      <c r="A108" s="87" t="s">
        <v>85</v>
      </c>
      <c r="B108" s="92">
        <v>10517233</v>
      </c>
      <c r="D108" s="87" t="s">
        <v>82</v>
      </c>
      <c r="E108" s="92">
        <v>20379176</v>
      </c>
    </row>
    <row r="109" spans="1:15" x14ac:dyDescent="0.25">
      <c r="A109" s="87" t="s">
        <v>86</v>
      </c>
      <c r="B109" s="92">
        <v>17251250</v>
      </c>
      <c r="D109" s="87" t="s">
        <v>83</v>
      </c>
      <c r="E109" s="92">
        <v>3991454</v>
      </c>
    </row>
    <row r="110" spans="1:15" x14ac:dyDescent="0.25">
      <c r="A110" s="87" t="s">
        <v>87</v>
      </c>
      <c r="B110" s="92">
        <v>27311192</v>
      </c>
      <c r="D110" s="87" t="s">
        <v>16</v>
      </c>
      <c r="E110" s="92">
        <v>78465</v>
      </c>
    </row>
    <row r="111" spans="1:15" x14ac:dyDescent="0.25">
      <c r="A111" s="87" t="s">
        <v>88</v>
      </c>
      <c r="B111" s="92"/>
      <c r="D111" s="87" t="s">
        <v>245</v>
      </c>
      <c r="E111" s="92">
        <f>K99+G86+G87</f>
        <v>1100006489</v>
      </c>
    </row>
    <row r="112" spans="1:15" x14ac:dyDescent="0.25">
      <c r="A112" s="87" t="s">
        <v>89</v>
      </c>
      <c r="B112" s="94">
        <v>18063937</v>
      </c>
      <c r="D112" s="87" t="s">
        <v>247</v>
      </c>
      <c r="E112" s="92">
        <f>K100+G85+G88</f>
        <v>46360523</v>
      </c>
    </row>
    <row r="113" spans="1:5" x14ac:dyDescent="0.25">
      <c r="A113" s="87" t="s">
        <v>244</v>
      </c>
      <c r="B113" s="95">
        <v>1901251614</v>
      </c>
      <c r="D113" s="87" t="s">
        <v>246</v>
      </c>
      <c r="E113" s="92">
        <f>K101+G84</f>
        <v>173792904</v>
      </c>
    </row>
    <row r="114" spans="1:5" x14ac:dyDescent="0.25">
      <c r="A114" s="89" t="s">
        <v>271</v>
      </c>
      <c r="B114" s="96">
        <v>162161519</v>
      </c>
      <c r="D114" s="87" t="s">
        <v>17</v>
      </c>
      <c r="E114" s="92">
        <v>23044548</v>
      </c>
    </row>
    <row r="115" spans="1:5" x14ac:dyDescent="0.25">
      <c r="A115" s="102" t="s">
        <v>90</v>
      </c>
      <c r="B115" s="103">
        <v>411051</v>
      </c>
      <c r="D115" s="87" t="s">
        <v>18</v>
      </c>
      <c r="E115" s="92">
        <v>234658014</v>
      </c>
    </row>
    <row r="116" spans="1:5" x14ac:dyDescent="0.25">
      <c r="A116" s="102" t="s">
        <v>272</v>
      </c>
      <c r="B116" s="103">
        <v>252843377</v>
      </c>
      <c r="D116" s="87" t="s">
        <v>19</v>
      </c>
      <c r="E116" s="92">
        <v>17723615</v>
      </c>
    </row>
    <row r="117" spans="1:5" x14ac:dyDescent="0.25">
      <c r="A117" s="87" t="s">
        <v>91</v>
      </c>
      <c r="B117" s="92">
        <v>12030736</v>
      </c>
      <c r="D117" s="87" t="s">
        <v>20</v>
      </c>
      <c r="E117" s="92">
        <v>550852602</v>
      </c>
    </row>
    <row r="118" spans="1:5" x14ac:dyDescent="0.25">
      <c r="A118" s="102" t="s">
        <v>93</v>
      </c>
      <c r="B118" s="92"/>
      <c r="D118" s="87" t="s">
        <v>21</v>
      </c>
      <c r="E118" s="92">
        <v>328851184</v>
      </c>
    </row>
    <row r="119" spans="1:5" x14ac:dyDescent="0.25">
      <c r="A119" s="102" t="s">
        <v>92</v>
      </c>
      <c r="B119" s="92"/>
      <c r="D119" s="88" t="s">
        <v>47</v>
      </c>
      <c r="E119" s="93">
        <v>4704953</v>
      </c>
    </row>
    <row r="120" spans="1:5" x14ac:dyDescent="0.25">
      <c r="A120" s="102" t="s">
        <v>94</v>
      </c>
      <c r="B120" s="92">
        <v>15554245</v>
      </c>
      <c r="D120" s="87" t="s">
        <v>84</v>
      </c>
      <c r="E120" s="92"/>
    </row>
    <row r="121" spans="1:5" x14ac:dyDescent="0.25">
      <c r="A121" s="102" t="s">
        <v>262</v>
      </c>
      <c r="B121" s="92">
        <v>909580051</v>
      </c>
      <c r="D121" s="87" t="s">
        <v>85</v>
      </c>
      <c r="E121" s="92">
        <v>10517233</v>
      </c>
    </row>
    <row r="122" spans="1:5" x14ac:dyDescent="0.25">
      <c r="A122" s="102" t="s">
        <v>442</v>
      </c>
      <c r="B122" s="92"/>
      <c r="D122" s="87" t="s">
        <v>86</v>
      </c>
      <c r="E122" s="92">
        <v>17251250</v>
      </c>
    </row>
    <row r="123" spans="1:5" x14ac:dyDescent="0.25">
      <c r="D123" s="87" t="s">
        <v>87</v>
      </c>
      <c r="E123" s="92">
        <v>27311192</v>
      </c>
    </row>
    <row r="124" spans="1:5" x14ac:dyDescent="0.25">
      <c r="D124" s="87" t="s">
        <v>88</v>
      </c>
      <c r="E124" s="92"/>
    </row>
    <row r="125" spans="1:5" x14ac:dyDescent="0.25">
      <c r="D125" s="87" t="s">
        <v>89</v>
      </c>
      <c r="E125" s="94">
        <v>18063937</v>
      </c>
    </row>
    <row r="126" spans="1:5" x14ac:dyDescent="0.25">
      <c r="D126" s="87" t="s">
        <v>244</v>
      </c>
      <c r="E126" s="95">
        <v>1901251614</v>
      </c>
    </row>
    <row r="127" spans="1:5" x14ac:dyDescent="0.25">
      <c r="D127" s="89" t="s">
        <v>271</v>
      </c>
      <c r="E127" s="96">
        <v>162161519</v>
      </c>
    </row>
    <row r="128" spans="1:5" x14ac:dyDescent="0.25">
      <c r="B128" s="98"/>
      <c r="D128" s="102" t="s">
        <v>90</v>
      </c>
      <c r="E128" s="103">
        <v>411051</v>
      </c>
    </row>
    <row r="129" spans="1:5" x14ac:dyDescent="0.25">
      <c r="B129" s="98"/>
      <c r="D129" s="102" t="s">
        <v>272</v>
      </c>
      <c r="E129" s="103">
        <v>252843377</v>
      </c>
    </row>
    <row r="130" spans="1:5" x14ac:dyDescent="0.25">
      <c r="A130" s="91"/>
      <c r="D130" s="87" t="s">
        <v>91</v>
      </c>
      <c r="E130" s="92">
        <v>12030736</v>
      </c>
    </row>
    <row r="131" spans="1:5" x14ac:dyDescent="0.25">
      <c r="D131" s="102" t="s">
        <v>93</v>
      </c>
      <c r="E131" s="92"/>
    </row>
    <row r="132" spans="1:5" x14ac:dyDescent="0.25">
      <c r="D132" s="102" t="s">
        <v>92</v>
      </c>
      <c r="E132" s="92"/>
    </row>
    <row r="133" spans="1:5" x14ac:dyDescent="0.25">
      <c r="D133" s="102" t="s">
        <v>94</v>
      </c>
      <c r="E133" s="92">
        <v>15554245</v>
      </c>
    </row>
    <row r="134" spans="1:5" x14ac:dyDescent="0.25">
      <c r="D134" s="102" t="s">
        <v>262</v>
      </c>
      <c r="E134" s="92">
        <v>909580051</v>
      </c>
    </row>
    <row r="135" spans="1:5" x14ac:dyDescent="0.25">
      <c r="D135" s="102" t="s">
        <v>442</v>
      </c>
      <c r="E135" s="92"/>
    </row>
    <row r="136" spans="1:5" x14ac:dyDescent="0.25">
      <c r="D136" s="102"/>
      <c r="E136" s="92"/>
    </row>
    <row r="137" spans="1:5" x14ac:dyDescent="0.25">
      <c r="D137" s="102"/>
      <c r="E137" s="92"/>
    </row>
    <row r="138" spans="1:5" x14ac:dyDescent="0.25">
      <c r="D138" s="102"/>
      <c r="E138" s="92"/>
    </row>
    <row r="139" spans="1:5" x14ac:dyDescent="0.25">
      <c r="D139" s="102"/>
      <c r="E139" s="92"/>
    </row>
    <row r="140" spans="1:5" x14ac:dyDescent="0.25">
      <c r="D140" s="102"/>
      <c r="E140" s="92"/>
    </row>
    <row r="141" spans="1:5" x14ac:dyDescent="0.25">
      <c r="D141" s="102"/>
      <c r="E141" s="92"/>
    </row>
    <row r="142" spans="1:5" x14ac:dyDescent="0.25">
      <c r="D142" s="102"/>
      <c r="E142" s="92"/>
    </row>
    <row r="143" spans="1:5" x14ac:dyDescent="0.25">
      <c r="D143" s="102"/>
      <c r="E143" s="92"/>
    </row>
    <row r="144" spans="1:5" x14ac:dyDescent="0.25">
      <c r="D144" s="102"/>
      <c r="E144" s="92"/>
    </row>
    <row r="145" spans="4:5" x14ac:dyDescent="0.25">
      <c r="D145" s="102"/>
      <c r="E145" s="92"/>
    </row>
  </sheetData>
  <sortState xmlns:xlrd2="http://schemas.microsoft.com/office/spreadsheetml/2017/richdata2" ref="G2:H107">
    <sortCondition ref="G2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3"/>
  <sheetViews>
    <sheetView tabSelected="1" workbookViewId="0">
      <selection activeCell="H59" sqref="H59"/>
    </sheetView>
  </sheetViews>
  <sheetFormatPr defaultRowHeight="15" x14ac:dyDescent="0.25"/>
  <cols>
    <col min="1" max="1" width="15.7109375" style="7" bestFit="1" customWidth="1"/>
    <col min="2" max="2" width="20.7109375" style="7" customWidth="1"/>
    <col min="3" max="3" width="15" bestFit="1" customWidth="1"/>
    <col min="4" max="4" width="16.85546875" bestFit="1" customWidth="1"/>
    <col min="5" max="5" width="18" style="7" bestFit="1" customWidth="1"/>
    <col min="7" max="7" width="16.85546875" bestFit="1" customWidth="1"/>
    <col min="8" max="8" width="38.85546875" bestFit="1" customWidth="1"/>
    <col min="9" max="9" width="16.85546875" bestFit="1" customWidth="1"/>
    <col min="10" max="10" width="16.85546875" style="7" bestFit="1" customWidth="1"/>
  </cols>
  <sheetData>
    <row r="1" spans="1:13" x14ac:dyDescent="0.25">
      <c r="A1" s="86" t="s">
        <v>0</v>
      </c>
      <c r="B1" s="85" t="s">
        <v>1</v>
      </c>
    </row>
    <row r="2" spans="1:13" x14ac:dyDescent="0.25">
      <c r="A2" t="s">
        <v>48</v>
      </c>
      <c r="B2" s="7">
        <v>276712413</v>
      </c>
      <c r="D2" t="s">
        <v>48</v>
      </c>
      <c r="E2" s="7">
        <v>276712413</v>
      </c>
      <c r="I2" s="82" t="s">
        <v>433</v>
      </c>
    </row>
    <row r="3" spans="1:13" x14ac:dyDescent="0.25">
      <c r="A3" t="s">
        <v>49</v>
      </c>
      <c r="B3" s="7">
        <v>44663645</v>
      </c>
      <c r="D3" t="s">
        <v>49</v>
      </c>
      <c r="E3" s="7">
        <v>44663645</v>
      </c>
      <c r="I3" s="81">
        <v>45565</v>
      </c>
    </row>
    <row r="4" spans="1:13" x14ac:dyDescent="0.25">
      <c r="A4" s="7" t="s">
        <v>50</v>
      </c>
      <c r="B4" s="7">
        <v>29944309</v>
      </c>
      <c r="D4" s="7" t="s">
        <v>50</v>
      </c>
      <c r="E4" s="7">
        <v>29944309</v>
      </c>
    </row>
    <row r="5" spans="1:13" x14ac:dyDescent="0.25">
      <c r="A5" s="7" t="s">
        <v>95</v>
      </c>
      <c r="B5" s="7">
        <v>108101631</v>
      </c>
      <c r="D5" s="7" t="s">
        <v>95</v>
      </c>
      <c r="E5" s="7">
        <v>108101631</v>
      </c>
    </row>
    <row r="6" spans="1:13" x14ac:dyDescent="0.25">
      <c r="A6" s="7" t="s">
        <v>2</v>
      </c>
      <c r="B6" s="7">
        <v>1226192</v>
      </c>
      <c r="D6" s="7" t="s">
        <v>2</v>
      </c>
      <c r="E6" s="7">
        <v>1226192</v>
      </c>
    </row>
    <row r="7" spans="1:13" x14ac:dyDescent="0.25">
      <c r="A7" s="7" t="s">
        <v>3</v>
      </c>
      <c r="B7" s="7">
        <v>215898</v>
      </c>
      <c r="D7" s="7" t="s">
        <v>3</v>
      </c>
      <c r="E7" s="7">
        <v>215898</v>
      </c>
    </row>
    <row r="8" spans="1:13" x14ac:dyDescent="0.25">
      <c r="A8" s="7" t="s">
        <v>29</v>
      </c>
      <c r="B8" s="7">
        <v>132260888</v>
      </c>
      <c r="D8" s="7" t="s">
        <v>29</v>
      </c>
      <c r="E8" s="7">
        <v>132260888</v>
      </c>
    </row>
    <row r="9" spans="1:13" x14ac:dyDescent="0.25">
      <c r="A9" s="7" t="s">
        <v>269</v>
      </c>
      <c r="B9" s="7">
        <v>92942418</v>
      </c>
      <c r="D9" s="7" t="s">
        <v>269</v>
      </c>
      <c r="E9" s="7">
        <v>92942418</v>
      </c>
    </row>
    <row r="10" spans="1:13" x14ac:dyDescent="0.25">
      <c r="A10" s="7" t="s">
        <v>140</v>
      </c>
      <c r="B10" s="7">
        <v>201751089</v>
      </c>
      <c r="D10" s="7" t="s">
        <v>140</v>
      </c>
      <c r="E10" s="7">
        <v>201751089</v>
      </c>
    </row>
    <row r="11" spans="1:13" x14ac:dyDescent="0.25">
      <c r="A11" s="7" t="s">
        <v>4</v>
      </c>
      <c r="B11" s="7">
        <v>2649</v>
      </c>
      <c r="D11" s="7" t="s">
        <v>4</v>
      </c>
      <c r="E11" s="7">
        <v>2649</v>
      </c>
    </row>
    <row r="12" spans="1:13" x14ac:dyDescent="0.25">
      <c r="A12" s="7" t="s">
        <v>5</v>
      </c>
      <c r="B12" s="7">
        <v>82952</v>
      </c>
      <c r="D12" s="7" t="s">
        <v>5</v>
      </c>
      <c r="E12" s="7">
        <v>82952</v>
      </c>
    </row>
    <row r="13" spans="1:13" x14ac:dyDescent="0.25">
      <c r="A13" t="s">
        <v>30</v>
      </c>
      <c r="B13" s="7">
        <v>303707882</v>
      </c>
      <c r="D13" t="s">
        <v>30</v>
      </c>
      <c r="E13" s="7">
        <v>303707882</v>
      </c>
      <c r="M13" s="7"/>
    </row>
    <row r="14" spans="1:13" x14ac:dyDescent="0.25">
      <c r="A14" s="7" t="s">
        <v>270</v>
      </c>
      <c r="B14" s="7">
        <v>101671056</v>
      </c>
      <c r="D14" s="7" t="s">
        <v>270</v>
      </c>
      <c r="E14" s="7">
        <v>101671056</v>
      </c>
    </row>
    <row r="15" spans="1:13" x14ac:dyDescent="0.25">
      <c r="A15" s="7" t="s">
        <v>141</v>
      </c>
      <c r="B15" s="7">
        <v>312423908</v>
      </c>
      <c r="D15" s="7" t="s">
        <v>141</v>
      </c>
      <c r="E15" s="7">
        <v>312423908</v>
      </c>
      <c r="G15" s="11"/>
      <c r="H15" s="6"/>
    </row>
    <row r="16" spans="1:13" x14ac:dyDescent="0.25">
      <c r="A16" t="s">
        <v>6</v>
      </c>
      <c r="B16" s="7">
        <v>33771</v>
      </c>
      <c r="D16" t="s">
        <v>6</v>
      </c>
      <c r="E16" s="7">
        <v>33771</v>
      </c>
      <c r="G16" s="11"/>
      <c r="H16" s="6"/>
    </row>
    <row r="17" spans="1:5" x14ac:dyDescent="0.25">
      <c r="A17" t="s">
        <v>7</v>
      </c>
      <c r="B17" s="7">
        <v>23564</v>
      </c>
      <c r="D17" t="s">
        <v>7</v>
      </c>
      <c r="E17" s="7">
        <v>23564</v>
      </c>
    </row>
    <row r="18" spans="1:5" x14ac:dyDescent="0.25">
      <c r="A18" s="7" t="s">
        <v>55</v>
      </c>
      <c r="B18" s="7">
        <v>1364632</v>
      </c>
      <c r="D18" s="7" t="s">
        <v>55</v>
      </c>
      <c r="E18" s="7">
        <v>1364632</v>
      </c>
    </row>
    <row r="19" spans="1:5" x14ac:dyDescent="0.25">
      <c r="A19" s="7" t="s">
        <v>56</v>
      </c>
      <c r="B19" s="7">
        <v>26955727</v>
      </c>
      <c r="D19" s="7" t="s">
        <v>56</v>
      </c>
      <c r="E19" s="7">
        <v>26955727</v>
      </c>
    </row>
    <row r="20" spans="1:5" x14ac:dyDescent="0.25">
      <c r="A20" s="7" t="s">
        <v>57</v>
      </c>
      <c r="B20" s="7">
        <v>794524</v>
      </c>
      <c r="D20" s="7" t="s">
        <v>57</v>
      </c>
      <c r="E20" s="7">
        <v>794524</v>
      </c>
    </row>
    <row r="21" spans="1:5" x14ac:dyDescent="0.25">
      <c r="A21" s="7" t="s">
        <v>103</v>
      </c>
      <c r="B21" s="7">
        <v>8321680.0100000007</v>
      </c>
      <c r="D21" s="7" t="s">
        <v>103</v>
      </c>
      <c r="E21" s="7">
        <v>8321680.0100000007</v>
      </c>
    </row>
    <row r="22" spans="1:5" x14ac:dyDescent="0.25">
      <c r="A22" s="7" t="s">
        <v>104</v>
      </c>
      <c r="B22" s="7">
        <v>56591525.730000004</v>
      </c>
      <c r="D22" s="7" t="s">
        <v>104</v>
      </c>
      <c r="E22" s="7">
        <v>56591525.730000004</v>
      </c>
    </row>
    <row r="23" spans="1:5" x14ac:dyDescent="0.25">
      <c r="A23" s="7" t="s">
        <v>105</v>
      </c>
      <c r="B23" s="7">
        <v>123937506.37</v>
      </c>
      <c r="D23" s="7" t="s">
        <v>105</v>
      </c>
      <c r="E23" s="7">
        <v>123937506.37</v>
      </c>
    </row>
    <row r="24" spans="1:5" x14ac:dyDescent="0.25">
      <c r="A24" s="7" t="s">
        <v>106</v>
      </c>
      <c r="B24" s="7">
        <v>323150343.74000001</v>
      </c>
      <c r="D24" s="7" t="s">
        <v>106</v>
      </c>
      <c r="E24" s="7">
        <v>323150343.74000001</v>
      </c>
    </row>
    <row r="25" spans="1:5" x14ac:dyDescent="0.25">
      <c r="A25" s="7" t="s">
        <v>107</v>
      </c>
      <c r="B25" s="7">
        <v>247147097.27999997</v>
      </c>
      <c r="D25" s="7" t="s">
        <v>107</v>
      </c>
      <c r="E25" s="7">
        <v>247147097.27999997</v>
      </c>
    </row>
    <row r="26" spans="1:5" x14ac:dyDescent="0.25">
      <c r="A26" s="7" t="s">
        <v>108</v>
      </c>
      <c r="B26" s="7">
        <v>85685108.980000004</v>
      </c>
      <c r="D26" s="7" t="s">
        <v>108</v>
      </c>
      <c r="E26" s="7">
        <v>85685108.980000004</v>
      </c>
    </row>
    <row r="27" spans="1:5" x14ac:dyDescent="0.25">
      <c r="A27" t="s">
        <v>109</v>
      </c>
      <c r="B27" s="7">
        <v>137814615.19000003</v>
      </c>
      <c r="D27" t="s">
        <v>109</v>
      </c>
      <c r="E27" s="7">
        <v>137814615.19000003</v>
      </c>
    </row>
    <row r="28" spans="1:5" x14ac:dyDescent="0.25">
      <c r="A28" t="s">
        <v>99</v>
      </c>
      <c r="B28" s="7">
        <v>56764604.780000001</v>
      </c>
      <c r="D28" t="s">
        <v>99</v>
      </c>
      <c r="E28" s="7">
        <v>56764604.780000001</v>
      </c>
    </row>
    <row r="29" spans="1:5" x14ac:dyDescent="0.25">
      <c r="A29" s="7" t="s">
        <v>100</v>
      </c>
      <c r="B29" s="7">
        <v>77232789.670000002</v>
      </c>
      <c r="D29" s="7" t="s">
        <v>100</v>
      </c>
      <c r="E29" s="7">
        <v>77232789.670000002</v>
      </c>
    </row>
    <row r="30" spans="1:5" x14ac:dyDescent="0.25">
      <c r="A30" s="7" t="s">
        <v>101</v>
      </c>
      <c r="B30" s="7">
        <v>234214073.76000002</v>
      </c>
      <c r="D30" s="7" t="s">
        <v>101</v>
      </c>
      <c r="E30" s="7">
        <v>234214073.76000002</v>
      </c>
    </row>
    <row r="31" spans="1:5" x14ac:dyDescent="0.25">
      <c r="A31" s="7" t="s">
        <v>102</v>
      </c>
      <c r="B31" s="7">
        <v>74824881.549999997</v>
      </c>
      <c r="D31" s="7" t="s">
        <v>102</v>
      </c>
      <c r="E31" s="7">
        <v>74824881.549999997</v>
      </c>
    </row>
    <row r="32" spans="1:5" x14ac:dyDescent="0.25">
      <c r="A32" s="7" t="s">
        <v>259</v>
      </c>
      <c r="B32" s="7">
        <v>13134605716</v>
      </c>
      <c r="D32" s="7" t="s">
        <v>259</v>
      </c>
      <c r="E32" s="7">
        <v>13134605716</v>
      </c>
    </row>
    <row r="33" spans="1:5" x14ac:dyDescent="0.25">
      <c r="A33" s="7" t="s">
        <v>31</v>
      </c>
      <c r="B33" s="7">
        <v>918320</v>
      </c>
      <c r="D33" s="7" t="s">
        <v>31</v>
      </c>
      <c r="E33" s="7">
        <v>918320</v>
      </c>
    </row>
    <row r="34" spans="1:5" x14ac:dyDescent="0.25">
      <c r="A34" t="s">
        <v>32</v>
      </c>
      <c r="B34" s="7">
        <v>278072</v>
      </c>
      <c r="D34" t="s">
        <v>32</v>
      </c>
      <c r="E34" s="7">
        <v>278072</v>
      </c>
    </row>
    <row r="35" spans="1:5" x14ac:dyDescent="0.25">
      <c r="A35" t="s">
        <v>33</v>
      </c>
      <c r="B35" s="7">
        <v>4891405</v>
      </c>
      <c r="D35" t="s">
        <v>33</v>
      </c>
      <c r="E35" s="7">
        <v>4891405</v>
      </c>
    </row>
    <row r="36" spans="1:5" x14ac:dyDescent="0.25">
      <c r="A36" t="s">
        <v>34</v>
      </c>
      <c r="B36" s="7">
        <v>187915</v>
      </c>
      <c r="D36" t="s">
        <v>34</v>
      </c>
      <c r="E36" s="7">
        <v>187915</v>
      </c>
    </row>
    <row r="37" spans="1:5" x14ac:dyDescent="0.25">
      <c r="A37" s="7" t="s">
        <v>35</v>
      </c>
      <c r="B37" s="7">
        <v>340831</v>
      </c>
      <c r="D37" s="7" t="s">
        <v>35</v>
      </c>
      <c r="E37" s="7">
        <v>340831</v>
      </c>
    </row>
    <row r="38" spans="1:5" x14ac:dyDescent="0.25">
      <c r="A38" s="7" t="s">
        <v>36</v>
      </c>
      <c r="B38" s="7">
        <v>155214</v>
      </c>
      <c r="D38" s="7" t="s">
        <v>36</v>
      </c>
      <c r="E38" s="7">
        <v>155214</v>
      </c>
    </row>
    <row r="39" spans="1:5" x14ac:dyDescent="0.25">
      <c r="A39" s="7" t="s">
        <v>37</v>
      </c>
      <c r="B39" s="7">
        <v>87979</v>
      </c>
      <c r="D39" s="7" t="s">
        <v>37</v>
      </c>
      <c r="E39" s="7">
        <v>87979</v>
      </c>
    </row>
    <row r="40" spans="1:5" x14ac:dyDescent="0.25">
      <c r="A40" s="7" t="s">
        <v>38</v>
      </c>
      <c r="B40" s="7">
        <v>135227</v>
      </c>
      <c r="D40" s="7" t="s">
        <v>38</v>
      </c>
      <c r="E40" s="7">
        <v>135227</v>
      </c>
    </row>
    <row r="41" spans="1:5" x14ac:dyDescent="0.25">
      <c r="A41" s="7" t="s">
        <v>39</v>
      </c>
      <c r="B41" s="7">
        <v>631685</v>
      </c>
      <c r="D41" s="7" t="s">
        <v>39</v>
      </c>
      <c r="E41" s="7">
        <v>631685</v>
      </c>
    </row>
    <row r="42" spans="1:5" x14ac:dyDescent="0.25">
      <c r="A42" s="7" t="s">
        <v>41</v>
      </c>
      <c r="B42" s="7">
        <v>143073</v>
      </c>
      <c r="D42" s="7" t="s">
        <v>41</v>
      </c>
      <c r="E42" s="7">
        <v>143073</v>
      </c>
    </row>
    <row r="43" spans="1:5" x14ac:dyDescent="0.25">
      <c r="A43" s="7" t="s">
        <v>42</v>
      </c>
      <c r="B43" s="7">
        <v>16991</v>
      </c>
      <c r="D43" s="7" t="s">
        <v>42</v>
      </c>
      <c r="E43" s="7">
        <v>16991</v>
      </c>
    </row>
    <row r="44" spans="1:5" x14ac:dyDescent="0.25">
      <c r="A44" s="7" t="s">
        <v>43</v>
      </c>
      <c r="B44" s="7">
        <v>29020</v>
      </c>
      <c r="D44" s="7" t="s">
        <v>43</v>
      </c>
      <c r="E44" s="7">
        <v>29020</v>
      </c>
    </row>
    <row r="45" spans="1:5" x14ac:dyDescent="0.25">
      <c r="A45" s="7" t="s">
        <v>44</v>
      </c>
      <c r="B45" s="7">
        <v>12897265</v>
      </c>
      <c r="D45" s="7" t="s">
        <v>44</v>
      </c>
      <c r="E45" s="7">
        <v>12897265</v>
      </c>
    </row>
    <row r="46" spans="1:5" x14ac:dyDescent="0.25">
      <c r="A46" s="7" t="s">
        <v>255</v>
      </c>
      <c r="B46" s="7">
        <v>5812215</v>
      </c>
      <c r="D46" s="7" t="s">
        <v>255</v>
      </c>
      <c r="E46" s="7">
        <v>5812215</v>
      </c>
    </row>
    <row r="47" spans="1:5" x14ac:dyDescent="0.25">
      <c r="A47" s="7" t="s">
        <v>64</v>
      </c>
      <c r="B47" s="7">
        <v>393174</v>
      </c>
      <c r="D47" s="7" t="s">
        <v>64</v>
      </c>
      <c r="E47" s="7">
        <v>393174</v>
      </c>
    </row>
    <row r="48" spans="1:5" x14ac:dyDescent="0.25">
      <c r="A48" s="7" t="s">
        <v>65</v>
      </c>
      <c r="B48" s="7">
        <v>7920799</v>
      </c>
      <c r="D48" s="7" t="s">
        <v>65</v>
      </c>
      <c r="E48" s="7">
        <v>7920799</v>
      </c>
    </row>
    <row r="49" spans="1:5" x14ac:dyDescent="0.25">
      <c r="A49" t="s">
        <v>66</v>
      </c>
      <c r="B49" s="7">
        <v>1249574</v>
      </c>
      <c r="D49" t="s">
        <v>66</v>
      </c>
      <c r="E49" s="7">
        <v>1249574</v>
      </c>
    </row>
    <row r="50" spans="1:5" x14ac:dyDescent="0.25">
      <c r="A50" t="s">
        <v>67</v>
      </c>
      <c r="B50" s="7">
        <v>73864832</v>
      </c>
      <c r="D50" t="s">
        <v>67</v>
      </c>
      <c r="E50" s="7">
        <v>73864832</v>
      </c>
    </row>
    <row r="51" spans="1:5" x14ac:dyDescent="0.25">
      <c r="A51" s="7" t="s">
        <v>68</v>
      </c>
      <c r="B51" s="7">
        <v>65910670</v>
      </c>
      <c r="D51" s="7" t="s">
        <v>68</v>
      </c>
      <c r="E51" s="7">
        <v>65910670</v>
      </c>
    </row>
    <row r="52" spans="1:5" x14ac:dyDescent="0.25">
      <c r="A52" t="s">
        <v>69</v>
      </c>
      <c r="B52" s="7">
        <v>132733973</v>
      </c>
      <c r="D52" t="s">
        <v>69</v>
      </c>
      <c r="E52" s="7">
        <v>132733973</v>
      </c>
    </row>
    <row r="53" spans="1:5" x14ac:dyDescent="0.25">
      <c r="A53" t="s">
        <v>80</v>
      </c>
      <c r="B53" s="7">
        <v>89492990</v>
      </c>
      <c r="D53" t="s">
        <v>80</v>
      </c>
      <c r="E53" s="7">
        <v>89492990</v>
      </c>
    </row>
    <row r="54" spans="1:5" x14ac:dyDescent="0.25">
      <c r="A54" s="7" t="s">
        <v>26</v>
      </c>
      <c r="B54" s="7">
        <v>230490457</v>
      </c>
      <c r="D54" s="7" t="s">
        <v>26</v>
      </c>
      <c r="E54" s="7">
        <v>230490457</v>
      </c>
    </row>
    <row r="55" spans="1:5" x14ac:dyDescent="0.25">
      <c r="A55" t="s">
        <v>45</v>
      </c>
      <c r="B55" s="7">
        <v>25631869</v>
      </c>
      <c r="D55" t="s">
        <v>45</v>
      </c>
      <c r="E55" s="7">
        <v>25631869</v>
      </c>
    </row>
    <row r="56" spans="1:5" x14ac:dyDescent="0.25">
      <c r="A56" t="s">
        <v>282</v>
      </c>
      <c r="B56" s="7">
        <v>111326553.32899173</v>
      </c>
      <c r="D56" t="s">
        <v>282</v>
      </c>
      <c r="E56" s="7">
        <v>111326553.32899173</v>
      </c>
    </row>
    <row r="57" spans="1:5" x14ac:dyDescent="0.25">
      <c r="A57" t="s">
        <v>283</v>
      </c>
      <c r="B57" s="7">
        <v>104298656.50513323</v>
      </c>
      <c r="D57" t="s">
        <v>283</v>
      </c>
      <c r="E57" s="7">
        <v>104298656.50513323</v>
      </c>
    </row>
    <row r="58" spans="1:5" x14ac:dyDescent="0.25">
      <c r="A58" t="s">
        <v>284</v>
      </c>
      <c r="B58" s="7">
        <v>122203660.09902811</v>
      </c>
      <c r="D58" t="s">
        <v>284</v>
      </c>
      <c r="E58" s="7">
        <v>122203660.09902811</v>
      </c>
    </row>
    <row r="59" spans="1:5" x14ac:dyDescent="0.25">
      <c r="A59" t="s">
        <v>285</v>
      </c>
      <c r="B59" s="7">
        <v>130965685.53382213</v>
      </c>
      <c r="D59" t="s">
        <v>285</v>
      </c>
      <c r="E59" s="7">
        <v>130965685.53382213</v>
      </c>
    </row>
    <row r="60" spans="1:5" x14ac:dyDescent="0.25">
      <c r="A60" s="7" t="s">
        <v>286</v>
      </c>
      <c r="B60" s="7">
        <v>101141452.5899999</v>
      </c>
      <c r="D60" s="7" t="s">
        <v>286</v>
      </c>
      <c r="E60" s="7">
        <v>101141452.5899999</v>
      </c>
    </row>
    <row r="61" spans="1:5" x14ac:dyDescent="0.25">
      <c r="A61" s="7" t="s">
        <v>287</v>
      </c>
      <c r="B61" s="7">
        <v>115468244.64973429</v>
      </c>
      <c r="D61" s="7" t="s">
        <v>287</v>
      </c>
      <c r="E61" s="7">
        <v>115468244.64973429</v>
      </c>
    </row>
    <row r="62" spans="1:5" x14ac:dyDescent="0.25">
      <c r="A62" s="7" t="s">
        <v>277</v>
      </c>
      <c r="D62" s="7" t="s">
        <v>277</v>
      </c>
    </row>
    <row r="63" spans="1:5" x14ac:dyDescent="0.25">
      <c r="A63" s="7" t="s">
        <v>278</v>
      </c>
      <c r="B63" s="7">
        <v>112258579.25219399</v>
      </c>
      <c r="D63" s="7" t="s">
        <v>278</v>
      </c>
      <c r="E63" s="7">
        <v>112258579.25219399</v>
      </c>
    </row>
    <row r="64" spans="1:5" x14ac:dyDescent="0.25">
      <c r="A64" s="7" t="s">
        <v>280</v>
      </c>
      <c r="D64" s="7" t="s">
        <v>280</v>
      </c>
    </row>
    <row r="65" spans="1:9" x14ac:dyDescent="0.25">
      <c r="A65" s="7" t="s">
        <v>279</v>
      </c>
      <c r="B65" s="7">
        <v>113278666.40391199</v>
      </c>
      <c r="D65" s="7" t="s">
        <v>279</v>
      </c>
      <c r="E65" s="7">
        <v>113278666.40391199</v>
      </c>
    </row>
    <row r="66" spans="1:9" x14ac:dyDescent="0.25">
      <c r="A66" s="7" t="s">
        <v>281</v>
      </c>
      <c r="B66" s="7">
        <v>92505556.007399991</v>
      </c>
      <c r="D66" s="7" t="s">
        <v>281</v>
      </c>
      <c r="E66" s="7">
        <v>92505556.007399991</v>
      </c>
      <c r="I66" s="92"/>
    </row>
    <row r="67" spans="1:9" x14ac:dyDescent="0.25">
      <c r="A67" s="7" t="s">
        <v>27</v>
      </c>
      <c r="B67" s="7">
        <v>170018725</v>
      </c>
      <c r="D67" s="7" t="s">
        <v>27</v>
      </c>
      <c r="E67" s="7">
        <v>170018725</v>
      </c>
      <c r="G67" s="11"/>
      <c r="H67" s="6"/>
    </row>
    <row r="68" spans="1:9" x14ac:dyDescent="0.25">
      <c r="A68" s="7" t="s">
        <v>97</v>
      </c>
      <c r="B68" s="7">
        <v>8373945</v>
      </c>
      <c r="D68" s="7" t="s">
        <v>97</v>
      </c>
      <c r="E68" s="7">
        <v>8373945</v>
      </c>
    </row>
    <row r="69" spans="1:9" x14ac:dyDescent="0.25">
      <c r="A69" s="7" t="s">
        <v>96</v>
      </c>
      <c r="B69" s="7">
        <v>1777255098</v>
      </c>
      <c r="D69" s="7" t="s">
        <v>96</v>
      </c>
      <c r="E69" s="7">
        <v>1777255098</v>
      </c>
    </row>
    <row r="70" spans="1:9" x14ac:dyDescent="0.25">
      <c r="A70" s="7" t="s">
        <v>81</v>
      </c>
      <c r="B70" s="7">
        <v>272765</v>
      </c>
      <c r="D70" s="7" t="s">
        <v>81</v>
      </c>
      <c r="E70" s="7">
        <v>272765</v>
      </c>
    </row>
    <row r="71" spans="1:9" x14ac:dyDescent="0.25">
      <c r="A71" s="7" t="s">
        <v>98</v>
      </c>
      <c r="B71" s="7">
        <v>1080105960</v>
      </c>
      <c r="D71" s="7" t="s">
        <v>98</v>
      </c>
      <c r="E71" s="7">
        <v>1080105960</v>
      </c>
    </row>
    <row r="72" spans="1:9" x14ac:dyDescent="0.25">
      <c r="A72" s="7" t="s">
        <v>28</v>
      </c>
      <c r="B72" s="7">
        <v>263555955</v>
      </c>
      <c r="D72" s="7" t="s">
        <v>28</v>
      </c>
      <c r="E72" s="7">
        <v>263555955</v>
      </c>
      <c r="G72" s="20"/>
    </row>
    <row r="73" spans="1:9" x14ac:dyDescent="0.25">
      <c r="A73" s="7" t="s">
        <v>276</v>
      </c>
      <c r="B73" s="7">
        <v>111680002.01000001</v>
      </c>
      <c r="D73" s="7" t="s">
        <v>276</v>
      </c>
      <c r="E73" s="7">
        <v>111680002.01000001</v>
      </c>
      <c r="F73" s="41"/>
    </row>
    <row r="74" spans="1:9" x14ac:dyDescent="0.25">
      <c r="A74" s="7" t="s">
        <v>430</v>
      </c>
      <c r="B74" s="7">
        <v>98124607.040000007</v>
      </c>
      <c r="D74" s="7" t="s">
        <v>430</v>
      </c>
      <c r="E74" s="7">
        <v>98124607.040000007</v>
      </c>
    </row>
    <row r="75" spans="1:9" x14ac:dyDescent="0.25">
      <c r="A75" s="7" t="s">
        <v>431</v>
      </c>
      <c r="B75" s="7">
        <v>291991455.05000001</v>
      </c>
      <c r="D75" s="7" t="s">
        <v>431</v>
      </c>
      <c r="E75" s="7">
        <v>291991455.05000001</v>
      </c>
    </row>
    <row r="76" spans="1:9" x14ac:dyDescent="0.25">
      <c r="A76" s="7" t="s">
        <v>248</v>
      </c>
      <c r="B76" s="7">
        <v>6970226.1600000001</v>
      </c>
      <c r="D76" s="108" t="s">
        <v>110</v>
      </c>
      <c r="E76" s="7">
        <v>31390460.949999999</v>
      </c>
    </row>
    <row r="77" spans="1:9" x14ac:dyDescent="0.25">
      <c r="A77" s="87" t="s">
        <v>249</v>
      </c>
      <c r="B77" s="92">
        <v>3927561.09</v>
      </c>
      <c r="D77" s="109" t="s">
        <v>111</v>
      </c>
      <c r="E77" s="7">
        <v>20127932.439999998</v>
      </c>
    </row>
    <row r="78" spans="1:9" x14ac:dyDescent="0.25">
      <c r="A78" s="87" t="s">
        <v>260</v>
      </c>
      <c r="B78" s="92">
        <v>555495066.75999999</v>
      </c>
      <c r="D78" s="109" t="s">
        <v>112</v>
      </c>
      <c r="E78" s="7">
        <v>26376564</v>
      </c>
    </row>
    <row r="79" spans="1:9" x14ac:dyDescent="0.25">
      <c r="A79" s="87" t="s">
        <v>254</v>
      </c>
      <c r="B79" s="92">
        <v>532844870.07000005</v>
      </c>
      <c r="D79" s="109" t="s">
        <v>122</v>
      </c>
      <c r="E79" s="7">
        <v>21708995.460000001</v>
      </c>
    </row>
    <row r="80" spans="1:9" x14ac:dyDescent="0.25">
      <c r="A80" s="87" t="s">
        <v>261</v>
      </c>
      <c r="B80" s="92">
        <v>341822371.30000001</v>
      </c>
      <c r="D80" s="109" t="s">
        <v>123</v>
      </c>
      <c r="E80" s="7">
        <v>25444366.510000002</v>
      </c>
    </row>
    <row r="81" spans="1:10" x14ac:dyDescent="0.25">
      <c r="A81" s="87" t="s">
        <v>263</v>
      </c>
      <c r="B81" s="92">
        <v>473820490.07999998</v>
      </c>
      <c r="D81" s="109" t="s">
        <v>139</v>
      </c>
      <c r="E81" s="7">
        <v>22381477.210000001</v>
      </c>
    </row>
    <row r="82" spans="1:10" x14ac:dyDescent="0.25">
      <c r="A82" s="87" t="s">
        <v>268</v>
      </c>
      <c r="B82" s="92">
        <v>408635787.25</v>
      </c>
      <c r="D82" s="7" t="s">
        <v>248</v>
      </c>
      <c r="E82" s="7">
        <v>6970226.1600000001</v>
      </c>
    </row>
    <row r="83" spans="1:10" x14ac:dyDescent="0.25">
      <c r="A83" s="87" t="s">
        <v>256</v>
      </c>
      <c r="B83" s="92">
        <v>21788476</v>
      </c>
      <c r="D83" s="7" t="s">
        <v>249</v>
      </c>
      <c r="E83" s="7">
        <v>3927561.09</v>
      </c>
    </row>
    <row r="84" spans="1:10" x14ac:dyDescent="0.25">
      <c r="A84" s="87" t="s">
        <v>8</v>
      </c>
      <c r="B84" s="92">
        <v>33951455</v>
      </c>
      <c r="D84" s="7" t="s">
        <v>260</v>
      </c>
      <c r="E84" s="7">
        <v>555495066.75999999</v>
      </c>
    </row>
    <row r="85" spans="1:10" x14ac:dyDescent="0.25">
      <c r="A85" s="87" t="s">
        <v>40</v>
      </c>
      <c r="B85" s="92">
        <v>78336</v>
      </c>
      <c r="D85" s="7" t="s">
        <v>254</v>
      </c>
      <c r="E85" s="7">
        <v>532844870.07000005</v>
      </c>
      <c r="H85" t="s">
        <v>252</v>
      </c>
      <c r="I85" s="7">
        <v>40861520</v>
      </c>
      <c r="J85" t="s">
        <v>265</v>
      </c>
    </row>
    <row r="86" spans="1:10" x14ac:dyDescent="0.25">
      <c r="A86" s="87" t="s">
        <v>9</v>
      </c>
      <c r="B86" s="92">
        <v>91452737</v>
      </c>
      <c r="D86" s="7" t="s">
        <v>261</v>
      </c>
      <c r="E86" s="7">
        <v>341822371.30000001</v>
      </c>
      <c r="H86" t="s">
        <v>253</v>
      </c>
      <c r="I86" s="7">
        <v>38356461</v>
      </c>
      <c r="J86" t="s">
        <v>264</v>
      </c>
    </row>
    <row r="87" spans="1:10" x14ac:dyDescent="0.25">
      <c r="A87" s="87" t="s">
        <v>10</v>
      </c>
      <c r="B87" s="92">
        <v>121839302</v>
      </c>
      <c r="D87" s="7" t="s">
        <v>263</v>
      </c>
      <c r="E87" s="7">
        <v>473820490.07999998</v>
      </c>
      <c r="H87" t="s">
        <v>250</v>
      </c>
      <c r="I87" s="7">
        <v>107634059</v>
      </c>
      <c r="J87" t="s">
        <v>266</v>
      </c>
    </row>
    <row r="88" spans="1:10" x14ac:dyDescent="0.25">
      <c r="A88" s="87" t="s">
        <v>252</v>
      </c>
      <c r="B88" s="92">
        <v>40861520</v>
      </c>
      <c r="D88" s="7" t="s">
        <v>268</v>
      </c>
      <c r="E88" s="7">
        <v>408635787.25</v>
      </c>
      <c r="H88" t="s">
        <v>251</v>
      </c>
      <c r="I88" s="7">
        <v>58654597</v>
      </c>
      <c r="J88" t="s">
        <v>266</v>
      </c>
    </row>
    <row r="89" spans="1:10" x14ac:dyDescent="0.25">
      <c r="A89" s="87" t="s">
        <v>253</v>
      </c>
      <c r="B89" s="92">
        <v>38356461</v>
      </c>
      <c r="D89" s="7" t="s">
        <v>256</v>
      </c>
      <c r="E89" s="7">
        <v>21788476</v>
      </c>
      <c r="H89" t="s">
        <v>257</v>
      </c>
      <c r="I89" s="7">
        <v>8717907</v>
      </c>
      <c r="J89" t="s">
        <v>264</v>
      </c>
    </row>
    <row r="90" spans="1:10" x14ac:dyDescent="0.25">
      <c r="A90" s="87" t="s">
        <v>250</v>
      </c>
      <c r="B90" s="92">
        <v>107634059</v>
      </c>
      <c r="D90" s="7" t="s">
        <v>8</v>
      </c>
      <c r="E90" s="7">
        <v>33951455</v>
      </c>
    </row>
    <row r="91" spans="1:10" x14ac:dyDescent="0.25">
      <c r="A91" s="87" t="s">
        <v>251</v>
      </c>
      <c r="B91" s="92">
        <v>58654597</v>
      </c>
      <c r="D91" s="7" t="s">
        <v>40</v>
      </c>
      <c r="E91" s="7">
        <v>78336</v>
      </c>
    </row>
    <row r="92" spans="1:10" x14ac:dyDescent="0.25">
      <c r="A92" s="87" t="s">
        <v>257</v>
      </c>
      <c r="B92" s="92">
        <v>8717907</v>
      </c>
      <c r="D92" s="7" t="s">
        <v>9</v>
      </c>
      <c r="E92" s="7">
        <v>91452737</v>
      </c>
    </row>
    <row r="93" spans="1:10" x14ac:dyDescent="0.25">
      <c r="A93" s="87" t="s">
        <v>113</v>
      </c>
      <c r="B93" s="92">
        <v>138220003.57999998</v>
      </c>
      <c r="D93" s="7" t="s">
        <v>10</v>
      </c>
      <c r="E93" s="7">
        <v>121839302</v>
      </c>
    </row>
    <row r="94" spans="1:10" x14ac:dyDescent="0.25">
      <c r="A94" s="87" t="s">
        <v>82</v>
      </c>
      <c r="B94" s="92">
        <v>20364888</v>
      </c>
      <c r="D94" s="7" t="s">
        <v>252</v>
      </c>
      <c r="E94" s="7">
        <v>40861520</v>
      </c>
    </row>
    <row r="95" spans="1:10" x14ac:dyDescent="0.25">
      <c r="A95" s="87" t="s">
        <v>83</v>
      </c>
      <c r="B95" s="92">
        <v>3913810</v>
      </c>
      <c r="D95" t="s">
        <v>253</v>
      </c>
      <c r="E95" s="7">
        <v>38356461</v>
      </c>
    </row>
    <row r="96" spans="1:10" x14ac:dyDescent="0.25">
      <c r="A96" s="87" t="s">
        <v>16</v>
      </c>
      <c r="B96" s="92">
        <v>77392</v>
      </c>
      <c r="D96" s="7" t="s">
        <v>250</v>
      </c>
      <c r="E96" s="7">
        <v>107634059</v>
      </c>
      <c r="H96" t="s">
        <v>245</v>
      </c>
      <c r="I96" s="7">
        <v>853830992</v>
      </c>
    </row>
    <row r="97" spans="1:9" x14ac:dyDescent="0.25">
      <c r="A97" s="87" t="s">
        <v>245</v>
      </c>
      <c r="B97" s="92">
        <v>1020119648</v>
      </c>
      <c r="D97" s="7" t="s">
        <v>251</v>
      </c>
      <c r="E97" s="7">
        <v>58654597</v>
      </c>
      <c r="H97" s="7" t="s">
        <v>247</v>
      </c>
      <c r="I97" s="7">
        <v>2687026</v>
      </c>
    </row>
    <row r="98" spans="1:9" x14ac:dyDescent="0.25">
      <c r="A98" s="87" t="s">
        <v>247</v>
      </c>
      <c r="B98" s="92">
        <v>49761394</v>
      </c>
      <c r="D98" s="7" t="s">
        <v>257</v>
      </c>
      <c r="E98" s="7">
        <v>8717907</v>
      </c>
      <c r="H98" s="7" t="s">
        <v>246</v>
      </c>
      <c r="I98" s="7">
        <v>132604504</v>
      </c>
    </row>
    <row r="99" spans="1:9" x14ac:dyDescent="0.25">
      <c r="A99" s="87" t="s">
        <v>246</v>
      </c>
      <c r="B99" s="92">
        <v>173466024</v>
      </c>
      <c r="D99" s="7" t="s">
        <v>113</v>
      </c>
      <c r="E99" s="7">
        <v>138220003.57999998</v>
      </c>
    </row>
    <row r="100" spans="1:9" x14ac:dyDescent="0.25">
      <c r="A100" s="87" t="s">
        <v>17</v>
      </c>
      <c r="B100" s="92">
        <v>24509694</v>
      </c>
      <c r="D100" s="7" t="s">
        <v>82</v>
      </c>
      <c r="E100" s="7">
        <v>20364888</v>
      </c>
    </row>
    <row r="101" spans="1:9" x14ac:dyDescent="0.25">
      <c r="A101" s="87" t="s">
        <v>18</v>
      </c>
      <c r="B101" s="92">
        <v>250680875</v>
      </c>
      <c r="D101" s="7" t="s">
        <v>83</v>
      </c>
      <c r="E101" s="7">
        <v>3913810</v>
      </c>
    </row>
    <row r="102" spans="1:9" x14ac:dyDescent="0.25">
      <c r="A102" s="87" t="s">
        <v>19</v>
      </c>
      <c r="B102" s="92">
        <v>19212387</v>
      </c>
      <c r="D102" t="s">
        <v>16</v>
      </c>
      <c r="E102" s="7">
        <v>77392</v>
      </c>
    </row>
    <row r="103" spans="1:9" x14ac:dyDescent="0.25">
      <c r="A103" s="87" t="s">
        <v>20</v>
      </c>
      <c r="B103" s="92">
        <v>613264658</v>
      </c>
      <c r="D103" t="s">
        <v>245</v>
      </c>
      <c r="E103" s="7">
        <f>I96+I87+I88</f>
        <v>1020119648</v>
      </c>
    </row>
    <row r="104" spans="1:9" x14ac:dyDescent="0.25">
      <c r="A104" s="87" t="s">
        <v>21</v>
      </c>
      <c r="B104" s="92">
        <v>366473118</v>
      </c>
      <c r="D104" s="7" t="s">
        <v>247</v>
      </c>
      <c r="E104" s="7">
        <f>I97+I86+I89</f>
        <v>49761394</v>
      </c>
    </row>
    <row r="105" spans="1:9" x14ac:dyDescent="0.25">
      <c r="A105" s="87" t="s">
        <v>47</v>
      </c>
      <c r="B105" s="92">
        <v>5173858</v>
      </c>
      <c r="D105" s="7" t="s">
        <v>246</v>
      </c>
      <c r="E105" s="7">
        <f>I98+I85</f>
        <v>173466024</v>
      </c>
    </row>
    <row r="106" spans="1:9" x14ac:dyDescent="0.25">
      <c r="A106" s="87" t="s">
        <v>84</v>
      </c>
      <c r="B106" s="92"/>
      <c r="D106" t="s">
        <v>17</v>
      </c>
      <c r="E106" s="7">
        <v>24509694</v>
      </c>
    </row>
    <row r="107" spans="1:9" x14ac:dyDescent="0.25">
      <c r="A107" s="87" t="s">
        <v>85</v>
      </c>
      <c r="B107" s="92">
        <v>11114645</v>
      </c>
      <c r="D107" s="7" t="s">
        <v>18</v>
      </c>
      <c r="E107" s="7">
        <v>250680875</v>
      </c>
    </row>
    <row r="108" spans="1:9" x14ac:dyDescent="0.25">
      <c r="A108" s="87" t="s">
        <v>86</v>
      </c>
      <c r="B108" s="92">
        <v>17726631</v>
      </c>
      <c r="D108" s="7" t="s">
        <v>19</v>
      </c>
      <c r="E108" s="7">
        <v>19212387</v>
      </c>
    </row>
    <row r="109" spans="1:9" x14ac:dyDescent="0.25">
      <c r="A109" s="87" t="s">
        <v>87</v>
      </c>
      <c r="B109" s="92">
        <v>27597514</v>
      </c>
      <c r="D109" s="7" t="s">
        <v>20</v>
      </c>
      <c r="E109" s="7">
        <v>613264658</v>
      </c>
    </row>
    <row r="110" spans="1:9" x14ac:dyDescent="0.25">
      <c r="A110" s="87" t="s">
        <v>88</v>
      </c>
      <c r="B110" s="92"/>
      <c r="D110" s="7" t="s">
        <v>21</v>
      </c>
      <c r="E110" s="7">
        <v>366473118</v>
      </c>
    </row>
    <row r="111" spans="1:9" x14ac:dyDescent="0.25">
      <c r="A111" s="87" t="s">
        <v>89</v>
      </c>
      <c r="B111" s="92">
        <v>19013976</v>
      </c>
      <c r="D111" t="s">
        <v>47</v>
      </c>
      <c r="E111" s="7">
        <v>5173858</v>
      </c>
    </row>
    <row r="112" spans="1:9" x14ac:dyDescent="0.25">
      <c r="A112" s="87" t="s">
        <v>244</v>
      </c>
      <c r="B112" s="92">
        <v>1877332566</v>
      </c>
      <c r="D112" s="7" t="s">
        <v>84</v>
      </c>
    </row>
    <row r="113" spans="1:10" x14ac:dyDescent="0.25">
      <c r="A113" s="88" t="s">
        <v>271</v>
      </c>
      <c r="B113" s="93">
        <v>153569443</v>
      </c>
      <c r="D113" t="s">
        <v>85</v>
      </c>
      <c r="E113" s="7">
        <v>11114645</v>
      </c>
    </row>
    <row r="114" spans="1:10" x14ac:dyDescent="0.25">
      <c r="A114" s="87" t="s">
        <v>90</v>
      </c>
      <c r="B114" s="92">
        <v>406916</v>
      </c>
      <c r="D114" t="s">
        <v>86</v>
      </c>
      <c r="E114" s="7">
        <v>17726631</v>
      </c>
      <c r="J114"/>
    </row>
    <row r="115" spans="1:10" x14ac:dyDescent="0.25">
      <c r="A115" s="87" t="s">
        <v>272</v>
      </c>
      <c r="B115" s="92">
        <v>239873847</v>
      </c>
      <c r="D115" s="7" t="s">
        <v>87</v>
      </c>
      <c r="E115" s="7">
        <v>27597514</v>
      </c>
      <c r="J115"/>
    </row>
    <row r="116" spans="1:10" x14ac:dyDescent="0.25">
      <c r="A116" s="87" t="s">
        <v>91</v>
      </c>
      <c r="B116" s="92">
        <v>12689996</v>
      </c>
      <c r="D116" s="7" t="s">
        <v>88</v>
      </c>
      <c r="J116"/>
    </row>
    <row r="117" spans="1:10" x14ac:dyDescent="0.25">
      <c r="A117" s="87" t="s">
        <v>93</v>
      </c>
      <c r="B117" s="92"/>
      <c r="D117" s="7" t="s">
        <v>89</v>
      </c>
      <c r="E117" s="7">
        <v>19013976</v>
      </c>
    </row>
    <row r="118" spans="1:10" x14ac:dyDescent="0.25">
      <c r="A118" s="87" t="s">
        <v>92</v>
      </c>
      <c r="B118" s="92"/>
      <c r="D118" s="7" t="s">
        <v>244</v>
      </c>
      <c r="E118" s="7">
        <v>1877332566</v>
      </c>
    </row>
    <row r="119" spans="1:10" x14ac:dyDescent="0.25">
      <c r="A119" s="87" t="s">
        <v>94</v>
      </c>
      <c r="B119" s="94">
        <v>16167560</v>
      </c>
      <c r="D119" s="7" t="s">
        <v>271</v>
      </c>
      <c r="E119" s="7">
        <v>153569443</v>
      </c>
    </row>
    <row r="120" spans="1:10" x14ac:dyDescent="0.25">
      <c r="A120" s="87" t="s">
        <v>262</v>
      </c>
      <c r="B120" s="95">
        <v>869067080</v>
      </c>
      <c r="D120" s="7" t="s">
        <v>90</v>
      </c>
      <c r="E120" s="7">
        <v>406916</v>
      </c>
    </row>
    <row r="121" spans="1:10" x14ac:dyDescent="0.25">
      <c r="A121" s="89" t="s">
        <v>443</v>
      </c>
      <c r="B121" s="96"/>
      <c r="D121" t="s">
        <v>272</v>
      </c>
      <c r="E121" s="7">
        <v>239873847</v>
      </c>
    </row>
    <row r="122" spans="1:10" x14ac:dyDescent="0.25">
      <c r="A122"/>
      <c r="D122" s="7" t="s">
        <v>91</v>
      </c>
      <c r="E122" s="7">
        <v>12689996</v>
      </c>
    </row>
    <row r="123" spans="1:10" x14ac:dyDescent="0.25">
      <c r="A123"/>
      <c r="B123"/>
      <c r="D123" t="s">
        <v>93</v>
      </c>
    </row>
    <row r="124" spans="1:10" x14ac:dyDescent="0.25">
      <c r="A124"/>
      <c r="B124"/>
      <c r="D124" s="7" t="s">
        <v>92</v>
      </c>
    </row>
    <row r="125" spans="1:10" x14ac:dyDescent="0.25">
      <c r="A125"/>
      <c r="B125" s="63"/>
      <c r="D125" s="7" t="s">
        <v>94</v>
      </c>
      <c r="E125" s="7">
        <v>16167560</v>
      </c>
    </row>
    <row r="126" spans="1:10" x14ac:dyDescent="0.25">
      <c r="A126" s="83"/>
      <c r="B126" s="84"/>
      <c r="D126" s="7" t="s">
        <v>262</v>
      </c>
      <c r="E126" s="7">
        <v>869067080</v>
      </c>
    </row>
    <row r="127" spans="1:10" x14ac:dyDescent="0.25">
      <c r="A127" s="41"/>
      <c r="B127" s="35"/>
      <c r="D127" s="7" t="s">
        <v>443</v>
      </c>
    </row>
    <row r="128" spans="1:10" x14ac:dyDescent="0.25">
      <c r="A128" s="41"/>
      <c r="B128" s="35"/>
      <c r="D128" s="7"/>
    </row>
    <row r="129" spans="1:4" x14ac:dyDescent="0.25">
      <c r="A129" s="41"/>
      <c r="B129" s="35"/>
      <c r="D129" s="7"/>
    </row>
    <row r="130" spans="1:4" x14ac:dyDescent="0.25">
      <c r="D130" s="7"/>
    </row>
    <row r="132" spans="1:4" x14ac:dyDescent="0.25">
      <c r="A132"/>
    </row>
    <row r="135" spans="1:4" x14ac:dyDescent="0.25">
      <c r="D135" s="7"/>
    </row>
    <row r="136" spans="1:4" x14ac:dyDescent="0.25">
      <c r="D136" s="7"/>
    </row>
    <row r="137" spans="1:4" x14ac:dyDescent="0.25">
      <c r="D137" s="7"/>
    </row>
    <row r="140" spans="1:4" x14ac:dyDescent="0.25">
      <c r="D140" s="7"/>
    </row>
    <row r="141" spans="1:4" x14ac:dyDescent="0.25">
      <c r="D141" s="7"/>
    </row>
    <row r="142" spans="1:4" x14ac:dyDescent="0.25">
      <c r="D142" s="7"/>
    </row>
    <row r="143" spans="1:4" x14ac:dyDescent="0.25">
      <c r="D143" s="7"/>
    </row>
  </sheetData>
  <autoFilter ref="A1:M123" xr:uid="{00000000-0009-0000-0000-000001000000}"/>
  <sortState xmlns:xlrd2="http://schemas.microsoft.com/office/spreadsheetml/2017/richdata2" ref="A2:B129">
    <sortCondition ref="A1"/>
  </sortState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5"/>
  <sheetViews>
    <sheetView showGridLines="0" topLeftCell="A18" workbookViewId="0">
      <selection activeCell="A38" sqref="A38:XFD40"/>
    </sheetView>
  </sheetViews>
  <sheetFormatPr defaultRowHeight="15" x14ac:dyDescent="0.25"/>
  <cols>
    <col min="1" max="1" width="13.42578125" customWidth="1"/>
    <col min="2" max="2" width="0.140625" customWidth="1"/>
    <col min="3" max="3" width="13.140625" customWidth="1"/>
    <col min="4" max="4" width="16.28515625" customWidth="1"/>
    <col min="5" max="5" width="41.85546875" customWidth="1"/>
    <col min="6" max="6" width="17.42578125" customWidth="1"/>
    <col min="7" max="7" width="16" customWidth="1"/>
    <col min="8" max="10" width="17.42578125" customWidth="1"/>
    <col min="11" max="11" width="4.7109375" customWidth="1"/>
  </cols>
  <sheetData>
    <row r="1" spans="2:10" s="73" customFormat="1" ht="14.45" customHeight="1" x14ac:dyDescent="0.2"/>
    <row r="2" spans="2:10" s="73" customFormat="1" ht="21.4" customHeight="1" x14ac:dyDescent="0.2">
      <c r="B2" s="105" t="s">
        <v>424</v>
      </c>
      <c r="C2" s="105"/>
      <c r="D2" s="105"/>
      <c r="E2" s="105"/>
    </row>
    <row r="3" spans="2:10" s="73" customFormat="1" ht="22.35" customHeight="1" x14ac:dyDescent="0.2"/>
    <row r="4" spans="2:10" s="73" customFormat="1" ht="24" customHeight="1" x14ac:dyDescent="0.2">
      <c r="C4" s="74"/>
      <c r="D4" s="74"/>
      <c r="E4" s="74"/>
      <c r="F4" s="75" t="s">
        <v>425</v>
      </c>
      <c r="G4" s="75" t="s">
        <v>426</v>
      </c>
      <c r="H4" s="75" t="s">
        <v>427</v>
      </c>
      <c r="I4" s="75" t="s">
        <v>428</v>
      </c>
      <c r="J4" s="75" t="s">
        <v>429</v>
      </c>
    </row>
    <row r="5" spans="2:10" s="73" customFormat="1" ht="19.7" customHeight="1" x14ac:dyDescent="0.2">
      <c r="C5" s="76" t="s">
        <v>418</v>
      </c>
      <c r="D5" s="76" t="s">
        <v>417</v>
      </c>
      <c r="E5" s="76" t="s">
        <v>416</v>
      </c>
      <c r="F5" s="75" t="s">
        <v>1</v>
      </c>
      <c r="G5" s="75" t="s">
        <v>1</v>
      </c>
      <c r="H5" s="75" t="s">
        <v>1</v>
      </c>
      <c r="I5" s="75" t="s">
        <v>1</v>
      </c>
      <c r="J5" s="75" t="s">
        <v>1</v>
      </c>
    </row>
    <row r="6" spans="2:10" s="73" customFormat="1" ht="19.7" customHeight="1" x14ac:dyDescent="0.2">
      <c r="C6" s="77" t="s">
        <v>289</v>
      </c>
      <c r="D6" s="77" t="s">
        <v>48</v>
      </c>
      <c r="E6" s="77" t="s">
        <v>415</v>
      </c>
      <c r="F6" s="78">
        <v>258271467.34</v>
      </c>
      <c r="G6" s="78">
        <v>260603976.91999999</v>
      </c>
      <c r="H6" s="78">
        <v>263230268.09</v>
      </c>
      <c r="I6" s="78">
        <v>262832422.55000001</v>
      </c>
      <c r="J6" s="78">
        <v>262082939.69</v>
      </c>
    </row>
    <row r="7" spans="2:10" s="73" customFormat="1" ht="19.7" customHeight="1" x14ac:dyDescent="0.2">
      <c r="C7" s="77" t="s">
        <v>289</v>
      </c>
      <c r="D7" s="77" t="s">
        <v>49</v>
      </c>
      <c r="E7" s="77" t="s">
        <v>414</v>
      </c>
      <c r="F7" s="78">
        <v>43541185.240000002</v>
      </c>
      <c r="G7" s="78">
        <v>43686550.07</v>
      </c>
      <c r="H7" s="78">
        <v>44359396.289999999</v>
      </c>
      <c r="I7" s="78">
        <v>44491814.619999997</v>
      </c>
      <c r="J7" s="78">
        <v>44461097.990000002</v>
      </c>
    </row>
    <row r="8" spans="2:10" s="73" customFormat="1" ht="19.7" customHeight="1" x14ac:dyDescent="0.2">
      <c r="C8" s="77" t="s">
        <v>289</v>
      </c>
      <c r="D8" s="77" t="s">
        <v>50</v>
      </c>
      <c r="E8" s="77" t="s">
        <v>413</v>
      </c>
      <c r="F8" s="78">
        <v>29306387.82</v>
      </c>
      <c r="G8" s="78">
        <v>29369128.030000001</v>
      </c>
      <c r="H8" s="78">
        <v>29801920.309999999</v>
      </c>
      <c r="I8" s="78">
        <v>29869998.100000001</v>
      </c>
      <c r="J8" s="78">
        <v>29885812.120000001</v>
      </c>
    </row>
    <row r="9" spans="2:10" s="73" customFormat="1" ht="19.7" hidden="1" customHeight="1" x14ac:dyDescent="0.2">
      <c r="C9" s="77" t="s">
        <v>289</v>
      </c>
      <c r="D9" s="77" t="s">
        <v>412</v>
      </c>
      <c r="E9" s="77" t="s">
        <v>411</v>
      </c>
      <c r="F9" s="78">
        <v>32209.58</v>
      </c>
      <c r="G9" s="78">
        <v>32661.07</v>
      </c>
      <c r="H9" s="78">
        <v>33020.32</v>
      </c>
      <c r="I9" s="78">
        <v>33087.040000000001</v>
      </c>
      <c r="J9" s="78">
        <v>33206.46</v>
      </c>
    </row>
    <row r="10" spans="2:10" s="73" customFormat="1" ht="19.7" hidden="1" customHeight="1" x14ac:dyDescent="0.2">
      <c r="C10" s="77" t="s">
        <v>289</v>
      </c>
      <c r="D10" s="77" t="s">
        <v>410</v>
      </c>
      <c r="E10" s="77" t="s">
        <v>409</v>
      </c>
      <c r="F10" s="78">
        <v>59.88</v>
      </c>
      <c r="G10" s="78">
        <v>59.88</v>
      </c>
      <c r="H10" s="78">
        <v>57.88</v>
      </c>
      <c r="I10" s="78">
        <v>57.88</v>
      </c>
      <c r="J10" s="78">
        <v>57.88</v>
      </c>
    </row>
    <row r="11" spans="2:10" s="73" customFormat="1" ht="19.7" hidden="1" customHeight="1" x14ac:dyDescent="0.2">
      <c r="C11" s="77" t="s">
        <v>289</v>
      </c>
      <c r="D11" s="77" t="s">
        <v>408</v>
      </c>
      <c r="E11" s="77" t="s">
        <v>407</v>
      </c>
      <c r="F11" s="78">
        <v>85439.73</v>
      </c>
      <c r="G11" s="78">
        <v>85966.38</v>
      </c>
      <c r="H11" s="78">
        <v>86890.35</v>
      </c>
      <c r="I11" s="78">
        <v>87119.56</v>
      </c>
      <c r="J11" s="78">
        <v>87162.83</v>
      </c>
    </row>
    <row r="12" spans="2:10" s="73" customFormat="1" ht="19.7" customHeight="1" x14ac:dyDescent="0.2">
      <c r="C12" s="77" t="s">
        <v>289</v>
      </c>
      <c r="D12" s="77" t="s">
        <v>95</v>
      </c>
      <c r="E12" s="77" t="s">
        <v>406</v>
      </c>
      <c r="F12" s="78">
        <v>117973203.47</v>
      </c>
      <c r="G12" s="78">
        <v>118310911</v>
      </c>
      <c r="H12" s="78">
        <v>117459218.2</v>
      </c>
      <c r="I12" s="78">
        <v>117689003.01000001</v>
      </c>
      <c r="J12" s="78">
        <v>117809423.55</v>
      </c>
    </row>
    <row r="13" spans="2:10" s="73" customFormat="1" ht="19.7" customHeight="1" x14ac:dyDescent="0.2">
      <c r="C13" s="77" t="s">
        <v>289</v>
      </c>
      <c r="D13" s="77" t="s">
        <v>405</v>
      </c>
      <c r="E13" s="77" t="s">
        <v>404</v>
      </c>
      <c r="F13" s="78">
        <v>843476155.86000001</v>
      </c>
      <c r="G13" s="78">
        <v>843796475.26999998</v>
      </c>
      <c r="H13" s="78">
        <v>853720622.75999999</v>
      </c>
      <c r="I13" s="78">
        <v>854723897.11000001</v>
      </c>
      <c r="J13" s="78">
        <v>852791608.40999997</v>
      </c>
    </row>
    <row r="14" spans="2:10" s="73" customFormat="1" ht="19.7" customHeight="1" x14ac:dyDescent="0.2">
      <c r="C14" s="77" t="s">
        <v>289</v>
      </c>
      <c r="D14" s="77" t="s">
        <v>2</v>
      </c>
      <c r="E14" s="77" t="s">
        <v>403</v>
      </c>
      <c r="F14" s="78">
        <v>1027231.88</v>
      </c>
      <c r="G14" s="78">
        <v>1036938.2</v>
      </c>
      <c r="H14" s="78">
        <v>1036921.41</v>
      </c>
      <c r="I14" s="78">
        <v>1038136.89</v>
      </c>
      <c r="J14" s="78">
        <v>1040706.99</v>
      </c>
    </row>
    <row r="15" spans="2:10" s="73" customFormat="1" ht="19.7" customHeight="1" x14ac:dyDescent="0.2">
      <c r="C15" s="77" t="s">
        <v>289</v>
      </c>
      <c r="D15" s="77" t="s">
        <v>29</v>
      </c>
      <c r="E15" s="77" t="s">
        <v>402</v>
      </c>
      <c r="F15" s="78">
        <v>201186564.52000001</v>
      </c>
      <c r="G15" s="78">
        <v>200719919.81999999</v>
      </c>
      <c r="H15" s="78">
        <v>200340700.34999999</v>
      </c>
      <c r="I15" s="78">
        <v>199545036.77000001</v>
      </c>
      <c r="J15" s="78">
        <v>199495777.03</v>
      </c>
    </row>
    <row r="16" spans="2:10" s="73" customFormat="1" ht="19.7" customHeight="1" x14ac:dyDescent="0.2">
      <c r="C16" s="77" t="s">
        <v>289</v>
      </c>
      <c r="D16" s="77" t="s">
        <v>269</v>
      </c>
      <c r="E16" s="77" t="s">
        <v>401</v>
      </c>
      <c r="F16" s="78">
        <v>86235240.519999996</v>
      </c>
      <c r="G16" s="78">
        <v>86726323.760000005</v>
      </c>
      <c r="H16" s="78">
        <v>87389811.159999996</v>
      </c>
      <c r="I16" s="78">
        <v>87462485.530000001</v>
      </c>
      <c r="J16" s="78">
        <v>87411302.480000004</v>
      </c>
    </row>
    <row r="17" spans="3:10" s="73" customFormat="1" ht="19.7" customHeight="1" x14ac:dyDescent="0.2">
      <c r="C17" s="77" t="s">
        <v>289</v>
      </c>
      <c r="D17" s="77" t="s">
        <v>140</v>
      </c>
      <c r="E17" s="77" t="s">
        <v>400</v>
      </c>
      <c r="F17" s="78">
        <v>219325641.38</v>
      </c>
      <c r="G17" s="78">
        <v>219640107.56999999</v>
      </c>
      <c r="H17" s="78">
        <v>219910948.69</v>
      </c>
      <c r="I17" s="78">
        <v>219857587.94999999</v>
      </c>
      <c r="J17" s="78">
        <v>219851571.87</v>
      </c>
    </row>
    <row r="18" spans="3:10" s="73" customFormat="1" ht="19.7" customHeight="1" x14ac:dyDescent="0.2">
      <c r="C18" s="77" t="s">
        <v>289</v>
      </c>
      <c r="D18" s="77" t="s">
        <v>30</v>
      </c>
      <c r="E18" s="77" t="s">
        <v>399</v>
      </c>
      <c r="F18" s="78">
        <v>432803483.92000002</v>
      </c>
      <c r="G18" s="78">
        <v>430764968.16000003</v>
      </c>
      <c r="H18" s="78">
        <v>431034874.83999997</v>
      </c>
      <c r="I18" s="78">
        <v>428857864.25999999</v>
      </c>
      <c r="J18" s="78">
        <v>428050484.63</v>
      </c>
    </row>
    <row r="19" spans="3:10" s="73" customFormat="1" ht="19.7" customHeight="1" x14ac:dyDescent="0.2">
      <c r="C19" s="77" t="s">
        <v>289</v>
      </c>
      <c r="D19" s="77" t="s">
        <v>270</v>
      </c>
      <c r="E19" s="77" t="s">
        <v>398</v>
      </c>
      <c r="F19" s="78">
        <v>92529930.900000006</v>
      </c>
      <c r="G19" s="78">
        <v>92992581.909999996</v>
      </c>
      <c r="H19" s="78">
        <v>93895158.769999996</v>
      </c>
      <c r="I19" s="78">
        <v>93918649.849999994</v>
      </c>
      <c r="J19" s="78">
        <v>93866854.799999997</v>
      </c>
    </row>
    <row r="20" spans="3:10" s="73" customFormat="1" ht="19.7" customHeight="1" x14ac:dyDescent="0.2">
      <c r="C20" s="77" t="s">
        <v>289</v>
      </c>
      <c r="D20" s="77" t="s">
        <v>141</v>
      </c>
      <c r="E20" s="77" t="s">
        <v>397</v>
      </c>
      <c r="F20" s="78">
        <v>338362683.18000001</v>
      </c>
      <c r="G20" s="78">
        <v>338219183.97000003</v>
      </c>
      <c r="H20" s="78">
        <v>339595407.44999999</v>
      </c>
      <c r="I20" s="78">
        <v>339591220.57999998</v>
      </c>
      <c r="J20" s="78">
        <v>339618166.76999998</v>
      </c>
    </row>
    <row r="21" spans="3:10" s="73" customFormat="1" ht="19.7" customHeight="1" x14ac:dyDescent="0.2">
      <c r="C21" s="77" t="s">
        <v>289</v>
      </c>
      <c r="D21" s="77" t="s">
        <v>55</v>
      </c>
      <c r="E21" s="77" t="s">
        <v>396</v>
      </c>
      <c r="F21" s="78">
        <v>1879757.14</v>
      </c>
      <c r="G21" s="78">
        <v>1891310.75</v>
      </c>
      <c r="H21" s="78">
        <v>1917526.46</v>
      </c>
      <c r="I21" s="78">
        <v>1925214.23</v>
      </c>
      <c r="J21" s="78">
        <v>1923064.62</v>
      </c>
    </row>
    <row r="22" spans="3:10" s="73" customFormat="1" ht="19.7" customHeight="1" x14ac:dyDescent="0.2">
      <c r="C22" s="77" t="s">
        <v>289</v>
      </c>
      <c r="D22" s="77" t="s">
        <v>56</v>
      </c>
      <c r="E22" s="77" t="s">
        <v>395</v>
      </c>
      <c r="F22" s="78">
        <v>25069811.25</v>
      </c>
      <c r="G22" s="78">
        <v>25309452.670000002</v>
      </c>
      <c r="H22" s="78">
        <v>25661854.260000002</v>
      </c>
      <c r="I22" s="78">
        <v>25769215.879999999</v>
      </c>
      <c r="J22" s="78">
        <v>25779400.890000001</v>
      </c>
    </row>
    <row r="23" spans="3:10" s="73" customFormat="1" ht="19.7" customHeight="1" x14ac:dyDescent="0.2">
      <c r="C23" s="77" t="s">
        <v>289</v>
      </c>
      <c r="D23" s="77" t="s">
        <v>57</v>
      </c>
      <c r="E23" s="77" t="s">
        <v>394</v>
      </c>
      <c r="F23" s="78">
        <v>759366.45</v>
      </c>
      <c r="G23" s="78">
        <v>767916.61</v>
      </c>
      <c r="H23" s="78">
        <v>778690.16</v>
      </c>
      <c r="I23" s="78">
        <v>749188.51</v>
      </c>
      <c r="J23" s="78">
        <v>750778.72</v>
      </c>
    </row>
    <row r="24" spans="3:10" s="73" customFormat="1" ht="19.7" hidden="1" customHeight="1" x14ac:dyDescent="0.2">
      <c r="C24" s="77" t="s">
        <v>289</v>
      </c>
      <c r="D24" s="77" t="s">
        <v>393</v>
      </c>
      <c r="E24" s="77" t="s">
        <v>392</v>
      </c>
      <c r="F24" s="78">
        <v>572125207.51999998</v>
      </c>
      <c r="G24" s="78">
        <v>570707606.13999999</v>
      </c>
      <c r="H24" s="78">
        <v>577800537.75999999</v>
      </c>
      <c r="I24" s="78">
        <v>578582027.62</v>
      </c>
      <c r="J24" s="78">
        <v>576717234.70000005</v>
      </c>
    </row>
    <row r="25" spans="3:10" s="73" customFormat="1" ht="19.7" customHeight="1" x14ac:dyDescent="0.2">
      <c r="C25" s="77" t="s">
        <v>289</v>
      </c>
      <c r="D25" s="77" t="s">
        <v>32</v>
      </c>
      <c r="E25" s="77" t="s">
        <v>391</v>
      </c>
      <c r="F25" s="78">
        <v>271050.15999999997</v>
      </c>
      <c r="G25" s="78">
        <v>271288.84000000003</v>
      </c>
      <c r="H25" s="78">
        <v>271622.27</v>
      </c>
      <c r="I25" s="78">
        <v>272037.48</v>
      </c>
      <c r="J25" s="78">
        <v>272209.84999999998</v>
      </c>
    </row>
    <row r="26" spans="3:10" s="73" customFormat="1" ht="19.7" customHeight="1" x14ac:dyDescent="0.2">
      <c r="C26" s="77" t="s">
        <v>289</v>
      </c>
      <c r="D26" s="77" t="s">
        <v>33</v>
      </c>
      <c r="E26" s="77" t="s">
        <v>390</v>
      </c>
      <c r="F26" s="78">
        <v>5090535.67</v>
      </c>
      <c r="G26" s="78">
        <v>5097100.25</v>
      </c>
      <c r="H26" s="78">
        <v>5106170.8099999996</v>
      </c>
      <c r="I26" s="78">
        <v>5115959.79</v>
      </c>
      <c r="J26" s="78">
        <v>5115304.4800000004</v>
      </c>
    </row>
    <row r="27" spans="3:10" s="73" customFormat="1" ht="19.7" customHeight="1" x14ac:dyDescent="0.2">
      <c r="C27" s="77" t="s">
        <v>289</v>
      </c>
      <c r="D27" s="77" t="s">
        <v>34</v>
      </c>
      <c r="E27" s="77" t="s">
        <v>389</v>
      </c>
      <c r="F27" s="78">
        <v>193860.37</v>
      </c>
      <c r="G27" s="78">
        <v>194088.76</v>
      </c>
      <c r="H27" s="78">
        <v>194204.91</v>
      </c>
      <c r="I27" s="78">
        <v>194431.6</v>
      </c>
      <c r="J27" s="78">
        <v>194596.43</v>
      </c>
    </row>
    <row r="28" spans="3:10" s="73" customFormat="1" ht="19.7" customHeight="1" x14ac:dyDescent="0.2">
      <c r="C28" s="77" t="s">
        <v>289</v>
      </c>
      <c r="D28" s="77" t="s">
        <v>35</v>
      </c>
      <c r="E28" s="77" t="s">
        <v>388</v>
      </c>
      <c r="F28" s="78">
        <v>366376.69</v>
      </c>
      <c r="G28" s="78">
        <v>366632.25</v>
      </c>
      <c r="H28" s="78">
        <v>366654.52</v>
      </c>
      <c r="I28" s="78">
        <v>367024.43</v>
      </c>
      <c r="J28" s="78">
        <v>367251.20000000001</v>
      </c>
    </row>
    <row r="29" spans="3:10" s="73" customFormat="1" ht="19.7" customHeight="1" x14ac:dyDescent="0.2">
      <c r="C29" s="77" t="s">
        <v>289</v>
      </c>
      <c r="D29" s="77" t="s">
        <v>36</v>
      </c>
      <c r="E29" s="77" t="s">
        <v>387</v>
      </c>
      <c r="F29" s="78">
        <v>161547.28</v>
      </c>
      <c r="G29" s="78">
        <v>161745.43</v>
      </c>
      <c r="H29" s="78">
        <v>161860.45000000001</v>
      </c>
      <c r="I29" s="78">
        <v>162050.06</v>
      </c>
      <c r="J29" s="78">
        <v>162182.37</v>
      </c>
    </row>
    <row r="30" spans="3:10" s="73" customFormat="1" ht="19.7" customHeight="1" x14ac:dyDescent="0.2">
      <c r="C30" s="77" t="s">
        <v>289</v>
      </c>
      <c r="D30" s="77" t="s">
        <v>37</v>
      </c>
      <c r="E30" s="77" t="s">
        <v>386</v>
      </c>
      <c r="F30" s="78">
        <v>99108.54</v>
      </c>
      <c r="G30" s="78">
        <v>99210.55</v>
      </c>
      <c r="H30" s="78">
        <v>99294.22</v>
      </c>
      <c r="I30" s="78">
        <v>99415.71</v>
      </c>
      <c r="J30" s="78">
        <v>99492.88</v>
      </c>
    </row>
    <row r="31" spans="3:10" s="73" customFormat="1" ht="19.7" customHeight="1" x14ac:dyDescent="0.2">
      <c r="C31" s="77" t="s">
        <v>289</v>
      </c>
      <c r="D31" s="77" t="s">
        <v>38</v>
      </c>
      <c r="E31" s="77" t="s">
        <v>385</v>
      </c>
      <c r="F31" s="78">
        <v>147489.82</v>
      </c>
      <c r="G31" s="78">
        <v>147648.9</v>
      </c>
      <c r="H31" s="78">
        <v>147787.09</v>
      </c>
      <c r="I31" s="78">
        <v>142525.21</v>
      </c>
      <c r="J31" s="78">
        <v>142643.35</v>
      </c>
    </row>
    <row r="32" spans="3:10" s="73" customFormat="1" ht="19.7" customHeight="1" x14ac:dyDescent="0.2">
      <c r="C32" s="77" t="s">
        <v>289</v>
      </c>
      <c r="D32" s="77" t="s">
        <v>39</v>
      </c>
      <c r="E32" s="77" t="s">
        <v>384</v>
      </c>
      <c r="F32" s="78">
        <v>618571.77</v>
      </c>
      <c r="G32" s="78">
        <v>619089.89</v>
      </c>
      <c r="H32" s="78">
        <v>619838.26</v>
      </c>
      <c r="I32" s="78">
        <v>620497.18000000005</v>
      </c>
      <c r="J32" s="78">
        <v>620910.55000000005</v>
      </c>
    </row>
    <row r="33" spans="3:10" s="73" customFormat="1" ht="19.7" customHeight="1" x14ac:dyDescent="0.2">
      <c r="C33" s="77" t="s">
        <v>289</v>
      </c>
      <c r="D33" s="77" t="s">
        <v>383</v>
      </c>
      <c r="E33" s="77" t="s">
        <v>382</v>
      </c>
      <c r="F33" s="78">
        <v>88300.43</v>
      </c>
      <c r="G33" s="78">
        <v>88373.13</v>
      </c>
      <c r="H33" s="78">
        <v>88477.98</v>
      </c>
      <c r="I33" s="78">
        <v>88571.65</v>
      </c>
      <c r="J33" s="78">
        <v>88629.49</v>
      </c>
    </row>
    <row r="34" spans="3:10" s="73" customFormat="1" ht="19.7" customHeight="1" x14ac:dyDescent="0.2">
      <c r="C34" s="77" t="s">
        <v>289</v>
      </c>
      <c r="D34" s="77" t="s">
        <v>41</v>
      </c>
      <c r="E34" s="77" t="s">
        <v>381</v>
      </c>
      <c r="F34" s="78">
        <v>139313.93</v>
      </c>
      <c r="G34" s="78">
        <v>139466.76999999999</v>
      </c>
      <c r="H34" s="78">
        <v>139550.07999999999</v>
      </c>
      <c r="I34" s="78">
        <v>139726.29</v>
      </c>
      <c r="J34" s="78">
        <v>139812.31</v>
      </c>
    </row>
    <row r="35" spans="3:10" s="73" customFormat="1" ht="19.7" customHeight="1" x14ac:dyDescent="0.2">
      <c r="C35" s="77" t="s">
        <v>289</v>
      </c>
      <c r="D35" s="77" t="s">
        <v>42</v>
      </c>
      <c r="E35" s="77" t="s">
        <v>380</v>
      </c>
      <c r="F35" s="78">
        <v>16568.79</v>
      </c>
      <c r="G35" s="78">
        <v>16584.03</v>
      </c>
      <c r="H35" s="78">
        <v>16604.349999999999</v>
      </c>
      <c r="I35" s="78">
        <v>16632.63</v>
      </c>
      <c r="J35" s="78">
        <v>16637.12</v>
      </c>
    </row>
    <row r="36" spans="3:10" s="73" customFormat="1" ht="19.7" customHeight="1" x14ac:dyDescent="0.2">
      <c r="C36" s="77" t="s">
        <v>289</v>
      </c>
      <c r="D36" s="77" t="s">
        <v>43</v>
      </c>
      <c r="E36" s="77" t="s">
        <v>379</v>
      </c>
      <c r="F36" s="78">
        <v>44247.97</v>
      </c>
      <c r="G36" s="78">
        <v>44294.67</v>
      </c>
      <c r="H36" s="78">
        <v>44356.78</v>
      </c>
      <c r="I36" s="78">
        <v>44434.69</v>
      </c>
      <c r="J36" s="78">
        <v>44451.47</v>
      </c>
    </row>
    <row r="37" spans="3:10" s="73" customFormat="1" ht="19.7" customHeight="1" x14ac:dyDescent="0.2">
      <c r="C37" s="77" t="s">
        <v>289</v>
      </c>
      <c r="D37" s="77" t="s">
        <v>44</v>
      </c>
      <c r="E37" s="77" t="s">
        <v>378</v>
      </c>
      <c r="F37" s="78">
        <v>15231712.85</v>
      </c>
      <c r="G37" s="78">
        <v>15300088.970000001</v>
      </c>
      <c r="H37" s="78">
        <v>15343290.789999999</v>
      </c>
      <c r="I37" s="78">
        <v>15392280.449999999</v>
      </c>
      <c r="J37" s="78">
        <v>15365228.59</v>
      </c>
    </row>
    <row r="38" spans="3:10" s="73" customFormat="1" ht="19.7" hidden="1" customHeight="1" x14ac:dyDescent="0.2">
      <c r="C38" s="77" t="s">
        <v>289</v>
      </c>
      <c r="D38" s="77" t="s">
        <v>377</v>
      </c>
      <c r="E38" s="77" t="s">
        <v>376</v>
      </c>
      <c r="F38" s="78">
        <v>1782660.57</v>
      </c>
      <c r="G38" s="78">
        <v>1786620.49</v>
      </c>
      <c r="H38" s="78">
        <v>1792859.13</v>
      </c>
      <c r="I38" s="78">
        <v>1791111.13</v>
      </c>
      <c r="J38" s="78">
        <v>1790348.25</v>
      </c>
    </row>
    <row r="39" spans="3:10" s="73" customFormat="1" ht="19.7" hidden="1" customHeight="1" x14ac:dyDescent="0.2">
      <c r="C39" s="77" t="s">
        <v>289</v>
      </c>
      <c r="D39" s="77" t="s">
        <v>375</v>
      </c>
      <c r="E39" s="77" t="s">
        <v>374</v>
      </c>
      <c r="F39" s="78">
        <v>4749211.54</v>
      </c>
      <c r="G39" s="78">
        <v>4828463.12</v>
      </c>
      <c r="H39" s="78">
        <v>4876946.28</v>
      </c>
      <c r="I39" s="78">
        <v>4883411.87</v>
      </c>
      <c r="J39" s="78">
        <v>4898151.28</v>
      </c>
    </row>
    <row r="40" spans="3:10" s="73" customFormat="1" ht="19.7" hidden="1" customHeight="1" x14ac:dyDescent="0.2">
      <c r="C40" s="77" t="s">
        <v>289</v>
      </c>
      <c r="D40" s="77" t="s">
        <v>255</v>
      </c>
      <c r="E40" s="77" t="s">
        <v>373</v>
      </c>
      <c r="F40" s="78">
        <v>5330656.87</v>
      </c>
      <c r="G40" s="78">
        <v>5360015.09</v>
      </c>
      <c r="H40" s="78">
        <v>5428399.4900000002</v>
      </c>
      <c r="I40" s="78">
        <v>5421068.25</v>
      </c>
      <c r="J40" s="78">
        <v>5425557.5899999999</v>
      </c>
    </row>
    <row r="41" spans="3:10" s="73" customFormat="1" ht="19.7" customHeight="1" x14ac:dyDescent="0.2">
      <c r="C41" s="77" t="s">
        <v>289</v>
      </c>
      <c r="D41" s="77" t="s">
        <v>372</v>
      </c>
      <c r="E41" s="77" t="s">
        <v>371</v>
      </c>
      <c r="F41" s="78">
        <v>17988130.280000001</v>
      </c>
      <c r="G41" s="78">
        <v>18113421.27</v>
      </c>
      <c r="H41" s="78">
        <v>18486852.899999999</v>
      </c>
      <c r="I41" s="78">
        <v>18607835.77</v>
      </c>
      <c r="J41" s="78">
        <v>18512001.25</v>
      </c>
    </row>
    <row r="42" spans="3:10" s="73" customFormat="1" ht="19.7" customHeight="1" x14ac:dyDescent="0.2">
      <c r="C42" s="77" t="s">
        <v>289</v>
      </c>
      <c r="D42" s="77" t="s">
        <v>370</v>
      </c>
      <c r="E42" s="77" t="s">
        <v>369</v>
      </c>
      <c r="F42" s="78">
        <v>42827654.259999998</v>
      </c>
      <c r="G42" s="78">
        <v>43601418.530000001</v>
      </c>
      <c r="H42" s="78">
        <v>44391573.07</v>
      </c>
      <c r="I42" s="78">
        <v>44676563.770000003</v>
      </c>
      <c r="J42" s="78">
        <v>44904508.979999997</v>
      </c>
    </row>
    <row r="43" spans="3:10" s="73" customFormat="1" ht="19.7" customHeight="1" x14ac:dyDescent="0.2">
      <c r="C43" s="77" t="s">
        <v>289</v>
      </c>
      <c r="D43" s="77" t="s">
        <v>64</v>
      </c>
      <c r="E43" s="77" t="s">
        <v>368</v>
      </c>
      <c r="F43" s="78">
        <v>349644.27</v>
      </c>
      <c r="G43" s="78">
        <v>354078.76</v>
      </c>
      <c r="H43" s="78">
        <v>359203.9</v>
      </c>
      <c r="I43" s="78">
        <v>359863.88</v>
      </c>
      <c r="J43" s="78">
        <v>361096.55</v>
      </c>
    </row>
    <row r="44" spans="3:10" s="73" customFormat="1" ht="19.7" customHeight="1" x14ac:dyDescent="0.2">
      <c r="C44" s="77" t="s">
        <v>289</v>
      </c>
      <c r="D44" s="77" t="s">
        <v>65</v>
      </c>
      <c r="E44" s="77" t="s">
        <v>367</v>
      </c>
      <c r="F44" s="78">
        <v>8549108.1199999992</v>
      </c>
      <c r="G44" s="78">
        <v>8595345.75</v>
      </c>
      <c r="H44" s="78">
        <v>8689008.8000000007</v>
      </c>
      <c r="I44" s="78">
        <v>8664920.0899999999</v>
      </c>
      <c r="J44" s="78">
        <v>8689329.0199999996</v>
      </c>
    </row>
    <row r="45" spans="3:10" s="73" customFormat="1" ht="19.7" customHeight="1" x14ac:dyDescent="0.2">
      <c r="C45" s="77" t="s">
        <v>289</v>
      </c>
      <c r="D45" s="77" t="s">
        <v>66</v>
      </c>
      <c r="E45" s="77" t="s">
        <v>366</v>
      </c>
      <c r="F45" s="78">
        <v>1292209.52</v>
      </c>
      <c r="G45" s="78">
        <v>1302446.3</v>
      </c>
      <c r="H45" s="78">
        <v>1317697.04</v>
      </c>
      <c r="I45" s="78">
        <v>1322305.77</v>
      </c>
      <c r="J45" s="78">
        <v>1321095.3</v>
      </c>
    </row>
    <row r="46" spans="3:10" s="73" customFormat="1" ht="19.7" customHeight="1" x14ac:dyDescent="0.2">
      <c r="C46" s="77" t="s">
        <v>289</v>
      </c>
      <c r="D46" s="77" t="s">
        <v>67</v>
      </c>
      <c r="E46" s="77" t="s">
        <v>365</v>
      </c>
      <c r="F46" s="78">
        <v>77450904.670000002</v>
      </c>
      <c r="G46" s="78">
        <v>78093055.959999993</v>
      </c>
      <c r="H46" s="78">
        <v>78903283.269999996</v>
      </c>
      <c r="I46" s="78">
        <v>79200521.75</v>
      </c>
      <c r="J46" s="78">
        <v>79312495.730000004</v>
      </c>
    </row>
    <row r="47" spans="3:10" s="73" customFormat="1" ht="19.7" customHeight="1" x14ac:dyDescent="0.2">
      <c r="C47" s="77" t="s">
        <v>289</v>
      </c>
      <c r="D47" s="77" t="s">
        <v>68</v>
      </c>
      <c r="E47" s="77" t="s">
        <v>364</v>
      </c>
      <c r="F47" s="78">
        <v>63308236.149999999</v>
      </c>
      <c r="G47" s="78">
        <v>64087609.200000003</v>
      </c>
      <c r="H47" s="78">
        <v>64754504.579999998</v>
      </c>
      <c r="I47" s="78">
        <v>64914335.270000003</v>
      </c>
      <c r="J47" s="78">
        <v>65025855.850000001</v>
      </c>
    </row>
    <row r="48" spans="3:10" s="73" customFormat="1" ht="19.7" customHeight="1" x14ac:dyDescent="0.2">
      <c r="C48" s="77" t="s">
        <v>289</v>
      </c>
      <c r="D48" s="77" t="s">
        <v>69</v>
      </c>
      <c r="E48" s="77" t="s">
        <v>363</v>
      </c>
      <c r="F48" s="78">
        <v>127429710.2</v>
      </c>
      <c r="G48" s="78">
        <v>129362063.25</v>
      </c>
      <c r="H48" s="78">
        <v>131011434.34999999</v>
      </c>
      <c r="I48" s="78">
        <v>130960661.51000001</v>
      </c>
      <c r="J48" s="78">
        <v>131451187.95</v>
      </c>
    </row>
    <row r="49" spans="3:10" s="73" customFormat="1" ht="19.7" customHeight="1" x14ac:dyDescent="0.2">
      <c r="C49" s="77" t="s">
        <v>289</v>
      </c>
      <c r="D49" s="77" t="s">
        <v>362</v>
      </c>
      <c r="E49" s="77" t="s">
        <v>361</v>
      </c>
      <c r="F49" s="78">
        <v>67525221.260000005</v>
      </c>
      <c r="G49" s="78">
        <v>66717202.490000002</v>
      </c>
      <c r="H49" s="78">
        <v>66619182.469999999</v>
      </c>
      <c r="I49" s="78">
        <v>67498126.060000002</v>
      </c>
      <c r="J49" s="78">
        <v>67199924.879999995</v>
      </c>
    </row>
    <row r="50" spans="3:10" s="73" customFormat="1" ht="19.7" customHeight="1" x14ac:dyDescent="0.2">
      <c r="C50" s="77" t="s">
        <v>289</v>
      </c>
      <c r="D50" s="77" t="s">
        <v>80</v>
      </c>
      <c r="E50" s="77" t="s">
        <v>360</v>
      </c>
      <c r="F50" s="78">
        <v>100621747.41</v>
      </c>
      <c r="G50" s="78">
        <v>101188362.31</v>
      </c>
      <c r="H50" s="78">
        <v>101603816.7</v>
      </c>
      <c r="I50" s="78">
        <v>102119059.33</v>
      </c>
      <c r="J50" s="78">
        <v>101565409.11</v>
      </c>
    </row>
    <row r="51" spans="3:10" s="73" customFormat="1" ht="19.7" customHeight="1" x14ac:dyDescent="0.2">
      <c r="C51" s="77" t="s">
        <v>289</v>
      </c>
      <c r="D51" s="77" t="s">
        <v>26</v>
      </c>
      <c r="E51" s="77" t="s">
        <v>359</v>
      </c>
      <c r="F51" s="78">
        <v>277162691.31</v>
      </c>
      <c r="G51" s="78">
        <v>277345113.52999997</v>
      </c>
      <c r="H51" s="78">
        <v>281569079.10000002</v>
      </c>
      <c r="I51" s="78">
        <v>280474285.25999999</v>
      </c>
      <c r="J51" s="78">
        <v>280000178.20999998</v>
      </c>
    </row>
    <row r="52" spans="3:10" s="73" customFormat="1" ht="19.7" customHeight="1" x14ac:dyDescent="0.2">
      <c r="C52" s="77" t="s">
        <v>289</v>
      </c>
      <c r="D52" s="77" t="s">
        <v>45</v>
      </c>
      <c r="E52" s="77" t="s">
        <v>358</v>
      </c>
      <c r="F52" s="78">
        <v>29991692.989999998</v>
      </c>
      <c r="G52" s="78">
        <v>30076614.379999999</v>
      </c>
      <c r="H52" s="78">
        <v>29840046.620000001</v>
      </c>
      <c r="I52" s="78">
        <v>29830055.82</v>
      </c>
      <c r="J52" s="78">
        <v>29751984.91</v>
      </c>
    </row>
    <row r="53" spans="3:10" s="73" customFormat="1" ht="19.7" customHeight="1" x14ac:dyDescent="0.2">
      <c r="C53" s="77" t="s">
        <v>289</v>
      </c>
      <c r="D53" s="77" t="s">
        <v>357</v>
      </c>
      <c r="E53" s="77" t="s">
        <v>356</v>
      </c>
      <c r="F53" s="78">
        <v>1269247.18</v>
      </c>
      <c r="G53" s="78">
        <v>1282249.6399999999</v>
      </c>
      <c r="H53" s="78">
        <v>1290115.76</v>
      </c>
      <c r="I53" s="78">
        <v>1288463.6299999999</v>
      </c>
      <c r="J53" s="78">
        <v>1290628.4099999999</v>
      </c>
    </row>
    <row r="54" spans="3:10" s="73" customFormat="1" ht="19.7" customHeight="1" x14ac:dyDescent="0.2">
      <c r="C54" s="77" t="s">
        <v>289</v>
      </c>
      <c r="D54" s="77" t="s">
        <v>27</v>
      </c>
      <c r="E54" s="77" t="s">
        <v>355</v>
      </c>
      <c r="F54" s="78">
        <v>218249610.63999999</v>
      </c>
      <c r="G54" s="78">
        <v>218866227.53999999</v>
      </c>
      <c r="H54" s="78">
        <v>219871833.22</v>
      </c>
      <c r="I54" s="78">
        <v>219610930.41999999</v>
      </c>
      <c r="J54" s="78">
        <v>219363808.08000001</v>
      </c>
    </row>
    <row r="55" spans="3:10" s="73" customFormat="1" ht="19.7" customHeight="1" x14ac:dyDescent="0.2">
      <c r="C55" s="77" t="s">
        <v>289</v>
      </c>
      <c r="D55" s="77" t="s">
        <v>97</v>
      </c>
      <c r="E55" s="77" t="s">
        <v>354</v>
      </c>
      <c r="F55" s="78">
        <v>10810744.220000001</v>
      </c>
      <c r="G55" s="78">
        <v>10867337.029999999</v>
      </c>
      <c r="H55" s="78">
        <v>10962902.68</v>
      </c>
      <c r="I55" s="78">
        <v>10934118.970000001</v>
      </c>
      <c r="J55" s="78">
        <v>10951683.550000001</v>
      </c>
    </row>
    <row r="56" spans="3:10" s="73" customFormat="1" ht="19.7" customHeight="1" x14ac:dyDescent="0.2">
      <c r="C56" s="77" t="s">
        <v>289</v>
      </c>
      <c r="D56" s="77" t="s">
        <v>96</v>
      </c>
      <c r="E56" s="77" t="s">
        <v>353</v>
      </c>
      <c r="F56" s="78">
        <v>1722999413.46</v>
      </c>
      <c r="G56" s="78">
        <v>1737292915.7</v>
      </c>
      <c r="H56" s="78">
        <v>1749854510.99</v>
      </c>
      <c r="I56" s="78">
        <v>1751728170.0699999</v>
      </c>
      <c r="J56" s="78">
        <v>1756904836.9200001</v>
      </c>
    </row>
    <row r="57" spans="3:10" s="73" customFormat="1" ht="19.7" customHeight="1" x14ac:dyDescent="0.2">
      <c r="C57" s="77" t="s">
        <v>289</v>
      </c>
      <c r="D57" s="77" t="s">
        <v>81</v>
      </c>
      <c r="E57" s="77" t="s">
        <v>352</v>
      </c>
      <c r="F57" s="78">
        <v>327828.65000000002</v>
      </c>
      <c r="G57" s="78">
        <v>331266.06</v>
      </c>
      <c r="H57" s="78">
        <v>335652.89</v>
      </c>
      <c r="I57" s="78">
        <v>336650.67</v>
      </c>
      <c r="J57" s="78">
        <v>336722.47</v>
      </c>
    </row>
    <row r="58" spans="3:10" s="73" customFormat="1" ht="19.7" customHeight="1" x14ac:dyDescent="0.2">
      <c r="C58" s="77" t="s">
        <v>289</v>
      </c>
      <c r="D58" s="77" t="s">
        <v>351</v>
      </c>
      <c r="E58" s="77" t="s">
        <v>350</v>
      </c>
      <c r="F58" s="78">
        <v>157083072.06</v>
      </c>
      <c r="G58" s="78">
        <v>159271287.30000001</v>
      </c>
      <c r="H58" s="78">
        <v>160757490.83000001</v>
      </c>
      <c r="I58" s="78">
        <v>162333556.31</v>
      </c>
      <c r="J58" s="78">
        <v>162680781.62</v>
      </c>
    </row>
    <row r="59" spans="3:10" s="73" customFormat="1" ht="19.7" customHeight="1" x14ac:dyDescent="0.2">
      <c r="C59" s="77" t="s">
        <v>289</v>
      </c>
      <c r="D59" s="77" t="s">
        <v>349</v>
      </c>
      <c r="E59" s="77" t="s">
        <v>348</v>
      </c>
      <c r="F59" s="78">
        <v>49442460.380000003</v>
      </c>
      <c r="G59" s="78">
        <v>49431109.380000003</v>
      </c>
      <c r="H59" s="78">
        <v>49338194.799999997</v>
      </c>
      <c r="I59" s="78">
        <v>49455966.119999997</v>
      </c>
      <c r="J59" s="78">
        <v>49467454.780000001</v>
      </c>
    </row>
    <row r="60" spans="3:10" s="73" customFormat="1" ht="19.7" customHeight="1" x14ac:dyDescent="0.2">
      <c r="C60" s="77" t="s">
        <v>289</v>
      </c>
      <c r="D60" s="77" t="s">
        <v>98</v>
      </c>
      <c r="E60" s="77" t="s">
        <v>347</v>
      </c>
      <c r="F60" s="78">
        <v>1576231762.5999999</v>
      </c>
      <c r="G60" s="78">
        <v>1573788454.1099999</v>
      </c>
      <c r="H60" s="78">
        <v>1584682411.53</v>
      </c>
      <c r="I60" s="78">
        <v>1572899655</v>
      </c>
      <c r="J60" s="78">
        <v>1590265390.73</v>
      </c>
    </row>
    <row r="61" spans="3:10" s="73" customFormat="1" ht="19.7" customHeight="1" x14ac:dyDescent="0.2">
      <c r="C61" s="77" t="s">
        <v>289</v>
      </c>
      <c r="D61" s="77" t="s">
        <v>28</v>
      </c>
      <c r="E61" s="77" t="s">
        <v>346</v>
      </c>
      <c r="F61" s="78">
        <v>348913153.80000001</v>
      </c>
      <c r="G61" s="78">
        <v>348185471.92000002</v>
      </c>
      <c r="H61" s="78">
        <v>350180825.68000001</v>
      </c>
      <c r="I61" s="78">
        <v>349674966.83999997</v>
      </c>
      <c r="J61" s="78">
        <v>349368531.56</v>
      </c>
    </row>
    <row r="62" spans="3:10" s="73" customFormat="1" ht="19.7" customHeight="1" x14ac:dyDescent="0.2">
      <c r="C62" s="77" t="s">
        <v>289</v>
      </c>
      <c r="D62" s="77" t="s">
        <v>345</v>
      </c>
      <c r="E62" s="77" t="s">
        <v>345</v>
      </c>
      <c r="F62" s="78">
        <v>14693929922.18</v>
      </c>
      <c r="G62" s="78">
        <v>14785807293</v>
      </c>
      <c r="H62" s="78">
        <v>14958545206.73</v>
      </c>
      <c r="I62" s="78">
        <v>14974417280.01</v>
      </c>
      <c r="J62" s="78">
        <v>14994022317.139999</v>
      </c>
    </row>
    <row r="63" spans="3:10" s="73" customFormat="1" ht="19.7" customHeight="1" x14ac:dyDescent="0.2">
      <c r="C63" s="77" t="s">
        <v>289</v>
      </c>
      <c r="D63" s="77" t="s">
        <v>344</v>
      </c>
      <c r="E63" s="77" t="s">
        <v>343</v>
      </c>
      <c r="F63" s="78">
        <v>76856439.239999995</v>
      </c>
      <c r="G63" s="78">
        <v>76947089.370000005</v>
      </c>
      <c r="H63" s="78">
        <v>78012163.459999993</v>
      </c>
      <c r="I63" s="78">
        <v>78011693.180000007</v>
      </c>
      <c r="J63" s="78">
        <v>77881133.040000007</v>
      </c>
    </row>
    <row r="64" spans="3:10" s="73" customFormat="1" ht="19.7" customHeight="1" x14ac:dyDescent="0.2">
      <c r="C64" s="77" t="s">
        <v>289</v>
      </c>
      <c r="D64" s="77" t="s">
        <v>256</v>
      </c>
      <c r="E64" s="77" t="s">
        <v>342</v>
      </c>
      <c r="F64" s="78">
        <v>22209290.030000001</v>
      </c>
      <c r="G64" s="78">
        <v>22205890.719999999</v>
      </c>
      <c r="H64" s="78">
        <v>22184331</v>
      </c>
      <c r="I64" s="78">
        <v>21952720.52</v>
      </c>
      <c r="J64" s="78">
        <v>22270786.82</v>
      </c>
    </row>
    <row r="65" spans="3:10" s="73" customFormat="1" ht="19.7" customHeight="1" x14ac:dyDescent="0.2">
      <c r="C65" s="77" t="s">
        <v>289</v>
      </c>
      <c r="D65" s="77" t="s">
        <v>341</v>
      </c>
      <c r="E65" s="77" t="s">
        <v>340</v>
      </c>
      <c r="F65" s="78">
        <v>298183328.62</v>
      </c>
      <c r="G65" s="78">
        <v>300613863.31999999</v>
      </c>
      <c r="H65" s="78">
        <v>303047204.13</v>
      </c>
      <c r="I65" s="78">
        <v>304396198.00999999</v>
      </c>
      <c r="J65" s="78">
        <v>303986343.64999998</v>
      </c>
    </row>
    <row r="66" spans="3:10" s="73" customFormat="1" ht="19.7" customHeight="1" x14ac:dyDescent="0.2">
      <c r="C66" s="77" t="s">
        <v>289</v>
      </c>
      <c r="D66" s="77" t="s">
        <v>8</v>
      </c>
      <c r="E66" s="77" t="s">
        <v>339</v>
      </c>
      <c r="F66" s="78">
        <v>36402598</v>
      </c>
      <c r="G66" s="78">
        <v>36514552.100000001</v>
      </c>
      <c r="H66" s="78">
        <v>36813835.920000002</v>
      </c>
      <c r="I66" s="78">
        <v>36787509.409999996</v>
      </c>
      <c r="J66" s="78">
        <v>36810862.560000002</v>
      </c>
    </row>
    <row r="67" spans="3:10" s="73" customFormat="1" ht="19.7" customHeight="1" x14ac:dyDescent="0.2">
      <c r="C67" s="77" t="s">
        <v>289</v>
      </c>
      <c r="D67" s="77" t="s">
        <v>338</v>
      </c>
      <c r="E67" s="77" t="s">
        <v>337</v>
      </c>
      <c r="F67" s="78">
        <v>146832442.13</v>
      </c>
      <c r="G67" s="78">
        <v>147557491.25</v>
      </c>
      <c r="H67" s="78">
        <v>148458476.71000001</v>
      </c>
      <c r="I67" s="78">
        <v>146772979.50999999</v>
      </c>
      <c r="J67" s="78">
        <v>146506623.58000001</v>
      </c>
    </row>
    <row r="68" spans="3:10" s="73" customFormat="1" ht="19.7" customHeight="1" x14ac:dyDescent="0.2">
      <c r="C68" s="77" t="s">
        <v>289</v>
      </c>
      <c r="D68" s="77" t="s">
        <v>9</v>
      </c>
      <c r="E68" s="77" t="s">
        <v>336</v>
      </c>
      <c r="F68" s="78">
        <v>97706112.230000004</v>
      </c>
      <c r="G68" s="78">
        <v>97955545.620000005</v>
      </c>
      <c r="H68" s="78">
        <v>98248094.459999993</v>
      </c>
      <c r="I68" s="78">
        <v>97996874.859999999</v>
      </c>
      <c r="J68" s="78">
        <v>97678673.280000001</v>
      </c>
    </row>
    <row r="69" spans="3:10" s="73" customFormat="1" ht="19.7" customHeight="1" x14ac:dyDescent="0.2">
      <c r="C69" s="77" t="s">
        <v>289</v>
      </c>
      <c r="D69" s="77" t="s">
        <v>10</v>
      </c>
      <c r="E69" s="77" t="s">
        <v>335</v>
      </c>
      <c r="F69" s="78">
        <v>107043940.95999999</v>
      </c>
      <c r="G69" s="78">
        <v>108626417.22</v>
      </c>
      <c r="H69" s="78">
        <v>112751065.67</v>
      </c>
      <c r="I69" s="78">
        <v>113730620.92</v>
      </c>
      <c r="J69" s="78">
        <v>112846877.5</v>
      </c>
    </row>
    <row r="70" spans="3:10" s="73" customFormat="1" ht="19.7" customHeight="1" x14ac:dyDescent="0.2">
      <c r="C70" s="77" t="s">
        <v>289</v>
      </c>
      <c r="D70" s="77" t="s">
        <v>82</v>
      </c>
      <c r="E70" s="77" t="s">
        <v>334</v>
      </c>
      <c r="F70" s="78">
        <v>20964523.710000001</v>
      </c>
      <c r="G70" s="78">
        <v>21089351.329999998</v>
      </c>
      <c r="H70" s="78">
        <v>21272303.050000001</v>
      </c>
      <c r="I70" s="78">
        <v>21316917.68</v>
      </c>
      <c r="J70" s="78">
        <v>21343840.68</v>
      </c>
    </row>
    <row r="71" spans="3:10" s="73" customFormat="1" ht="19.7" customHeight="1" x14ac:dyDescent="0.2">
      <c r="C71" s="77" t="s">
        <v>289</v>
      </c>
      <c r="D71" s="77" t="s">
        <v>83</v>
      </c>
      <c r="E71" s="77" t="s">
        <v>333</v>
      </c>
      <c r="F71" s="78">
        <v>3626641.78</v>
      </c>
      <c r="G71" s="78">
        <v>3647307.56</v>
      </c>
      <c r="H71" s="78">
        <v>3693769.23</v>
      </c>
      <c r="I71" s="78">
        <v>3700169.63</v>
      </c>
      <c r="J71" s="78">
        <v>3704677.26</v>
      </c>
    </row>
    <row r="72" spans="3:10" s="73" customFormat="1" ht="19.7" customHeight="1" x14ac:dyDescent="0.2">
      <c r="C72" s="77" t="s">
        <v>289</v>
      </c>
      <c r="D72" s="77" t="s">
        <v>332</v>
      </c>
      <c r="E72" s="77" t="s">
        <v>331</v>
      </c>
      <c r="F72" s="78">
        <v>-0.27</v>
      </c>
      <c r="G72" s="78">
        <v>-0.27</v>
      </c>
      <c r="H72" s="78">
        <v>-2.27</v>
      </c>
      <c r="I72" s="78">
        <v>-2.27</v>
      </c>
      <c r="J72" s="78">
        <v>0</v>
      </c>
    </row>
    <row r="73" spans="3:10" s="73" customFormat="1" ht="19.7" customHeight="1" x14ac:dyDescent="0.2">
      <c r="C73" s="77" t="s">
        <v>289</v>
      </c>
      <c r="D73" s="77" t="s">
        <v>330</v>
      </c>
      <c r="E73" s="77" t="s">
        <v>329</v>
      </c>
      <c r="F73" s="78">
        <v>161659.35</v>
      </c>
      <c r="G73" s="78">
        <v>164000.24</v>
      </c>
      <c r="H73" s="78">
        <v>169417.65</v>
      </c>
      <c r="I73" s="78">
        <v>171160.74</v>
      </c>
      <c r="J73" s="78">
        <v>171944.07</v>
      </c>
    </row>
    <row r="74" spans="3:10" s="73" customFormat="1" ht="19.7" customHeight="1" x14ac:dyDescent="0.2">
      <c r="C74" s="77" t="s">
        <v>289</v>
      </c>
      <c r="D74" s="77" t="s">
        <v>328</v>
      </c>
      <c r="E74" s="77" t="s">
        <v>327</v>
      </c>
      <c r="F74" s="78">
        <v>162853.1</v>
      </c>
      <c r="G74" s="78">
        <v>165034.88</v>
      </c>
      <c r="H74" s="78">
        <v>166990.15</v>
      </c>
      <c r="I74" s="78">
        <v>168603.04</v>
      </c>
      <c r="J74" s="78">
        <v>168318.12</v>
      </c>
    </row>
    <row r="75" spans="3:10" s="73" customFormat="1" ht="19.7" customHeight="1" x14ac:dyDescent="0.2">
      <c r="C75" s="77" t="s">
        <v>289</v>
      </c>
      <c r="D75" s="77" t="s">
        <v>326</v>
      </c>
      <c r="E75" s="77" t="s">
        <v>325</v>
      </c>
      <c r="F75" s="78">
        <v>45510.63</v>
      </c>
      <c r="G75" s="78">
        <v>46084.93</v>
      </c>
      <c r="H75" s="78">
        <v>46530.73</v>
      </c>
      <c r="I75" s="78">
        <v>46437.87</v>
      </c>
      <c r="J75" s="78">
        <v>46510.05</v>
      </c>
    </row>
    <row r="76" spans="3:10" s="73" customFormat="1" ht="19.7" customHeight="1" x14ac:dyDescent="0.2">
      <c r="C76" s="77" t="s">
        <v>289</v>
      </c>
      <c r="D76" s="77" t="s">
        <v>324</v>
      </c>
      <c r="E76" s="77" t="s">
        <v>323</v>
      </c>
      <c r="F76" s="78">
        <v>633125846.07000005</v>
      </c>
      <c r="G76" s="78">
        <v>638918204.51999998</v>
      </c>
      <c r="H76" s="78">
        <v>646365481.59000003</v>
      </c>
      <c r="I76" s="78">
        <v>648201480.13</v>
      </c>
      <c r="J76" s="78">
        <v>649391453.26999998</v>
      </c>
    </row>
    <row r="77" spans="3:10" s="73" customFormat="1" ht="19.7" customHeight="1" x14ac:dyDescent="0.2">
      <c r="C77" s="77" t="s">
        <v>289</v>
      </c>
      <c r="D77" s="77" t="s">
        <v>322</v>
      </c>
      <c r="E77" s="77" t="s">
        <v>321</v>
      </c>
      <c r="F77" s="78">
        <v>2872873.5</v>
      </c>
      <c r="G77" s="78">
        <v>2901432.68</v>
      </c>
      <c r="H77" s="78">
        <v>2946344.98</v>
      </c>
      <c r="I77" s="78">
        <v>2956575.56</v>
      </c>
      <c r="J77" s="78">
        <v>2963275.64</v>
      </c>
    </row>
    <row r="78" spans="3:10" s="73" customFormat="1" ht="19.7" customHeight="1" x14ac:dyDescent="0.2">
      <c r="C78" s="77" t="s">
        <v>289</v>
      </c>
      <c r="D78" s="77" t="s">
        <v>245</v>
      </c>
      <c r="E78" s="77" t="s">
        <v>320</v>
      </c>
      <c r="F78" s="78">
        <v>731388405.15999997</v>
      </c>
      <c r="G78" s="78">
        <v>737838025.95000005</v>
      </c>
      <c r="H78" s="78">
        <v>747144558.00999999</v>
      </c>
      <c r="I78" s="78">
        <v>748566471.51999998</v>
      </c>
      <c r="J78" s="78">
        <v>749297623.61000001</v>
      </c>
    </row>
    <row r="79" spans="3:10" s="73" customFormat="1" ht="19.7" customHeight="1" x14ac:dyDescent="0.2">
      <c r="C79" s="77" t="s">
        <v>289</v>
      </c>
      <c r="D79" s="77" t="s">
        <v>247</v>
      </c>
      <c r="E79" s="77" t="s">
        <v>319</v>
      </c>
      <c r="F79" s="78">
        <v>2629504.33</v>
      </c>
      <c r="G79" s="78">
        <v>2645933.92</v>
      </c>
      <c r="H79" s="78">
        <v>2649044.63</v>
      </c>
      <c r="I79" s="78">
        <v>2651787.77</v>
      </c>
      <c r="J79" s="78">
        <v>2684253.9500000002</v>
      </c>
    </row>
    <row r="80" spans="3:10" s="73" customFormat="1" ht="19.7" customHeight="1" x14ac:dyDescent="0.2">
      <c r="C80" s="77" t="s">
        <v>289</v>
      </c>
      <c r="D80" s="77" t="s">
        <v>318</v>
      </c>
      <c r="E80" s="77" t="s">
        <v>317</v>
      </c>
      <c r="F80" s="78">
        <v>209128640.63</v>
      </c>
      <c r="G80" s="78">
        <v>207847902.27000001</v>
      </c>
      <c r="H80" s="78">
        <v>210042934.88999999</v>
      </c>
      <c r="I80" s="78">
        <v>206616767.52000001</v>
      </c>
      <c r="J80" s="78">
        <v>210418116.91</v>
      </c>
    </row>
    <row r="81" spans="3:10" s="73" customFormat="1" ht="19.7" customHeight="1" x14ac:dyDescent="0.2">
      <c r="C81" s="77" t="s">
        <v>289</v>
      </c>
      <c r="D81" s="77" t="s">
        <v>246</v>
      </c>
      <c r="E81" s="77" t="s">
        <v>316</v>
      </c>
      <c r="F81" s="78">
        <v>129256201.20999999</v>
      </c>
      <c r="G81" s="78">
        <v>130111584.92</v>
      </c>
      <c r="H81" s="78">
        <v>130905063.18000001</v>
      </c>
      <c r="I81" s="78">
        <v>131023675.20999999</v>
      </c>
      <c r="J81" s="78">
        <v>131606119.06</v>
      </c>
    </row>
    <row r="82" spans="3:10" s="73" customFormat="1" ht="19.7" customHeight="1" x14ac:dyDescent="0.2">
      <c r="C82" s="77" t="s">
        <v>289</v>
      </c>
      <c r="D82" s="77" t="s">
        <v>315</v>
      </c>
      <c r="E82" s="77" t="s">
        <v>314</v>
      </c>
      <c r="F82" s="78">
        <v>125701856.45</v>
      </c>
      <c r="G82" s="78">
        <v>127664299.84999999</v>
      </c>
      <c r="H82" s="78">
        <v>128570299.77</v>
      </c>
      <c r="I82" s="78">
        <v>126979766.03</v>
      </c>
      <c r="J82" s="78">
        <v>127438464.17</v>
      </c>
    </row>
    <row r="83" spans="3:10" s="73" customFormat="1" ht="19.7" customHeight="1" x14ac:dyDescent="0.2">
      <c r="C83" s="77" t="s">
        <v>289</v>
      </c>
      <c r="D83" s="77" t="s">
        <v>313</v>
      </c>
      <c r="E83" s="77" t="s">
        <v>312</v>
      </c>
      <c r="F83" s="78">
        <v>2457992.83</v>
      </c>
      <c r="G83" s="78">
        <v>2460111.87</v>
      </c>
      <c r="H83" s="78">
        <v>2558539.0499999998</v>
      </c>
      <c r="I83" s="78">
        <v>2584216.19</v>
      </c>
      <c r="J83" s="78">
        <v>2576232.2799999998</v>
      </c>
    </row>
    <row r="84" spans="3:10" s="73" customFormat="1" ht="19.7" customHeight="1" x14ac:dyDescent="0.2">
      <c r="C84" s="77" t="s">
        <v>289</v>
      </c>
      <c r="D84" s="77" t="s">
        <v>311</v>
      </c>
      <c r="E84" s="77" t="s">
        <v>310</v>
      </c>
      <c r="F84" s="78">
        <v>27282610.809999999</v>
      </c>
      <c r="G84" s="78">
        <v>26275869.989999998</v>
      </c>
      <c r="H84" s="78">
        <v>25611607.32</v>
      </c>
      <c r="I84" s="78">
        <v>24452060.039999999</v>
      </c>
      <c r="J84" s="78">
        <v>25149916.73</v>
      </c>
    </row>
    <row r="85" spans="3:10" s="73" customFormat="1" ht="19.7" customHeight="1" x14ac:dyDescent="0.2">
      <c r="C85" s="77" t="s">
        <v>289</v>
      </c>
      <c r="D85" s="77" t="s">
        <v>309</v>
      </c>
      <c r="E85" s="77" t="s">
        <v>308</v>
      </c>
      <c r="F85" s="78">
        <v>16355045.640000001</v>
      </c>
      <c r="G85" s="78">
        <v>16769171.539999999</v>
      </c>
      <c r="H85" s="78">
        <v>16940717.370000001</v>
      </c>
      <c r="I85" s="78">
        <v>16926681.800000001</v>
      </c>
      <c r="J85" s="78">
        <v>17089950.449999999</v>
      </c>
    </row>
    <row r="86" spans="3:10" s="73" customFormat="1" ht="19.7" customHeight="1" x14ac:dyDescent="0.2">
      <c r="C86" s="77" t="s">
        <v>289</v>
      </c>
      <c r="D86" s="77" t="s">
        <v>307</v>
      </c>
      <c r="E86" s="77" t="s">
        <v>306</v>
      </c>
      <c r="F86" s="78">
        <v>4844064.8</v>
      </c>
      <c r="G86" s="78">
        <v>4861754.09</v>
      </c>
      <c r="H86" s="78">
        <v>4904131.78</v>
      </c>
      <c r="I86" s="78">
        <v>4901347.1500000004</v>
      </c>
      <c r="J86" s="78">
        <v>4966008.29</v>
      </c>
    </row>
    <row r="87" spans="3:10" s="73" customFormat="1" ht="19.7" customHeight="1" x14ac:dyDescent="0.2">
      <c r="C87" s="77" t="s">
        <v>289</v>
      </c>
      <c r="D87" s="77" t="s">
        <v>17</v>
      </c>
      <c r="E87" s="77" t="s">
        <v>305</v>
      </c>
      <c r="F87" s="78">
        <v>33211535.949999999</v>
      </c>
      <c r="G87" s="78">
        <v>33045946.100000001</v>
      </c>
      <c r="H87" s="78">
        <v>32750925.809999999</v>
      </c>
      <c r="I87" s="78">
        <v>33412400.600000001</v>
      </c>
      <c r="J87" s="78">
        <v>33348673.120000001</v>
      </c>
    </row>
    <row r="88" spans="3:10" s="73" customFormat="1" ht="19.7" customHeight="1" x14ac:dyDescent="0.2">
      <c r="C88" s="77" t="s">
        <v>289</v>
      </c>
      <c r="D88" s="77" t="s">
        <v>18</v>
      </c>
      <c r="E88" s="77" t="s">
        <v>304</v>
      </c>
      <c r="F88" s="78">
        <v>311304141.26999998</v>
      </c>
      <c r="G88" s="78">
        <v>311383766.60000002</v>
      </c>
      <c r="H88" s="78">
        <v>308748500</v>
      </c>
      <c r="I88" s="78">
        <v>315008813.79000002</v>
      </c>
      <c r="J88" s="78">
        <v>314177355.41000003</v>
      </c>
    </row>
    <row r="89" spans="3:10" s="73" customFormat="1" ht="19.7" customHeight="1" x14ac:dyDescent="0.2">
      <c r="C89" s="77" t="s">
        <v>289</v>
      </c>
      <c r="D89" s="77" t="s">
        <v>19</v>
      </c>
      <c r="E89" s="77" t="s">
        <v>303</v>
      </c>
      <c r="F89" s="78">
        <v>25823423.760000002</v>
      </c>
      <c r="G89" s="78">
        <v>25753478.41</v>
      </c>
      <c r="H89" s="78">
        <v>25231696.239999998</v>
      </c>
      <c r="I89" s="78">
        <v>25774088.870000001</v>
      </c>
      <c r="J89" s="78">
        <v>25655732.98</v>
      </c>
    </row>
    <row r="90" spans="3:10" s="73" customFormat="1" ht="19.7" customHeight="1" x14ac:dyDescent="0.2">
      <c r="C90" s="77" t="s">
        <v>289</v>
      </c>
      <c r="D90" s="77" t="s">
        <v>20</v>
      </c>
      <c r="E90" s="77" t="s">
        <v>302</v>
      </c>
      <c r="F90" s="78">
        <v>831796964.45000005</v>
      </c>
      <c r="G90" s="78">
        <v>831988473.5</v>
      </c>
      <c r="H90" s="78">
        <v>825740720.76999998</v>
      </c>
      <c r="I90" s="78">
        <v>843348598.94000006</v>
      </c>
      <c r="J90" s="78">
        <v>843086587.75999999</v>
      </c>
    </row>
    <row r="91" spans="3:10" s="73" customFormat="1" ht="19.7" customHeight="1" x14ac:dyDescent="0.2">
      <c r="C91" s="77" t="s">
        <v>289</v>
      </c>
      <c r="D91" s="77" t="s">
        <v>21</v>
      </c>
      <c r="E91" s="77" t="s">
        <v>301</v>
      </c>
      <c r="F91" s="78">
        <v>527079783.45999998</v>
      </c>
      <c r="G91" s="78">
        <v>527341991.48000002</v>
      </c>
      <c r="H91" s="78">
        <v>524690633.26999998</v>
      </c>
      <c r="I91" s="78">
        <v>537777265.59000003</v>
      </c>
      <c r="J91" s="78">
        <v>537749373.12</v>
      </c>
    </row>
    <row r="92" spans="3:10" s="73" customFormat="1" ht="19.7" customHeight="1" x14ac:dyDescent="0.2">
      <c r="C92" s="77" t="s">
        <v>289</v>
      </c>
      <c r="D92" s="77" t="s">
        <v>47</v>
      </c>
      <c r="E92" s="77" t="s">
        <v>300</v>
      </c>
      <c r="F92" s="78">
        <v>7020689.9000000004</v>
      </c>
      <c r="G92" s="78">
        <v>7024287.1299999999</v>
      </c>
      <c r="H92" s="78">
        <v>7002326.0599999996</v>
      </c>
      <c r="I92" s="78">
        <v>6908561.29</v>
      </c>
      <c r="J92" s="78">
        <v>6905593.3700000001</v>
      </c>
    </row>
    <row r="93" spans="3:10" s="73" customFormat="1" ht="19.7" customHeight="1" x14ac:dyDescent="0.2">
      <c r="C93" s="77" t="s">
        <v>289</v>
      </c>
      <c r="D93" s="77" t="s">
        <v>85</v>
      </c>
      <c r="E93" s="77" t="s">
        <v>299</v>
      </c>
      <c r="F93" s="78">
        <v>11510032.26</v>
      </c>
      <c r="G93" s="78">
        <v>11636856.73</v>
      </c>
      <c r="H93" s="78">
        <v>11734200.73</v>
      </c>
      <c r="I93" s="78">
        <v>11775403.560000001</v>
      </c>
      <c r="J93" s="78">
        <v>11771675.9</v>
      </c>
    </row>
    <row r="94" spans="3:10" s="73" customFormat="1" ht="19.7" customHeight="1" x14ac:dyDescent="0.2">
      <c r="C94" s="77" t="s">
        <v>289</v>
      </c>
      <c r="D94" s="77" t="s">
        <v>86</v>
      </c>
      <c r="E94" s="77" t="s">
        <v>298</v>
      </c>
      <c r="F94" s="78">
        <v>18775850.41</v>
      </c>
      <c r="G94" s="78">
        <v>19260051.440000001</v>
      </c>
      <c r="H94" s="78">
        <v>19527381.23</v>
      </c>
      <c r="I94" s="78">
        <v>19607914.780000001</v>
      </c>
      <c r="J94" s="78">
        <v>19598135.329999998</v>
      </c>
    </row>
    <row r="95" spans="3:10" s="73" customFormat="1" ht="19.7" customHeight="1" x14ac:dyDescent="0.2">
      <c r="C95" s="77" t="s">
        <v>289</v>
      </c>
      <c r="D95" s="77" t="s">
        <v>87</v>
      </c>
      <c r="E95" s="77" t="s">
        <v>297</v>
      </c>
      <c r="F95" s="78">
        <v>28643423.18</v>
      </c>
      <c r="G95" s="78">
        <v>28729951.949999999</v>
      </c>
      <c r="H95" s="78">
        <v>28978691.550000001</v>
      </c>
      <c r="I95" s="78">
        <v>29105772.239999998</v>
      </c>
      <c r="J95" s="78">
        <v>29126589.440000001</v>
      </c>
    </row>
    <row r="96" spans="3:10" s="73" customFormat="1" ht="19.7" customHeight="1" x14ac:dyDescent="0.2">
      <c r="C96" s="77" t="s">
        <v>289</v>
      </c>
      <c r="D96" s="77" t="s">
        <v>89</v>
      </c>
      <c r="E96" s="77" t="s">
        <v>296</v>
      </c>
      <c r="F96" s="78">
        <v>20040165.370000001</v>
      </c>
      <c r="G96" s="78">
        <v>20241187.66</v>
      </c>
      <c r="H96" s="78">
        <v>20527496.350000001</v>
      </c>
      <c r="I96" s="78">
        <v>20584853.41</v>
      </c>
      <c r="J96" s="78">
        <v>20604620.949999999</v>
      </c>
    </row>
    <row r="97" spans="3:10" s="73" customFormat="1" ht="19.7" customHeight="1" x14ac:dyDescent="0.2">
      <c r="C97" s="77" t="s">
        <v>289</v>
      </c>
      <c r="D97" s="77" t="s">
        <v>244</v>
      </c>
      <c r="E97" s="77" t="s">
        <v>295</v>
      </c>
      <c r="F97" s="78">
        <v>1705810642.3599999</v>
      </c>
      <c r="G97" s="78">
        <v>1725581271.8099999</v>
      </c>
      <c r="H97" s="78">
        <v>1747220560.1199999</v>
      </c>
      <c r="I97" s="78">
        <v>1748936291.05</v>
      </c>
      <c r="J97" s="78">
        <v>1754409720.6900001</v>
      </c>
    </row>
    <row r="98" spans="3:10" s="73" customFormat="1" ht="19.7" customHeight="1" x14ac:dyDescent="0.2">
      <c r="C98" s="77" t="s">
        <v>289</v>
      </c>
      <c r="D98" s="77" t="s">
        <v>271</v>
      </c>
      <c r="E98" s="77" t="s">
        <v>294</v>
      </c>
      <c r="F98" s="78">
        <v>121412868.01000001</v>
      </c>
      <c r="G98" s="78">
        <v>122805412.51000001</v>
      </c>
      <c r="H98" s="78">
        <v>124175207.62</v>
      </c>
      <c r="I98" s="78">
        <v>124959900.95</v>
      </c>
      <c r="J98" s="78">
        <v>125523485.79000001</v>
      </c>
    </row>
    <row r="99" spans="3:10" s="73" customFormat="1" ht="19.7" customHeight="1" x14ac:dyDescent="0.2">
      <c r="C99" s="77" t="s">
        <v>289</v>
      </c>
      <c r="D99" s="77" t="s">
        <v>90</v>
      </c>
      <c r="E99" s="77" t="s">
        <v>293</v>
      </c>
      <c r="F99" s="78">
        <v>391198.71999999997</v>
      </c>
      <c r="G99" s="78">
        <v>395468</v>
      </c>
      <c r="H99" s="78">
        <v>400944.54</v>
      </c>
      <c r="I99" s="78">
        <v>401969.47</v>
      </c>
      <c r="J99" s="78">
        <v>402857.59</v>
      </c>
    </row>
    <row r="100" spans="3:10" s="73" customFormat="1" ht="19.7" customHeight="1" x14ac:dyDescent="0.2">
      <c r="C100" s="77" t="s">
        <v>289</v>
      </c>
      <c r="D100" s="77" t="s">
        <v>272</v>
      </c>
      <c r="E100" s="77" t="s">
        <v>292</v>
      </c>
      <c r="F100" s="78">
        <v>196745366.59999999</v>
      </c>
      <c r="G100" s="78">
        <v>198921381.75</v>
      </c>
      <c r="H100" s="78">
        <v>201464243.06999999</v>
      </c>
      <c r="I100" s="78">
        <v>202136790.31</v>
      </c>
      <c r="J100" s="78">
        <v>202614955.69</v>
      </c>
    </row>
    <row r="101" spans="3:10" s="73" customFormat="1" ht="19.7" customHeight="1" x14ac:dyDescent="0.2">
      <c r="C101" s="77" t="s">
        <v>289</v>
      </c>
      <c r="D101" s="77" t="s">
        <v>91</v>
      </c>
      <c r="E101" s="77" t="s">
        <v>291</v>
      </c>
      <c r="F101" s="78">
        <v>15597501.189999999</v>
      </c>
      <c r="G101" s="78">
        <v>15716139.5</v>
      </c>
      <c r="H101" s="78">
        <v>15886451.9</v>
      </c>
      <c r="I101" s="78">
        <v>15963905.33</v>
      </c>
      <c r="J101" s="78">
        <v>15950787.09</v>
      </c>
    </row>
    <row r="102" spans="3:10" s="73" customFormat="1" ht="19.7" customHeight="1" x14ac:dyDescent="0.2">
      <c r="C102" s="77" t="s">
        <v>289</v>
      </c>
      <c r="D102" s="77" t="s">
        <v>94</v>
      </c>
      <c r="E102" s="77" t="s">
        <v>290</v>
      </c>
      <c r="F102" s="78">
        <v>17136392.579999998</v>
      </c>
      <c r="G102" s="78">
        <v>17255902.399999999</v>
      </c>
      <c r="H102" s="78">
        <v>17346572.66</v>
      </c>
      <c r="I102" s="78">
        <v>17423566.77</v>
      </c>
      <c r="J102" s="78">
        <v>17359101.390000001</v>
      </c>
    </row>
    <row r="103" spans="3:10" s="73" customFormat="1" ht="19.7" customHeight="1" x14ac:dyDescent="0.2">
      <c r="C103" s="77" t="s">
        <v>289</v>
      </c>
      <c r="D103" s="77" t="s">
        <v>262</v>
      </c>
      <c r="E103" s="77" t="s">
        <v>288</v>
      </c>
      <c r="F103" s="78">
        <v>687969875.20000005</v>
      </c>
      <c r="G103" s="78">
        <v>700259701.42999995</v>
      </c>
      <c r="H103" s="78">
        <v>712677838.85000002</v>
      </c>
      <c r="I103" s="78">
        <v>713114438.40999997</v>
      </c>
      <c r="J103" s="78">
        <v>716945075.11000001</v>
      </c>
    </row>
    <row r="104" spans="3:10" s="73" customFormat="1" ht="19.149999999999999" customHeight="1" x14ac:dyDescent="0.2">
      <c r="C104" s="79"/>
      <c r="D104" s="79"/>
      <c r="E104" s="79"/>
      <c r="F104" s="80">
        <v>30147584642.049999</v>
      </c>
      <c r="G104" s="80">
        <v>30314311281</v>
      </c>
      <c r="H104" s="80">
        <v>30603723864.060001</v>
      </c>
      <c r="I104" s="80">
        <v>30650236746.060001</v>
      </c>
      <c r="J104" s="80">
        <v>30701375608.34</v>
      </c>
    </row>
    <row r="105" spans="3:10" s="73" customFormat="1" ht="28.7" customHeight="1" x14ac:dyDescent="0.2"/>
  </sheetData>
  <mergeCells count="1">
    <mergeCell ref="B2:E2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5"/>
  <sheetViews>
    <sheetView showGridLines="0" workbookViewId="0">
      <selection activeCell="D98" sqref="D98"/>
    </sheetView>
  </sheetViews>
  <sheetFormatPr defaultRowHeight="12.75" x14ac:dyDescent="0.2"/>
  <cols>
    <col min="1" max="1" width="13.42578125" style="64" customWidth="1"/>
    <col min="2" max="2" width="0.140625" style="64" customWidth="1"/>
    <col min="3" max="3" width="13.140625" style="64" customWidth="1"/>
    <col min="4" max="4" width="16.28515625" style="64" customWidth="1"/>
    <col min="5" max="5" width="41.85546875" style="64" customWidth="1"/>
    <col min="6" max="10" width="17.42578125" style="64" customWidth="1"/>
    <col min="11" max="11" width="4.7109375" style="64" customWidth="1"/>
    <col min="12" max="16384" width="9.140625" style="64"/>
  </cols>
  <sheetData>
    <row r="1" spans="2:10" s="65" customFormat="1" ht="14.45" customHeight="1" x14ac:dyDescent="0.2"/>
    <row r="2" spans="2:10" s="65" customFormat="1" ht="21.4" customHeight="1" x14ac:dyDescent="0.2">
      <c r="B2" s="106" t="s">
        <v>424</v>
      </c>
      <c r="C2" s="106"/>
      <c r="D2" s="106"/>
      <c r="E2" s="106"/>
    </row>
    <row r="3" spans="2:10" s="65" customFormat="1" ht="22.35" customHeight="1" x14ac:dyDescent="0.2"/>
    <row r="4" spans="2:10" s="65" customFormat="1" ht="24" customHeight="1" x14ac:dyDescent="0.2">
      <c r="C4" s="72"/>
      <c r="D4" s="72"/>
      <c r="E4" s="72"/>
      <c r="F4" s="70" t="s">
        <v>423</v>
      </c>
      <c r="G4" s="70" t="s">
        <v>422</v>
      </c>
      <c r="H4" s="70" t="s">
        <v>421</v>
      </c>
      <c r="I4" s="70" t="s">
        <v>420</v>
      </c>
      <c r="J4" s="70" t="s">
        <v>419</v>
      </c>
    </row>
    <row r="5" spans="2:10" s="65" customFormat="1" ht="19.7" customHeight="1" x14ac:dyDescent="0.2">
      <c r="C5" s="71" t="s">
        <v>418</v>
      </c>
      <c r="D5" s="71" t="s">
        <v>417</v>
      </c>
      <c r="E5" s="71" t="s">
        <v>416</v>
      </c>
      <c r="F5" s="70" t="s">
        <v>1</v>
      </c>
      <c r="G5" s="70" t="s">
        <v>1</v>
      </c>
      <c r="H5" s="70" t="s">
        <v>1</v>
      </c>
      <c r="I5" s="70" t="s">
        <v>1</v>
      </c>
      <c r="J5" s="70" t="s">
        <v>1</v>
      </c>
    </row>
    <row r="6" spans="2:10" s="65" customFormat="1" ht="19.7" customHeight="1" x14ac:dyDescent="0.2">
      <c r="C6" s="69" t="s">
        <v>289</v>
      </c>
      <c r="D6" s="69" t="s">
        <v>48</v>
      </c>
      <c r="E6" s="69" t="s">
        <v>415</v>
      </c>
      <c r="F6" s="68">
        <v>262797534.21000001</v>
      </c>
      <c r="G6" s="68">
        <v>261224113.41999999</v>
      </c>
      <c r="H6" s="68">
        <v>262970340.53999999</v>
      </c>
      <c r="I6" s="68">
        <v>255416021.44999999</v>
      </c>
      <c r="J6" s="68">
        <v>254628963.00999999</v>
      </c>
    </row>
    <row r="7" spans="2:10" s="65" customFormat="1" ht="19.7" customHeight="1" x14ac:dyDescent="0.2">
      <c r="C7" s="69" t="s">
        <v>289</v>
      </c>
      <c r="D7" s="69" t="s">
        <v>49</v>
      </c>
      <c r="E7" s="69" t="s">
        <v>414</v>
      </c>
      <c r="F7" s="68">
        <v>44359401.18</v>
      </c>
      <c r="G7" s="68">
        <v>44123013.810000002</v>
      </c>
      <c r="H7" s="68">
        <v>44107644.899999999</v>
      </c>
      <c r="I7" s="68">
        <v>43370337.740000002</v>
      </c>
      <c r="J7" s="68">
        <v>43187870.170000002</v>
      </c>
    </row>
    <row r="8" spans="2:10" s="65" customFormat="1" ht="19.7" customHeight="1" x14ac:dyDescent="0.2">
      <c r="C8" s="69" t="s">
        <v>289</v>
      </c>
      <c r="D8" s="69" t="s">
        <v>50</v>
      </c>
      <c r="E8" s="69" t="s">
        <v>413</v>
      </c>
      <c r="F8" s="68">
        <v>30137931.91</v>
      </c>
      <c r="G8" s="68">
        <v>30028506.75</v>
      </c>
      <c r="H8" s="68">
        <v>29868415.949999999</v>
      </c>
      <c r="I8" s="68">
        <v>29592701.379999999</v>
      </c>
      <c r="J8" s="68">
        <v>29456389.469999999</v>
      </c>
    </row>
    <row r="9" spans="2:10" s="65" customFormat="1" ht="19.7" customHeight="1" x14ac:dyDescent="0.2">
      <c r="C9" s="69" t="s">
        <v>289</v>
      </c>
      <c r="D9" s="69" t="s">
        <v>412</v>
      </c>
      <c r="E9" s="69" t="s">
        <v>411</v>
      </c>
      <c r="F9" s="68">
        <v>32117.39</v>
      </c>
      <c r="G9" s="68">
        <v>31833.02</v>
      </c>
      <c r="H9" s="68">
        <v>32272.959999999999</v>
      </c>
      <c r="I9" s="68">
        <v>31712.28</v>
      </c>
      <c r="J9" s="68">
        <v>31436.26</v>
      </c>
    </row>
    <row r="10" spans="2:10" s="65" customFormat="1" ht="19.7" customHeight="1" x14ac:dyDescent="0.2">
      <c r="C10" s="69" t="s">
        <v>289</v>
      </c>
      <c r="D10" s="69" t="s">
        <v>410</v>
      </c>
      <c r="E10" s="69" t="s">
        <v>409</v>
      </c>
      <c r="F10" s="68">
        <v>65.88</v>
      </c>
      <c r="G10" s="68">
        <v>65.88</v>
      </c>
      <c r="H10" s="68">
        <v>63.88</v>
      </c>
      <c r="I10" s="68">
        <v>63.88</v>
      </c>
      <c r="J10" s="68">
        <v>63.88</v>
      </c>
    </row>
    <row r="11" spans="2:10" s="65" customFormat="1" ht="19.7" customHeight="1" x14ac:dyDescent="0.2">
      <c r="C11" s="69" t="s">
        <v>289</v>
      </c>
      <c r="D11" s="69" t="s">
        <v>408</v>
      </c>
      <c r="E11" s="69" t="s">
        <v>407</v>
      </c>
      <c r="F11" s="68">
        <v>84500.160000000003</v>
      </c>
      <c r="G11" s="68">
        <v>84144.91</v>
      </c>
      <c r="H11" s="68">
        <v>84458.43</v>
      </c>
      <c r="I11" s="68">
        <v>83872.97</v>
      </c>
      <c r="J11" s="68">
        <v>83559.41</v>
      </c>
    </row>
    <row r="12" spans="2:10" s="65" customFormat="1" ht="19.7" customHeight="1" x14ac:dyDescent="0.2">
      <c r="C12" s="69" t="s">
        <v>289</v>
      </c>
      <c r="D12" s="69" t="s">
        <v>95</v>
      </c>
      <c r="E12" s="69" t="s">
        <v>406</v>
      </c>
      <c r="F12" s="68">
        <v>123345938.45</v>
      </c>
      <c r="G12" s="68">
        <v>122239836.59999999</v>
      </c>
      <c r="H12" s="68">
        <v>121950017.17</v>
      </c>
      <c r="I12" s="68">
        <v>121814524.19</v>
      </c>
      <c r="J12" s="68">
        <v>120958948.03</v>
      </c>
    </row>
    <row r="13" spans="2:10" s="65" customFormat="1" ht="19.7" customHeight="1" x14ac:dyDescent="0.2">
      <c r="C13" s="69" t="s">
        <v>289</v>
      </c>
      <c r="D13" s="69" t="s">
        <v>405</v>
      </c>
      <c r="E13" s="69" t="s">
        <v>404</v>
      </c>
      <c r="F13" s="68">
        <v>936217550.94000006</v>
      </c>
      <c r="G13" s="68">
        <v>925949169.67999995</v>
      </c>
      <c r="H13" s="68">
        <v>921716828.16999996</v>
      </c>
      <c r="I13" s="68">
        <v>905883343.98000002</v>
      </c>
      <c r="J13" s="68">
        <v>890366667.76999998</v>
      </c>
    </row>
    <row r="14" spans="2:10" s="65" customFormat="1" ht="19.7" customHeight="1" x14ac:dyDescent="0.2">
      <c r="C14" s="69" t="s">
        <v>289</v>
      </c>
      <c r="D14" s="69" t="s">
        <v>2</v>
      </c>
      <c r="E14" s="69" t="s">
        <v>403</v>
      </c>
      <c r="F14" s="68">
        <v>1036028.82</v>
      </c>
      <c r="G14" s="68">
        <v>1028577.42</v>
      </c>
      <c r="H14" s="68">
        <v>1032442.16</v>
      </c>
      <c r="I14" s="68">
        <v>1006192.43</v>
      </c>
      <c r="J14" s="68">
        <v>998506.07</v>
      </c>
    </row>
    <row r="15" spans="2:10" s="65" customFormat="1" ht="19.7" customHeight="1" x14ac:dyDescent="0.2">
      <c r="C15" s="69" t="s">
        <v>289</v>
      </c>
      <c r="D15" s="69" t="s">
        <v>29</v>
      </c>
      <c r="E15" s="69" t="s">
        <v>402</v>
      </c>
      <c r="F15" s="68">
        <v>232057350.91</v>
      </c>
      <c r="G15" s="68">
        <v>229100713.47</v>
      </c>
      <c r="H15" s="68">
        <v>226461594.43000001</v>
      </c>
      <c r="I15" s="68">
        <v>223074366.93000001</v>
      </c>
      <c r="J15" s="68">
        <v>220249707.81999999</v>
      </c>
    </row>
    <row r="16" spans="2:10" s="65" customFormat="1" ht="19.7" customHeight="1" x14ac:dyDescent="0.2">
      <c r="C16" s="69" t="s">
        <v>289</v>
      </c>
      <c r="D16" s="69" t="s">
        <v>269</v>
      </c>
      <c r="E16" s="69" t="s">
        <v>401</v>
      </c>
      <c r="F16" s="68">
        <v>84898438.469999999</v>
      </c>
      <c r="G16" s="68">
        <v>84919742.890000001</v>
      </c>
      <c r="H16" s="68">
        <v>85020147.480000004</v>
      </c>
      <c r="I16" s="68">
        <v>84361333.060000002</v>
      </c>
      <c r="J16" s="68">
        <v>84104110.409999996</v>
      </c>
    </row>
    <row r="17" spans="3:10" s="65" customFormat="1" ht="19.7" customHeight="1" x14ac:dyDescent="0.2">
      <c r="C17" s="69" t="s">
        <v>289</v>
      </c>
      <c r="D17" s="69" t="s">
        <v>140</v>
      </c>
      <c r="E17" s="69" t="s">
        <v>400</v>
      </c>
      <c r="F17" s="68">
        <v>224628660.03999999</v>
      </c>
      <c r="G17" s="68">
        <v>224076925.86000001</v>
      </c>
      <c r="H17" s="68">
        <v>224048157.52000001</v>
      </c>
      <c r="I17" s="68">
        <v>222823874.83000001</v>
      </c>
      <c r="J17" s="68">
        <v>222609180.61000001</v>
      </c>
    </row>
    <row r="18" spans="3:10" s="65" customFormat="1" ht="19.7" customHeight="1" x14ac:dyDescent="0.2">
      <c r="C18" s="69" t="s">
        <v>289</v>
      </c>
      <c r="D18" s="69" t="s">
        <v>30</v>
      </c>
      <c r="E18" s="69" t="s">
        <v>399</v>
      </c>
      <c r="F18" s="68">
        <v>496090327.68000001</v>
      </c>
      <c r="G18" s="68">
        <v>490596713.77999997</v>
      </c>
      <c r="H18" s="68">
        <v>486878995.86000001</v>
      </c>
      <c r="I18" s="68">
        <v>478022704.55000001</v>
      </c>
      <c r="J18" s="68">
        <v>471581071.05000001</v>
      </c>
    </row>
    <row r="19" spans="3:10" s="65" customFormat="1" ht="19.7" customHeight="1" x14ac:dyDescent="0.2">
      <c r="C19" s="69" t="s">
        <v>289</v>
      </c>
      <c r="D19" s="69" t="s">
        <v>270</v>
      </c>
      <c r="E19" s="69" t="s">
        <v>398</v>
      </c>
      <c r="F19" s="68">
        <v>91487826.680000007</v>
      </c>
      <c r="G19" s="68">
        <v>91781253.629999995</v>
      </c>
      <c r="H19" s="68">
        <v>91951585.569999993</v>
      </c>
      <c r="I19" s="68">
        <v>91233916.459999993</v>
      </c>
      <c r="J19" s="68">
        <v>90880024.409999996</v>
      </c>
    </row>
    <row r="20" spans="3:10" s="65" customFormat="1" ht="19.7" customHeight="1" x14ac:dyDescent="0.2">
      <c r="C20" s="69" t="s">
        <v>289</v>
      </c>
      <c r="D20" s="69" t="s">
        <v>141</v>
      </c>
      <c r="E20" s="69" t="s">
        <v>397</v>
      </c>
      <c r="F20" s="68">
        <v>348480665.07999998</v>
      </c>
      <c r="G20" s="68">
        <v>347052622.69999999</v>
      </c>
      <c r="H20" s="68">
        <v>347327488.27999997</v>
      </c>
      <c r="I20" s="68">
        <v>344766741.37</v>
      </c>
      <c r="J20" s="68">
        <v>344047360.69999999</v>
      </c>
    </row>
    <row r="21" spans="3:10" s="65" customFormat="1" ht="19.7" customHeight="1" x14ac:dyDescent="0.2">
      <c r="C21" s="69" t="s">
        <v>289</v>
      </c>
      <c r="D21" s="69" t="s">
        <v>55</v>
      </c>
      <c r="E21" s="69" t="s">
        <v>396</v>
      </c>
      <c r="F21" s="68">
        <v>1931758.95</v>
      </c>
      <c r="G21" s="68">
        <v>1921887.32</v>
      </c>
      <c r="H21" s="68">
        <v>1923165.82</v>
      </c>
      <c r="I21" s="68">
        <v>1911313.89</v>
      </c>
      <c r="J21" s="68">
        <v>1900281.52</v>
      </c>
    </row>
    <row r="22" spans="3:10" s="65" customFormat="1" ht="19.7" customHeight="1" x14ac:dyDescent="0.2">
      <c r="C22" s="69" t="s">
        <v>289</v>
      </c>
      <c r="D22" s="69" t="s">
        <v>56</v>
      </c>
      <c r="E22" s="69" t="s">
        <v>395</v>
      </c>
      <c r="F22" s="68">
        <v>24945772.890000001</v>
      </c>
      <c r="G22" s="68">
        <v>24833089.039999999</v>
      </c>
      <c r="H22" s="68">
        <v>24897721.379999999</v>
      </c>
      <c r="I22" s="68">
        <v>24619044.190000001</v>
      </c>
      <c r="J22" s="68">
        <v>24490730.719999999</v>
      </c>
    </row>
    <row r="23" spans="3:10" s="65" customFormat="1" ht="19.7" customHeight="1" x14ac:dyDescent="0.2">
      <c r="C23" s="69" t="s">
        <v>289</v>
      </c>
      <c r="D23" s="69" t="s">
        <v>57</v>
      </c>
      <c r="E23" s="69" t="s">
        <v>394</v>
      </c>
      <c r="F23" s="68">
        <v>769640.79</v>
      </c>
      <c r="G23" s="68">
        <v>764856.36</v>
      </c>
      <c r="H23" s="68">
        <v>769321.09</v>
      </c>
      <c r="I23" s="68">
        <v>757943.56</v>
      </c>
      <c r="J23" s="68">
        <v>753286.9</v>
      </c>
    </row>
    <row r="24" spans="3:10" s="65" customFormat="1" ht="19.7" customHeight="1" x14ac:dyDescent="0.2">
      <c r="C24" s="69" t="s">
        <v>289</v>
      </c>
      <c r="D24" s="69" t="s">
        <v>393</v>
      </c>
      <c r="E24" s="69" t="s">
        <v>392</v>
      </c>
      <c r="F24" s="68">
        <v>632493660.15999997</v>
      </c>
      <c r="G24" s="68">
        <v>627095951.44000006</v>
      </c>
      <c r="H24" s="68">
        <v>623486596.99000001</v>
      </c>
      <c r="I24" s="68">
        <v>613587994.59000003</v>
      </c>
      <c r="J24" s="68">
        <v>605231595.53999996</v>
      </c>
    </row>
    <row r="25" spans="3:10" s="65" customFormat="1" ht="19.7" customHeight="1" x14ac:dyDescent="0.2">
      <c r="C25" s="69" t="s">
        <v>289</v>
      </c>
      <c r="D25" s="69" t="s">
        <v>32</v>
      </c>
      <c r="E25" s="69" t="s">
        <v>391</v>
      </c>
      <c r="F25" s="68">
        <v>269735.99</v>
      </c>
      <c r="G25" s="68">
        <v>269687.44</v>
      </c>
      <c r="H25" s="68">
        <v>269896.82</v>
      </c>
      <c r="I25" s="68">
        <v>270081.99</v>
      </c>
      <c r="J25" s="68">
        <v>270213.37</v>
      </c>
    </row>
    <row r="26" spans="3:10" s="65" customFormat="1" ht="19.7" customHeight="1" x14ac:dyDescent="0.2">
      <c r="C26" s="69" t="s">
        <v>289</v>
      </c>
      <c r="D26" s="69" t="s">
        <v>33</v>
      </c>
      <c r="E26" s="69" t="s">
        <v>390</v>
      </c>
      <c r="F26" s="68">
        <v>5087615.4000000004</v>
      </c>
      <c r="G26" s="68">
        <v>5088404.4000000004</v>
      </c>
      <c r="H26" s="68">
        <v>5095427.8600000003</v>
      </c>
      <c r="I26" s="68">
        <v>5099601.83</v>
      </c>
      <c r="J26" s="68">
        <v>5095844.18</v>
      </c>
    </row>
    <row r="27" spans="3:10" s="65" customFormat="1" ht="19.7" customHeight="1" x14ac:dyDescent="0.2">
      <c r="C27" s="69" t="s">
        <v>289</v>
      </c>
      <c r="D27" s="69" t="s">
        <v>34</v>
      </c>
      <c r="E27" s="69" t="s">
        <v>389</v>
      </c>
      <c r="F27" s="68">
        <v>193486.5</v>
      </c>
      <c r="G27" s="68">
        <v>193446.98</v>
      </c>
      <c r="H27" s="68">
        <v>193597.05</v>
      </c>
      <c r="I27" s="68">
        <v>193736.46</v>
      </c>
      <c r="J27" s="68">
        <v>193816.34</v>
      </c>
    </row>
    <row r="28" spans="3:10" s="65" customFormat="1" ht="19.7" customHeight="1" x14ac:dyDescent="0.2">
      <c r="C28" s="69" t="s">
        <v>289</v>
      </c>
      <c r="D28" s="69" t="s">
        <v>35</v>
      </c>
      <c r="E28" s="69" t="s">
        <v>388</v>
      </c>
      <c r="F28" s="68">
        <v>365020.67</v>
      </c>
      <c r="G28" s="68">
        <v>364937.76</v>
      </c>
      <c r="H28" s="68">
        <v>365114.7</v>
      </c>
      <c r="I28" s="68">
        <v>365324.62</v>
      </c>
      <c r="J28" s="68">
        <v>365598.47</v>
      </c>
    </row>
    <row r="29" spans="3:10" s="65" customFormat="1" ht="19.7" customHeight="1" x14ac:dyDescent="0.2">
      <c r="C29" s="69" t="s">
        <v>289</v>
      </c>
      <c r="D29" s="69" t="s">
        <v>36</v>
      </c>
      <c r="E29" s="69" t="s">
        <v>387</v>
      </c>
      <c r="F29" s="68">
        <v>270877.96999999997</v>
      </c>
      <c r="G29" s="68">
        <v>270839.11</v>
      </c>
      <c r="H29" s="68">
        <v>270986.15000000002</v>
      </c>
      <c r="I29" s="68">
        <v>271178.15999999997</v>
      </c>
      <c r="J29" s="68">
        <v>271321.15999999997</v>
      </c>
    </row>
    <row r="30" spans="3:10" s="65" customFormat="1" ht="19.7" customHeight="1" x14ac:dyDescent="0.2">
      <c r="C30" s="69" t="s">
        <v>289</v>
      </c>
      <c r="D30" s="69" t="s">
        <v>37</v>
      </c>
      <c r="E30" s="69" t="s">
        <v>386</v>
      </c>
      <c r="F30" s="68">
        <v>99558.97</v>
      </c>
      <c r="G30" s="68">
        <v>99523.97</v>
      </c>
      <c r="H30" s="68">
        <v>99572.88</v>
      </c>
      <c r="I30" s="68">
        <v>99670.22</v>
      </c>
      <c r="J30" s="68">
        <v>99716.49</v>
      </c>
    </row>
    <row r="31" spans="3:10" s="65" customFormat="1" ht="19.7" customHeight="1" x14ac:dyDescent="0.2">
      <c r="C31" s="69" t="s">
        <v>289</v>
      </c>
      <c r="D31" s="69" t="s">
        <v>38</v>
      </c>
      <c r="E31" s="69" t="s">
        <v>385</v>
      </c>
      <c r="F31" s="68">
        <v>147499.19</v>
      </c>
      <c r="G31" s="68">
        <v>147420.59</v>
      </c>
      <c r="H31" s="68">
        <v>147496.32999999999</v>
      </c>
      <c r="I31" s="68">
        <v>147617.48000000001</v>
      </c>
      <c r="J31" s="68">
        <v>147682.74</v>
      </c>
    </row>
    <row r="32" spans="3:10" s="65" customFormat="1" ht="19.7" customHeight="1" x14ac:dyDescent="0.2">
      <c r="C32" s="69" t="s">
        <v>289</v>
      </c>
      <c r="D32" s="69" t="s">
        <v>39</v>
      </c>
      <c r="E32" s="69" t="s">
        <v>384</v>
      </c>
      <c r="F32" s="68">
        <v>614379.32999999996</v>
      </c>
      <c r="G32" s="68">
        <v>614104.65</v>
      </c>
      <c r="H32" s="68">
        <v>614410.4</v>
      </c>
      <c r="I32" s="68">
        <v>614885</v>
      </c>
      <c r="J32" s="68">
        <v>615124.05000000005</v>
      </c>
    </row>
    <row r="33" spans="3:10" s="65" customFormat="1" ht="19.7" customHeight="1" x14ac:dyDescent="0.2">
      <c r="C33" s="69" t="s">
        <v>289</v>
      </c>
      <c r="D33" s="69" t="s">
        <v>383</v>
      </c>
      <c r="E33" s="69" t="s">
        <v>382</v>
      </c>
      <c r="F33" s="68">
        <v>88752.41</v>
      </c>
      <c r="G33" s="68">
        <v>88709.39</v>
      </c>
      <c r="H33" s="68">
        <v>88750.63</v>
      </c>
      <c r="I33" s="68">
        <v>88818.61</v>
      </c>
      <c r="J33" s="68">
        <v>88853.95</v>
      </c>
    </row>
    <row r="34" spans="3:10" s="65" customFormat="1" ht="19.7" customHeight="1" x14ac:dyDescent="0.2">
      <c r="C34" s="69" t="s">
        <v>289</v>
      </c>
      <c r="D34" s="69" t="s">
        <v>41</v>
      </c>
      <c r="E34" s="69" t="s">
        <v>381</v>
      </c>
      <c r="F34" s="68">
        <v>139341.81</v>
      </c>
      <c r="G34" s="68">
        <v>139250.70000000001</v>
      </c>
      <c r="H34" s="68">
        <v>139300.13</v>
      </c>
      <c r="I34" s="68">
        <v>139398.5</v>
      </c>
      <c r="J34" s="68">
        <v>139447.39000000001</v>
      </c>
    </row>
    <row r="35" spans="3:10" s="65" customFormat="1" ht="19.7" customHeight="1" x14ac:dyDescent="0.2">
      <c r="C35" s="69" t="s">
        <v>289</v>
      </c>
      <c r="D35" s="69" t="s">
        <v>42</v>
      </c>
      <c r="E35" s="69" t="s">
        <v>380</v>
      </c>
      <c r="F35" s="68">
        <v>16604.71</v>
      </c>
      <c r="G35" s="68">
        <v>16602.55</v>
      </c>
      <c r="H35" s="68">
        <v>16609.11</v>
      </c>
      <c r="I35" s="68">
        <v>16618.91</v>
      </c>
      <c r="J35" s="68">
        <v>16623.79</v>
      </c>
    </row>
    <row r="36" spans="3:10" s="65" customFormat="1" ht="19.7" customHeight="1" x14ac:dyDescent="0.2">
      <c r="C36" s="69" t="s">
        <v>289</v>
      </c>
      <c r="D36" s="69" t="s">
        <v>43</v>
      </c>
      <c r="E36" s="69" t="s">
        <v>379</v>
      </c>
      <c r="F36" s="68">
        <v>44720.5</v>
      </c>
      <c r="G36" s="68">
        <v>44710.45</v>
      </c>
      <c r="H36" s="68">
        <v>44740.53</v>
      </c>
      <c r="I36" s="68">
        <v>44772.4</v>
      </c>
      <c r="J36" s="68">
        <v>44789.54</v>
      </c>
    </row>
    <row r="37" spans="3:10" s="65" customFormat="1" ht="19.7" customHeight="1" x14ac:dyDescent="0.2">
      <c r="C37" s="69" t="s">
        <v>289</v>
      </c>
      <c r="D37" s="69" t="s">
        <v>44</v>
      </c>
      <c r="E37" s="69" t="s">
        <v>378</v>
      </c>
      <c r="F37" s="68">
        <v>16253991.869999999</v>
      </c>
      <c r="G37" s="68">
        <v>16141526.689999999</v>
      </c>
      <c r="H37" s="68">
        <v>16067037.779999999</v>
      </c>
      <c r="I37" s="68">
        <v>15868120.189999999</v>
      </c>
      <c r="J37" s="68">
        <v>15547383.48</v>
      </c>
    </row>
    <row r="38" spans="3:10" s="65" customFormat="1" ht="19.7" customHeight="1" x14ac:dyDescent="0.2">
      <c r="C38" s="69" t="s">
        <v>289</v>
      </c>
      <c r="D38" s="69" t="s">
        <v>377</v>
      </c>
      <c r="E38" s="69" t="s">
        <v>376</v>
      </c>
      <c r="F38" s="68">
        <v>1907026.39</v>
      </c>
      <c r="G38" s="68">
        <v>1852648.65</v>
      </c>
      <c r="H38" s="68">
        <v>1855272.15</v>
      </c>
      <c r="I38" s="68">
        <v>1847821.24</v>
      </c>
      <c r="J38" s="68">
        <v>1848299.6</v>
      </c>
    </row>
    <row r="39" spans="3:10" s="65" customFormat="1" ht="19.7" customHeight="1" x14ac:dyDescent="0.2">
      <c r="C39" s="69" t="s">
        <v>289</v>
      </c>
      <c r="D39" s="69" t="s">
        <v>375</v>
      </c>
      <c r="E39" s="69" t="s">
        <v>374</v>
      </c>
      <c r="F39" s="68">
        <v>4839316.79</v>
      </c>
      <c r="G39" s="68">
        <v>4790790.71</v>
      </c>
      <c r="H39" s="68">
        <v>4862172.42</v>
      </c>
      <c r="I39" s="68">
        <v>4792049.74</v>
      </c>
      <c r="J39" s="68">
        <v>4699589.84</v>
      </c>
    </row>
    <row r="40" spans="3:10" s="65" customFormat="1" ht="19.7" customHeight="1" x14ac:dyDescent="0.2">
      <c r="C40" s="69" t="s">
        <v>289</v>
      </c>
      <c r="D40" s="69" t="s">
        <v>255</v>
      </c>
      <c r="E40" s="69" t="s">
        <v>373</v>
      </c>
      <c r="F40" s="68">
        <v>5431833.0199999996</v>
      </c>
      <c r="G40" s="68">
        <v>5387118.9000000004</v>
      </c>
      <c r="H40" s="68">
        <v>5395950.1900000004</v>
      </c>
      <c r="I40" s="68">
        <v>5237116.08</v>
      </c>
      <c r="J40" s="68">
        <v>5183669.6399999997</v>
      </c>
    </row>
    <row r="41" spans="3:10" s="65" customFormat="1" ht="19.7" customHeight="1" x14ac:dyDescent="0.2">
      <c r="C41" s="69" t="s">
        <v>289</v>
      </c>
      <c r="D41" s="69" t="s">
        <v>372</v>
      </c>
      <c r="E41" s="69" t="s">
        <v>371</v>
      </c>
      <c r="F41" s="68">
        <v>17783311.02</v>
      </c>
      <c r="G41" s="68">
        <v>17780547.579999998</v>
      </c>
      <c r="H41" s="68">
        <v>17686423.559999999</v>
      </c>
      <c r="I41" s="68">
        <v>17634409.02</v>
      </c>
      <c r="J41" s="68">
        <v>17442270.699999999</v>
      </c>
    </row>
    <row r="42" spans="3:10" s="65" customFormat="1" ht="19.7" customHeight="1" x14ac:dyDescent="0.2">
      <c r="C42" s="69" t="s">
        <v>289</v>
      </c>
      <c r="D42" s="69" t="s">
        <v>370</v>
      </c>
      <c r="E42" s="69" t="s">
        <v>369</v>
      </c>
      <c r="F42" s="68">
        <v>42852842.590000004</v>
      </c>
      <c r="G42" s="68">
        <v>42450969.710000001</v>
      </c>
      <c r="H42" s="68">
        <v>43188428.609999999</v>
      </c>
      <c r="I42" s="68">
        <v>42182908.409999996</v>
      </c>
      <c r="J42" s="68">
        <v>41575336.479999997</v>
      </c>
    </row>
    <row r="43" spans="3:10" s="65" customFormat="1" ht="19.7" customHeight="1" x14ac:dyDescent="0.2">
      <c r="C43" s="69" t="s">
        <v>289</v>
      </c>
      <c r="D43" s="69" t="s">
        <v>64</v>
      </c>
      <c r="E43" s="69" t="s">
        <v>368</v>
      </c>
      <c r="F43" s="68">
        <v>347149.06</v>
      </c>
      <c r="G43" s="68">
        <v>344878.16</v>
      </c>
      <c r="H43" s="68">
        <v>347745.49</v>
      </c>
      <c r="I43" s="68">
        <v>341468.43</v>
      </c>
      <c r="J43" s="68">
        <v>339441.76</v>
      </c>
    </row>
    <row r="44" spans="3:10" s="65" customFormat="1" ht="19.7" customHeight="1" x14ac:dyDescent="0.2">
      <c r="C44" s="69" t="s">
        <v>289</v>
      </c>
      <c r="D44" s="69" t="s">
        <v>65</v>
      </c>
      <c r="E44" s="69" t="s">
        <v>367</v>
      </c>
      <c r="F44" s="68">
        <v>8659222.8100000005</v>
      </c>
      <c r="G44" s="68">
        <v>8628148.4399999995</v>
      </c>
      <c r="H44" s="68">
        <v>8604950.8300000001</v>
      </c>
      <c r="I44" s="68">
        <v>8578492.9800000004</v>
      </c>
      <c r="J44" s="68">
        <v>8515013.3800000008</v>
      </c>
    </row>
    <row r="45" spans="3:10" s="65" customFormat="1" ht="19.7" customHeight="1" x14ac:dyDescent="0.2">
      <c r="C45" s="69" t="s">
        <v>289</v>
      </c>
      <c r="D45" s="69" t="s">
        <v>66</v>
      </c>
      <c r="E45" s="69" t="s">
        <v>366</v>
      </c>
      <c r="F45" s="68">
        <v>1295917.99</v>
      </c>
      <c r="G45" s="68">
        <v>1291224.1000000001</v>
      </c>
      <c r="H45" s="68">
        <v>1282767.49</v>
      </c>
      <c r="I45" s="68">
        <v>1277023.32</v>
      </c>
      <c r="J45" s="68">
        <v>1270161.3400000001</v>
      </c>
    </row>
    <row r="46" spans="3:10" s="65" customFormat="1" ht="19.7" customHeight="1" x14ac:dyDescent="0.2">
      <c r="C46" s="69" t="s">
        <v>289</v>
      </c>
      <c r="D46" s="69" t="s">
        <v>67</v>
      </c>
      <c r="E46" s="69" t="s">
        <v>365</v>
      </c>
      <c r="F46" s="68">
        <v>78005414.629999995</v>
      </c>
      <c r="G46" s="68">
        <v>77452439.099999994</v>
      </c>
      <c r="H46" s="68">
        <v>77668107.25</v>
      </c>
      <c r="I46" s="68">
        <v>77279604.340000004</v>
      </c>
      <c r="J46" s="68">
        <v>76742837.849999994</v>
      </c>
    </row>
    <row r="47" spans="3:10" s="65" customFormat="1" ht="19.7" customHeight="1" x14ac:dyDescent="0.2">
      <c r="C47" s="69" t="s">
        <v>289</v>
      </c>
      <c r="D47" s="69" t="s">
        <v>68</v>
      </c>
      <c r="E47" s="69" t="s">
        <v>364</v>
      </c>
      <c r="F47" s="68">
        <v>63838527.759999998</v>
      </c>
      <c r="G47" s="68">
        <v>63471202.840000004</v>
      </c>
      <c r="H47" s="68">
        <v>63989769.859999999</v>
      </c>
      <c r="I47" s="68">
        <v>63165215.729999997</v>
      </c>
      <c r="J47" s="68">
        <v>62687701.280000001</v>
      </c>
    </row>
    <row r="48" spans="3:10" s="65" customFormat="1" ht="19.7" customHeight="1" x14ac:dyDescent="0.2">
      <c r="C48" s="69" t="s">
        <v>289</v>
      </c>
      <c r="D48" s="69" t="s">
        <v>69</v>
      </c>
      <c r="E48" s="69" t="s">
        <v>363</v>
      </c>
      <c r="F48" s="68">
        <v>127741509.45999999</v>
      </c>
      <c r="G48" s="68">
        <v>126560825.91</v>
      </c>
      <c r="H48" s="68">
        <v>128251830.54000001</v>
      </c>
      <c r="I48" s="68">
        <v>125997304.03</v>
      </c>
      <c r="J48" s="68">
        <v>124616072.45</v>
      </c>
    </row>
    <row r="49" spans="3:10" s="65" customFormat="1" ht="19.7" customHeight="1" x14ac:dyDescent="0.2">
      <c r="C49" s="69" t="s">
        <v>289</v>
      </c>
      <c r="D49" s="69" t="s">
        <v>362</v>
      </c>
      <c r="E49" s="69" t="s">
        <v>361</v>
      </c>
      <c r="F49" s="68">
        <v>69741765.299999997</v>
      </c>
      <c r="G49" s="68">
        <v>69663159.709999993</v>
      </c>
      <c r="H49" s="68">
        <v>69642445.310000002</v>
      </c>
      <c r="I49" s="68">
        <v>69748039.650000006</v>
      </c>
      <c r="J49" s="68">
        <v>69161651.819999993</v>
      </c>
    </row>
    <row r="50" spans="3:10" s="65" customFormat="1" ht="19.7" customHeight="1" x14ac:dyDescent="0.2">
      <c r="C50" s="69" t="s">
        <v>289</v>
      </c>
      <c r="D50" s="69" t="s">
        <v>80</v>
      </c>
      <c r="E50" s="69" t="s">
        <v>360</v>
      </c>
      <c r="F50" s="68">
        <v>106976508.8</v>
      </c>
      <c r="G50" s="68">
        <v>106546000</v>
      </c>
      <c r="H50" s="68">
        <v>105202731.98999999</v>
      </c>
      <c r="I50" s="68">
        <v>104363537.56999999</v>
      </c>
      <c r="J50" s="68">
        <v>103456714.76000001</v>
      </c>
    </row>
    <row r="51" spans="3:10" s="65" customFormat="1" ht="19.7" customHeight="1" x14ac:dyDescent="0.2">
      <c r="C51" s="69" t="s">
        <v>289</v>
      </c>
      <c r="D51" s="69" t="s">
        <v>26</v>
      </c>
      <c r="E51" s="69" t="s">
        <v>359</v>
      </c>
      <c r="F51" s="68">
        <v>310648118.24000001</v>
      </c>
      <c r="G51" s="68">
        <v>307052476.05000001</v>
      </c>
      <c r="H51" s="68">
        <v>305961348.49000001</v>
      </c>
      <c r="I51" s="68">
        <v>300502117.94999999</v>
      </c>
      <c r="J51" s="68">
        <v>293521850.91000003</v>
      </c>
    </row>
    <row r="52" spans="3:10" s="65" customFormat="1" ht="19.7" customHeight="1" x14ac:dyDescent="0.2">
      <c r="C52" s="69" t="s">
        <v>289</v>
      </c>
      <c r="D52" s="69" t="s">
        <v>45</v>
      </c>
      <c r="E52" s="69" t="s">
        <v>358</v>
      </c>
      <c r="F52" s="68">
        <v>32889226.23</v>
      </c>
      <c r="G52" s="68">
        <v>32489921.84</v>
      </c>
      <c r="H52" s="68">
        <v>32357987.09</v>
      </c>
      <c r="I52" s="68">
        <v>32108199.890000001</v>
      </c>
      <c r="J52" s="68">
        <v>31826952.82</v>
      </c>
    </row>
    <row r="53" spans="3:10" s="65" customFormat="1" ht="19.7" customHeight="1" x14ac:dyDescent="0.2">
      <c r="C53" s="69" t="s">
        <v>289</v>
      </c>
      <c r="D53" s="69" t="s">
        <v>357</v>
      </c>
      <c r="E53" s="69" t="s">
        <v>356</v>
      </c>
      <c r="F53" s="68">
        <v>1247963.49</v>
      </c>
      <c r="G53" s="68">
        <v>1240131.3</v>
      </c>
      <c r="H53" s="68">
        <v>1244140.26</v>
      </c>
      <c r="I53" s="68">
        <v>1241367.21</v>
      </c>
      <c r="J53" s="68">
        <v>1230464.43</v>
      </c>
    </row>
    <row r="54" spans="3:10" s="65" customFormat="1" ht="19.7" customHeight="1" x14ac:dyDescent="0.2">
      <c r="C54" s="69" t="s">
        <v>289</v>
      </c>
      <c r="D54" s="69" t="s">
        <v>27</v>
      </c>
      <c r="E54" s="69" t="s">
        <v>355</v>
      </c>
      <c r="F54" s="68">
        <v>248167230.52000001</v>
      </c>
      <c r="G54" s="68">
        <v>244292840.77000001</v>
      </c>
      <c r="H54" s="68">
        <v>242203036.47</v>
      </c>
      <c r="I54" s="68">
        <v>238305018.81999999</v>
      </c>
      <c r="J54" s="68">
        <v>232703670.47</v>
      </c>
    </row>
    <row r="55" spans="3:10" s="65" customFormat="1" ht="19.7" customHeight="1" x14ac:dyDescent="0.2">
      <c r="C55" s="69" t="s">
        <v>289</v>
      </c>
      <c r="D55" s="69" t="s">
        <v>97</v>
      </c>
      <c r="E55" s="69" t="s">
        <v>354</v>
      </c>
      <c r="F55" s="68">
        <v>11366571.029999999</v>
      </c>
      <c r="G55" s="68">
        <v>11336520.060000001</v>
      </c>
      <c r="H55" s="68">
        <v>11326454.17</v>
      </c>
      <c r="I55" s="68">
        <v>11219209.890000001</v>
      </c>
      <c r="J55" s="68">
        <v>11124834.24</v>
      </c>
    </row>
    <row r="56" spans="3:10" s="65" customFormat="1" ht="19.7" customHeight="1" x14ac:dyDescent="0.2">
      <c r="C56" s="69" t="s">
        <v>289</v>
      </c>
      <c r="D56" s="69" t="s">
        <v>96</v>
      </c>
      <c r="E56" s="69" t="s">
        <v>353</v>
      </c>
      <c r="F56" s="68">
        <v>1731503680.3299999</v>
      </c>
      <c r="G56" s="68">
        <v>1725300806.55</v>
      </c>
      <c r="H56" s="68">
        <v>1741564000.1700001</v>
      </c>
      <c r="I56" s="68">
        <v>1707906705.3299999</v>
      </c>
      <c r="J56" s="68">
        <v>1690571140.3900001</v>
      </c>
    </row>
    <row r="57" spans="3:10" s="65" customFormat="1" ht="19.7" customHeight="1" x14ac:dyDescent="0.2">
      <c r="C57" s="69" t="s">
        <v>289</v>
      </c>
      <c r="D57" s="69" t="s">
        <v>81</v>
      </c>
      <c r="E57" s="69" t="s">
        <v>352</v>
      </c>
      <c r="F57" s="68">
        <v>323550.65000000002</v>
      </c>
      <c r="G57" s="68">
        <v>321902.01</v>
      </c>
      <c r="H57" s="68">
        <v>323801.82</v>
      </c>
      <c r="I57" s="68">
        <v>321001.84000000003</v>
      </c>
      <c r="J57" s="68">
        <v>318881.7</v>
      </c>
    </row>
    <row r="58" spans="3:10" s="65" customFormat="1" ht="19.7" customHeight="1" x14ac:dyDescent="0.2">
      <c r="C58" s="69" t="s">
        <v>289</v>
      </c>
      <c r="D58" s="69" t="s">
        <v>351</v>
      </c>
      <c r="E58" s="69" t="s">
        <v>350</v>
      </c>
      <c r="F58" s="68">
        <v>160876376.06999999</v>
      </c>
      <c r="G58" s="68">
        <v>158413562.5</v>
      </c>
      <c r="H58" s="68">
        <v>158704066.78</v>
      </c>
      <c r="I58" s="68">
        <v>158053900.78</v>
      </c>
      <c r="J58" s="68">
        <v>156028301.72999999</v>
      </c>
    </row>
    <row r="59" spans="3:10" s="65" customFormat="1" ht="19.7" customHeight="1" x14ac:dyDescent="0.2">
      <c r="C59" s="69" t="s">
        <v>289</v>
      </c>
      <c r="D59" s="69" t="s">
        <v>349</v>
      </c>
      <c r="E59" s="69" t="s">
        <v>348</v>
      </c>
      <c r="F59" s="68">
        <v>52572111.939999998</v>
      </c>
      <c r="G59" s="68">
        <v>52014691.579999998</v>
      </c>
      <c r="H59" s="68">
        <v>52478324.899999999</v>
      </c>
      <c r="I59" s="68">
        <v>52316238.560000002</v>
      </c>
      <c r="J59" s="68">
        <v>51951750.57</v>
      </c>
    </row>
    <row r="60" spans="3:10" s="65" customFormat="1" ht="19.7" customHeight="1" x14ac:dyDescent="0.2">
      <c r="C60" s="69" t="s">
        <v>289</v>
      </c>
      <c r="D60" s="69" t="s">
        <v>98</v>
      </c>
      <c r="E60" s="69" t="s">
        <v>347</v>
      </c>
      <c r="F60" s="68">
        <v>1738265397.8199999</v>
      </c>
      <c r="G60" s="68">
        <v>1716697784.28</v>
      </c>
      <c r="H60" s="68">
        <v>1730026281.54</v>
      </c>
      <c r="I60" s="68">
        <v>1677379625.4400001</v>
      </c>
      <c r="J60" s="68">
        <v>1653226050.3299999</v>
      </c>
    </row>
    <row r="61" spans="3:10" s="65" customFormat="1" ht="19.7" customHeight="1" x14ac:dyDescent="0.2">
      <c r="C61" s="69" t="s">
        <v>289</v>
      </c>
      <c r="D61" s="69" t="s">
        <v>28</v>
      </c>
      <c r="E61" s="69" t="s">
        <v>346</v>
      </c>
      <c r="F61" s="68">
        <v>390896850.75</v>
      </c>
      <c r="G61" s="68">
        <v>385925531.64999998</v>
      </c>
      <c r="H61" s="68">
        <v>383769783.23000002</v>
      </c>
      <c r="I61" s="68">
        <v>377449003.20999998</v>
      </c>
      <c r="J61" s="68">
        <v>371403574.37</v>
      </c>
    </row>
    <row r="62" spans="3:10" s="65" customFormat="1" ht="19.7" customHeight="1" x14ac:dyDescent="0.2">
      <c r="C62" s="69" t="s">
        <v>289</v>
      </c>
      <c r="D62" s="69" t="s">
        <v>345</v>
      </c>
      <c r="E62" s="69" t="s">
        <v>345</v>
      </c>
      <c r="F62" s="68">
        <v>14952546939.889999</v>
      </c>
      <c r="G62" s="68">
        <v>14839531755.25</v>
      </c>
      <c r="H62" s="68">
        <v>14853835921.67</v>
      </c>
      <c r="I62" s="68">
        <v>14641406560.33</v>
      </c>
      <c r="J62" s="68">
        <v>14521098667.18</v>
      </c>
    </row>
    <row r="63" spans="3:10" s="65" customFormat="1" ht="19.7" customHeight="1" x14ac:dyDescent="0.2">
      <c r="C63" s="69" t="s">
        <v>289</v>
      </c>
      <c r="D63" s="69" t="s">
        <v>344</v>
      </c>
      <c r="E63" s="69" t="s">
        <v>343</v>
      </c>
      <c r="F63" s="68">
        <v>85819799.819999993</v>
      </c>
      <c r="G63" s="68">
        <v>84837845.469999999</v>
      </c>
      <c r="H63" s="68">
        <v>84269905.150000006</v>
      </c>
      <c r="I63" s="68">
        <v>83044394.640000001</v>
      </c>
      <c r="J63" s="68">
        <v>81525122.109999999</v>
      </c>
    </row>
    <row r="64" spans="3:10" s="65" customFormat="1" ht="19.7" customHeight="1" x14ac:dyDescent="0.2">
      <c r="C64" s="69" t="s">
        <v>289</v>
      </c>
      <c r="D64" s="69" t="s">
        <v>256</v>
      </c>
      <c r="E64" s="69" t="s">
        <v>342</v>
      </c>
      <c r="F64" s="68">
        <v>24273815.52</v>
      </c>
      <c r="G64" s="68">
        <v>23993191.600000001</v>
      </c>
      <c r="H64" s="68">
        <v>24409151.27</v>
      </c>
      <c r="I64" s="68">
        <v>23585761.649999999</v>
      </c>
      <c r="J64" s="68">
        <v>23514487.699999999</v>
      </c>
    </row>
    <row r="65" spans="3:10" s="65" customFormat="1" ht="19.7" customHeight="1" x14ac:dyDescent="0.2">
      <c r="C65" s="69" t="s">
        <v>289</v>
      </c>
      <c r="D65" s="69" t="s">
        <v>341</v>
      </c>
      <c r="E65" s="69" t="s">
        <v>340</v>
      </c>
      <c r="F65" s="68">
        <v>307988785.70999998</v>
      </c>
      <c r="G65" s="68">
        <v>305635988.99000001</v>
      </c>
      <c r="H65" s="68">
        <v>305519294.76999998</v>
      </c>
      <c r="I65" s="68">
        <v>303288251.25999999</v>
      </c>
      <c r="J65" s="68">
        <v>298213713.75</v>
      </c>
    </row>
    <row r="66" spans="3:10" s="65" customFormat="1" ht="19.7" customHeight="1" x14ac:dyDescent="0.2">
      <c r="C66" s="69" t="s">
        <v>289</v>
      </c>
      <c r="D66" s="69" t="s">
        <v>8</v>
      </c>
      <c r="E66" s="69" t="s">
        <v>339</v>
      </c>
      <c r="F66" s="68">
        <v>39010533.460000001</v>
      </c>
      <c r="G66" s="68">
        <v>38885244.780000001</v>
      </c>
      <c r="H66" s="68">
        <v>39220401.689999998</v>
      </c>
      <c r="I66" s="68">
        <v>38919565.68</v>
      </c>
      <c r="J66" s="68">
        <v>38199406.039999999</v>
      </c>
    </row>
    <row r="67" spans="3:10" s="65" customFormat="1" ht="19.7" customHeight="1" x14ac:dyDescent="0.2">
      <c r="C67" s="69" t="s">
        <v>289</v>
      </c>
      <c r="D67" s="69" t="s">
        <v>338</v>
      </c>
      <c r="E67" s="69" t="s">
        <v>337</v>
      </c>
      <c r="F67" s="68">
        <v>161372957.34</v>
      </c>
      <c r="G67" s="68">
        <v>161182304.15000001</v>
      </c>
      <c r="H67" s="68">
        <v>160456641.5</v>
      </c>
      <c r="I67" s="68">
        <v>157650884.33000001</v>
      </c>
      <c r="J67" s="68">
        <v>156527171.34</v>
      </c>
    </row>
    <row r="68" spans="3:10" s="65" customFormat="1" ht="19.7" customHeight="1" x14ac:dyDescent="0.2">
      <c r="C68" s="69" t="s">
        <v>289</v>
      </c>
      <c r="D68" s="69" t="s">
        <v>9</v>
      </c>
      <c r="E68" s="69" t="s">
        <v>336</v>
      </c>
      <c r="F68" s="68">
        <v>94472417.430000007</v>
      </c>
      <c r="G68" s="68">
        <v>94344154.730000004</v>
      </c>
      <c r="H68" s="68">
        <v>94843490.370000005</v>
      </c>
      <c r="I68" s="68">
        <v>97119598.719999999</v>
      </c>
      <c r="J68" s="68">
        <v>97274532.420000002</v>
      </c>
    </row>
    <row r="69" spans="3:10" s="65" customFormat="1" ht="19.7" customHeight="1" x14ac:dyDescent="0.2">
      <c r="C69" s="69" t="s">
        <v>289</v>
      </c>
      <c r="D69" s="69" t="s">
        <v>10</v>
      </c>
      <c r="E69" s="69" t="s">
        <v>335</v>
      </c>
      <c r="F69" s="68">
        <v>101021941.11</v>
      </c>
      <c r="G69" s="68">
        <v>100985193.89</v>
      </c>
      <c r="H69" s="68">
        <v>100459694.45</v>
      </c>
      <c r="I69" s="68">
        <v>100110045.69</v>
      </c>
      <c r="J69" s="68">
        <v>100096487.83</v>
      </c>
    </row>
    <row r="70" spans="3:10" s="65" customFormat="1" ht="19.7" customHeight="1" x14ac:dyDescent="0.2">
      <c r="C70" s="69" t="s">
        <v>289</v>
      </c>
      <c r="D70" s="69" t="s">
        <v>82</v>
      </c>
      <c r="E70" s="69" t="s">
        <v>334</v>
      </c>
      <c r="F70" s="68">
        <v>21759239.370000001</v>
      </c>
      <c r="G70" s="68">
        <v>21597141.57</v>
      </c>
      <c r="H70" s="68">
        <v>21614402.789999999</v>
      </c>
      <c r="I70" s="68">
        <v>21332904.050000001</v>
      </c>
      <c r="J70" s="68">
        <v>21248595.890000001</v>
      </c>
    </row>
    <row r="71" spans="3:10" s="65" customFormat="1" ht="19.7" customHeight="1" x14ac:dyDescent="0.2">
      <c r="C71" s="69" t="s">
        <v>289</v>
      </c>
      <c r="D71" s="69" t="s">
        <v>83</v>
      </c>
      <c r="E71" s="69" t="s">
        <v>333</v>
      </c>
      <c r="F71" s="68">
        <v>3646184.43</v>
      </c>
      <c r="G71" s="68">
        <v>3622189.98</v>
      </c>
      <c r="H71" s="68">
        <v>3634875.18</v>
      </c>
      <c r="I71" s="68">
        <v>3569372.17</v>
      </c>
      <c r="J71" s="68">
        <v>3561504.65</v>
      </c>
    </row>
    <row r="72" spans="3:10" s="65" customFormat="1" ht="19.7" customHeight="1" x14ac:dyDescent="0.2">
      <c r="C72" s="69" t="s">
        <v>289</v>
      </c>
      <c r="D72" s="69" t="s">
        <v>332</v>
      </c>
      <c r="E72" s="69" t="s">
        <v>331</v>
      </c>
      <c r="F72" s="68">
        <v>5.73</v>
      </c>
      <c r="G72" s="68">
        <v>5.73</v>
      </c>
      <c r="H72" s="68">
        <v>3.73</v>
      </c>
      <c r="I72" s="68">
        <v>3.73</v>
      </c>
      <c r="J72" s="68">
        <v>3.73</v>
      </c>
    </row>
    <row r="73" spans="3:10" s="65" customFormat="1" ht="19.7" customHeight="1" x14ac:dyDescent="0.2">
      <c r="C73" s="69" t="s">
        <v>289</v>
      </c>
      <c r="D73" s="69" t="s">
        <v>330</v>
      </c>
      <c r="E73" s="69" t="s">
        <v>329</v>
      </c>
      <c r="F73" s="68">
        <v>163352.19</v>
      </c>
      <c r="G73" s="68">
        <v>160213.65</v>
      </c>
      <c r="H73" s="68">
        <v>159990.42000000001</v>
      </c>
      <c r="I73" s="68">
        <v>158242.56</v>
      </c>
      <c r="J73" s="68">
        <v>156606.10999999999</v>
      </c>
    </row>
    <row r="74" spans="3:10" s="65" customFormat="1" ht="19.7" customHeight="1" x14ac:dyDescent="0.2">
      <c r="C74" s="69" t="s">
        <v>289</v>
      </c>
      <c r="D74" s="69" t="s">
        <v>328</v>
      </c>
      <c r="E74" s="69" t="s">
        <v>327</v>
      </c>
      <c r="F74" s="68">
        <v>161701.13</v>
      </c>
      <c r="G74" s="68">
        <v>160071.57999999999</v>
      </c>
      <c r="H74" s="68">
        <v>159786.41</v>
      </c>
      <c r="I74" s="68">
        <v>158835.47</v>
      </c>
      <c r="J74" s="68">
        <v>156937.69</v>
      </c>
    </row>
    <row r="75" spans="3:10" s="65" customFormat="1" ht="19.7" customHeight="1" x14ac:dyDescent="0.2">
      <c r="C75" s="69" t="s">
        <v>289</v>
      </c>
      <c r="D75" s="69" t="s">
        <v>326</v>
      </c>
      <c r="E75" s="69" t="s">
        <v>325</v>
      </c>
      <c r="F75" s="68">
        <v>45478.3</v>
      </c>
      <c r="G75" s="68">
        <v>45294.06</v>
      </c>
      <c r="H75" s="68">
        <v>45457.82</v>
      </c>
      <c r="I75" s="68">
        <v>45390.68</v>
      </c>
      <c r="J75" s="68">
        <v>44946.89</v>
      </c>
    </row>
    <row r="76" spans="3:10" s="65" customFormat="1" ht="19.7" customHeight="1" x14ac:dyDescent="0.2">
      <c r="C76" s="69" t="s">
        <v>289</v>
      </c>
      <c r="D76" s="69" t="s">
        <v>324</v>
      </c>
      <c r="E76" s="69" t="s">
        <v>323</v>
      </c>
      <c r="F76" s="68">
        <v>648298617.5</v>
      </c>
      <c r="G76" s="68">
        <v>640660736.63999999</v>
      </c>
      <c r="H76" s="68">
        <v>648941925.41999996</v>
      </c>
      <c r="I76" s="68">
        <v>643753314.69000006</v>
      </c>
      <c r="J76" s="68">
        <v>630311283.84000003</v>
      </c>
    </row>
    <row r="77" spans="3:10" s="65" customFormat="1" ht="19.7" customHeight="1" x14ac:dyDescent="0.2">
      <c r="C77" s="69" t="s">
        <v>289</v>
      </c>
      <c r="D77" s="69" t="s">
        <v>322</v>
      </c>
      <c r="E77" s="69" t="s">
        <v>321</v>
      </c>
      <c r="F77" s="68">
        <v>3079551.85</v>
      </c>
      <c r="G77" s="68">
        <v>3042698.07</v>
      </c>
      <c r="H77" s="68">
        <v>3010726.81</v>
      </c>
      <c r="I77" s="68">
        <v>2995715.74</v>
      </c>
      <c r="J77" s="68">
        <v>2916746.44</v>
      </c>
    </row>
    <row r="78" spans="3:10" s="65" customFormat="1" ht="19.7" customHeight="1" x14ac:dyDescent="0.2">
      <c r="C78" s="69" t="s">
        <v>289</v>
      </c>
      <c r="D78" s="69" t="s">
        <v>245</v>
      </c>
      <c r="E78" s="69" t="s">
        <v>320</v>
      </c>
      <c r="F78" s="68">
        <v>730710980.12</v>
      </c>
      <c r="G78" s="68">
        <v>727102786.29999995</v>
      </c>
      <c r="H78" s="68">
        <v>730610094.91999996</v>
      </c>
      <c r="I78" s="68">
        <v>710546376.21000004</v>
      </c>
      <c r="J78" s="68">
        <v>709395971.32000005</v>
      </c>
    </row>
    <row r="79" spans="3:10" s="65" customFormat="1" ht="19.7" customHeight="1" x14ac:dyDescent="0.2">
      <c r="C79" s="69" t="s">
        <v>289</v>
      </c>
      <c r="D79" s="69" t="s">
        <v>247</v>
      </c>
      <c r="E79" s="69" t="s">
        <v>319</v>
      </c>
      <c r="F79" s="68">
        <v>2736467.73</v>
      </c>
      <c r="G79" s="68">
        <v>2722747.45</v>
      </c>
      <c r="H79" s="68">
        <v>2787067.16</v>
      </c>
      <c r="I79" s="68">
        <v>2694314.73</v>
      </c>
      <c r="J79" s="68">
        <v>2669302.89</v>
      </c>
    </row>
    <row r="80" spans="3:10" s="65" customFormat="1" ht="19.7" customHeight="1" x14ac:dyDescent="0.2">
      <c r="C80" s="69" t="s">
        <v>289</v>
      </c>
      <c r="D80" s="69" t="s">
        <v>318</v>
      </c>
      <c r="E80" s="69" t="s">
        <v>317</v>
      </c>
      <c r="F80" s="68">
        <v>223879647.09</v>
      </c>
      <c r="G80" s="68">
        <v>220889912.46000001</v>
      </c>
      <c r="H80" s="68">
        <v>223855738.59</v>
      </c>
      <c r="I80" s="68">
        <v>216025277.33000001</v>
      </c>
      <c r="J80" s="68">
        <v>215060001</v>
      </c>
    </row>
    <row r="81" spans="3:10" s="65" customFormat="1" ht="19.7" customHeight="1" x14ac:dyDescent="0.2">
      <c r="C81" s="69" t="s">
        <v>289</v>
      </c>
      <c r="D81" s="69" t="s">
        <v>246</v>
      </c>
      <c r="E81" s="69" t="s">
        <v>316</v>
      </c>
      <c r="F81" s="68">
        <v>134928363.27000001</v>
      </c>
      <c r="G81" s="68">
        <v>133421301.76000001</v>
      </c>
      <c r="H81" s="68">
        <v>134243948.58000001</v>
      </c>
      <c r="I81" s="68">
        <v>130939792.69</v>
      </c>
      <c r="J81" s="68">
        <v>129262470.84999999</v>
      </c>
    </row>
    <row r="82" spans="3:10" s="65" customFormat="1" ht="19.7" customHeight="1" x14ac:dyDescent="0.2">
      <c r="C82" s="69" t="s">
        <v>289</v>
      </c>
      <c r="D82" s="69" t="s">
        <v>315</v>
      </c>
      <c r="E82" s="69" t="s">
        <v>314</v>
      </c>
      <c r="F82" s="68">
        <v>125824139.04000001</v>
      </c>
      <c r="G82" s="68">
        <v>125031521.83</v>
      </c>
      <c r="H82" s="68">
        <v>128139443.94</v>
      </c>
      <c r="I82" s="68">
        <v>126998029.54000001</v>
      </c>
      <c r="J82" s="68">
        <v>121264715.95</v>
      </c>
    </row>
    <row r="83" spans="3:10" s="65" customFormat="1" ht="19.7" customHeight="1" x14ac:dyDescent="0.2">
      <c r="C83" s="69" t="s">
        <v>289</v>
      </c>
      <c r="D83" s="69" t="s">
        <v>313</v>
      </c>
      <c r="E83" s="69" t="s">
        <v>312</v>
      </c>
      <c r="F83" s="68">
        <v>1820979.66</v>
      </c>
      <c r="G83" s="68">
        <v>1958753.86</v>
      </c>
      <c r="H83" s="68">
        <v>2128770.3199999998</v>
      </c>
      <c r="I83" s="68">
        <v>3050131.1</v>
      </c>
      <c r="J83" s="68">
        <v>3111396.22</v>
      </c>
    </row>
    <row r="84" spans="3:10" s="65" customFormat="1" ht="19.7" customHeight="1" x14ac:dyDescent="0.2">
      <c r="C84" s="69" t="s">
        <v>289</v>
      </c>
      <c r="D84" s="69" t="s">
        <v>311</v>
      </c>
      <c r="E84" s="69" t="s">
        <v>310</v>
      </c>
      <c r="F84" s="68">
        <v>31161688.370000001</v>
      </c>
      <c r="G84" s="68">
        <v>30525545.600000001</v>
      </c>
      <c r="H84" s="68">
        <v>30579796.66</v>
      </c>
      <c r="I84" s="68">
        <v>29124761.739999998</v>
      </c>
      <c r="J84" s="68">
        <v>29416056.82</v>
      </c>
    </row>
    <row r="85" spans="3:10" s="65" customFormat="1" ht="19.7" customHeight="1" x14ac:dyDescent="0.2">
      <c r="C85" s="69" t="s">
        <v>289</v>
      </c>
      <c r="D85" s="69" t="s">
        <v>309</v>
      </c>
      <c r="E85" s="69" t="s">
        <v>308</v>
      </c>
      <c r="F85" s="68">
        <v>15580149.630000001</v>
      </c>
      <c r="G85" s="68">
        <v>15938349.779999999</v>
      </c>
      <c r="H85" s="68">
        <v>16103983.539999999</v>
      </c>
      <c r="I85" s="68">
        <v>16283462.48</v>
      </c>
      <c r="J85" s="68">
        <v>16274512.93</v>
      </c>
    </row>
    <row r="86" spans="3:10" s="65" customFormat="1" ht="19.7" customHeight="1" x14ac:dyDescent="0.2">
      <c r="C86" s="69" t="s">
        <v>289</v>
      </c>
      <c r="D86" s="69" t="s">
        <v>307</v>
      </c>
      <c r="E86" s="69" t="s">
        <v>306</v>
      </c>
      <c r="F86" s="68">
        <v>5121864.32</v>
      </c>
      <c r="G86" s="68">
        <v>5021011.41</v>
      </c>
      <c r="H86" s="68">
        <v>5021914.4800000004</v>
      </c>
      <c r="I86" s="68">
        <v>4669809.6100000003</v>
      </c>
      <c r="J86" s="68">
        <v>4731394.17</v>
      </c>
    </row>
    <row r="87" spans="3:10" s="65" customFormat="1" ht="19.7" customHeight="1" x14ac:dyDescent="0.2">
      <c r="C87" s="69" t="s">
        <v>289</v>
      </c>
      <c r="D87" s="69" t="s">
        <v>17</v>
      </c>
      <c r="E87" s="69" t="s">
        <v>305</v>
      </c>
      <c r="F87" s="68">
        <v>38423647.469999999</v>
      </c>
      <c r="G87" s="68">
        <v>37953142.020000003</v>
      </c>
      <c r="H87" s="68">
        <v>37569696.490000002</v>
      </c>
      <c r="I87" s="68">
        <v>36997662.530000001</v>
      </c>
      <c r="J87" s="68">
        <v>36370796.609999999</v>
      </c>
    </row>
    <row r="88" spans="3:10" s="65" customFormat="1" ht="19.7" customHeight="1" x14ac:dyDescent="0.2">
      <c r="C88" s="69" t="s">
        <v>289</v>
      </c>
      <c r="D88" s="69" t="s">
        <v>18</v>
      </c>
      <c r="E88" s="69" t="s">
        <v>304</v>
      </c>
      <c r="F88" s="68">
        <v>337590303.19</v>
      </c>
      <c r="G88" s="68">
        <v>334001550.99000001</v>
      </c>
      <c r="H88" s="68">
        <v>330750118.56999999</v>
      </c>
      <c r="I88" s="68">
        <v>325721053.99000001</v>
      </c>
      <c r="J88" s="68">
        <v>319727159.60000002</v>
      </c>
    </row>
    <row r="89" spans="3:10" s="65" customFormat="1" ht="19.7" customHeight="1" x14ac:dyDescent="0.2">
      <c r="C89" s="69" t="s">
        <v>289</v>
      </c>
      <c r="D89" s="69" t="s">
        <v>19</v>
      </c>
      <c r="E89" s="69" t="s">
        <v>303</v>
      </c>
      <c r="F89" s="68">
        <v>28420033.440000001</v>
      </c>
      <c r="G89" s="68">
        <v>28077439.93</v>
      </c>
      <c r="H89" s="68">
        <v>27849270.82</v>
      </c>
      <c r="I89" s="68">
        <v>27433494.809999999</v>
      </c>
      <c r="J89" s="68">
        <v>26877984.66</v>
      </c>
    </row>
    <row r="90" spans="3:10" s="65" customFormat="1" ht="19.7" customHeight="1" x14ac:dyDescent="0.2">
      <c r="C90" s="69" t="s">
        <v>289</v>
      </c>
      <c r="D90" s="69" t="s">
        <v>20</v>
      </c>
      <c r="E90" s="69" t="s">
        <v>302</v>
      </c>
      <c r="F90" s="68">
        <v>902541729.67999995</v>
      </c>
      <c r="G90" s="68">
        <v>891744751.24000001</v>
      </c>
      <c r="H90" s="68">
        <v>887681500</v>
      </c>
      <c r="I90" s="68">
        <v>871861005.42999995</v>
      </c>
      <c r="J90" s="68">
        <v>854374862.02999997</v>
      </c>
    </row>
    <row r="91" spans="3:10" s="65" customFormat="1" ht="19.7" customHeight="1" x14ac:dyDescent="0.2">
      <c r="C91" s="69" t="s">
        <v>289</v>
      </c>
      <c r="D91" s="69" t="s">
        <v>21</v>
      </c>
      <c r="E91" s="69" t="s">
        <v>301</v>
      </c>
      <c r="F91" s="68">
        <v>562371403.16999996</v>
      </c>
      <c r="G91" s="68">
        <v>554521713.78999996</v>
      </c>
      <c r="H91" s="68">
        <v>553776522.82000005</v>
      </c>
      <c r="I91" s="68">
        <v>543210075.88999999</v>
      </c>
      <c r="J91" s="68">
        <v>532060522.87</v>
      </c>
    </row>
    <row r="92" spans="3:10" s="65" customFormat="1" ht="19.7" customHeight="1" x14ac:dyDescent="0.2">
      <c r="C92" s="69" t="s">
        <v>289</v>
      </c>
      <c r="D92" s="69" t="s">
        <v>47</v>
      </c>
      <c r="E92" s="69" t="s">
        <v>300</v>
      </c>
      <c r="F92" s="68">
        <v>8426914.3399999999</v>
      </c>
      <c r="G92" s="68">
        <v>8377974.7699999996</v>
      </c>
      <c r="H92" s="68">
        <v>8320466.25</v>
      </c>
      <c r="I92" s="68">
        <v>8070210.9400000004</v>
      </c>
      <c r="J92" s="68">
        <v>8025696.2699999996</v>
      </c>
    </row>
    <row r="93" spans="3:10" s="65" customFormat="1" ht="19.7" customHeight="1" x14ac:dyDescent="0.2">
      <c r="C93" s="69" t="s">
        <v>289</v>
      </c>
      <c r="D93" s="69" t="s">
        <v>85</v>
      </c>
      <c r="E93" s="69" t="s">
        <v>299</v>
      </c>
      <c r="F93" s="68">
        <v>11987005.390000001</v>
      </c>
      <c r="G93" s="68">
        <v>11831777.66</v>
      </c>
      <c r="H93" s="68">
        <v>11856641.23</v>
      </c>
      <c r="I93" s="68">
        <v>11672027.779999999</v>
      </c>
      <c r="J93" s="68">
        <v>11512327.1</v>
      </c>
    </row>
    <row r="94" spans="3:10" s="65" customFormat="1" ht="19.7" customHeight="1" x14ac:dyDescent="0.2">
      <c r="C94" s="69" t="s">
        <v>289</v>
      </c>
      <c r="D94" s="69" t="s">
        <v>86</v>
      </c>
      <c r="E94" s="69" t="s">
        <v>298</v>
      </c>
      <c r="F94" s="68">
        <v>19327592.030000001</v>
      </c>
      <c r="G94" s="68">
        <v>19148377.239999998</v>
      </c>
      <c r="H94" s="68">
        <v>19220006.73</v>
      </c>
      <c r="I94" s="68">
        <v>18959728.609999999</v>
      </c>
      <c r="J94" s="68">
        <v>18776486.640000001</v>
      </c>
    </row>
    <row r="95" spans="3:10" s="65" customFormat="1" ht="19.7" customHeight="1" x14ac:dyDescent="0.2">
      <c r="C95" s="69" t="s">
        <v>289</v>
      </c>
      <c r="D95" s="69" t="s">
        <v>87</v>
      </c>
      <c r="E95" s="69" t="s">
        <v>297</v>
      </c>
      <c r="F95" s="68">
        <v>29449557.66</v>
      </c>
      <c r="G95" s="68">
        <v>29321991.559999999</v>
      </c>
      <c r="H95" s="68">
        <v>29161654.780000001</v>
      </c>
      <c r="I95" s="68">
        <v>29010164.34</v>
      </c>
      <c r="J95" s="68">
        <v>28805368.52</v>
      </c>
    </row>
    <row r="96" spans="3:10" s="65" customFormat="1" ht="19.7" customHeight="1" x14ac:dyDescent="0.2">
      <c r="C96" s="69" t="s">
        <v>289</v>
      </c>
      <c r="D96" s="69" t="s">
        <v>89</v>
      </c>
      <c r="E96" s="69" t="s">
        <v>296</v>
      </c>
      <c r="F96" s="68">
        <v>21551356.93</v>
      </c>
      <c r="G96" s="68">
        <v>21275649.649999999</v>
      </c>
      <c r="H96" s="68">
        <v>21042546.640000001</v>
      </c>
      <c r="I96" s="68">
        <v>20527725.079999998</v>
      </c>
      <c r="J96" s="68">
        <v>20282164.609999999</v>
      </c>
    </row>
    <row r="97" spans="3:10" s="65" customFormat="1" ht="19.7" customHeight="1" x14ac:dyDescent="0.2">
      <c r="C97" s="69" t="s">
        <v>289</v>
      </c>
      <c r="D97" s="69" t="s">
        <v>244</v>
      </c>
      <c r="E97" s="69" t="s">
        <v>295</v>
      </c>
      <c r="F97" s="68">
        <v>1702705516.8199999</v>
      </c>
      <c r="G97" s="68">
        <v>1694663782.02</v>
      </c>
      <c r="H97" s="68">
        <v>1714479512.27</v>
      </c>
      <c r="I97" s="68">
        <v>1690151238.6300001</v>
      </c>
      <c r="J97" s="68">
        <v>1677318111.71</v>
      </c>
    </row>
    <row r="98" spans="3:10" s="65" customFormat="1" ht="19.7" customHeight="1" x14ac:dyDescent="0.2">
      <c r="C98" s="69" t="s">
        <v>289</v>
      </c>
      <c r="D98" s="69" t="s">
        <v>271</v>
      </c>
      <c r="E98" s="69" t="s">
        <v>294</v>
      </c>
      <c r="F98" s="68">
        <v>119176166.62</v>
      </c>
      <c r="G98" s="68">
        <v>118912041.69</v>
      </c>
      <c r="H98" s="68">
        <v>120186428.31</v>
      </c>
      <c r="I98" s="68">
        <v>118553084.73999999</v>
      </c>
      <c r="J98" s="68">
        <v>117344046.45999999</v>
      </c>
    </row>
    <row r="99" spans="3:10" s="65" customFormat="1" ht="19.7" customHeight="1" x14ac:dyDescent="0.2">
      <c r="C99" s="69" t="s">
        <v>289</v>
      </c>
      <c r="D99" s="69" t="s">
        <v>90</v>
      </c>
      <c r="E99" s="69" t="s">
        <v>293</v>
      </c>
      <c r="F99" s="68">
        <v>391741.44</v>
      </c>
      <c r="G99" s="68">
        <v>389719.28</v>
      </c>
      <c r="H99" s="68">
        <v>391958.17</v>
      </c>
      <c r="I99" s="68">
        <v>386313.08</v>
      </c>
      <c r="J99" s="68">
        <v>384275.18</v>
      </c>
    </row>
    <row r="100" spans="3:10" s="65" customFormat="1" ht="19.7" customHeight="1" x14ac:dyDescent="0.2">
      <c r="C100" s="69" t="s">
        <v>289</v>
      </c>
      <c r="D100" s="69" t="s">
        <v>272</v>
      </c>
      <c r="E100" s="69" t="s">
        <v>292</v>
      </c>
      <c r="F100" s="68">
        <v>191878045.97</v>
      </c>
      <c r="G100" s="68">
        <v>190997414.88</v>
      </c>
      <c r="H100" s="68">
        <v>192212396.28</v>
      </c>
      <c r="I100" s="68">
        <v>189984725.11000001</v>
      </c>
      <c r="J100" s="68">
        <v>187815779.90000001</v>
      </c>
    </row>
    <row r="101" spans="3:10" s="65" customFormat="1" ht="19.7" customHeight="1" x14ac:dyDescent="0.2">
      <c r="C101" s="69" t="s">
        <v>289</v>
      </c>
      <c r="D101" s="69" t="s">
        <v>91</v>
      </c>
      <c r="E101" s="69" t="s">
        <v>291</v>
      </c>
      <c r="F101" s="68">
        <v>16394090.09</v>
      </c>
      <c r="G101" s="68">
        <v>16249643.039999999</v>
      </c>
      <c r="H101" s="68">
        <v>16243093.32</v>
      </c>
      <c r="I101" s="68">
        <v>15954341.33</v>
      </c>
      <c r="J101" s="68">
        <v>15792068.039999999</v>
      </c>
    </row>
    <row r="102" spans="3:10" s="65" customFormat="1" ht="19.7" customHeight="1" x14ac:dyDescent="0.2">
      <c r="C102" s="69" t="s">
        <v>289</v>
      </c>
      <c r="D102" s="69" t="s">
        <v>94</v>
      </c>
      <c r="E102" s="69" t="s">
        <v>290</v>
      </c>
      <c r="F102" s="68">
        <v>18156478.789999999</v>
      </c>
      <c r="G102" s="68">
        <v>18028163.510000002</v>
      </c>
      <c r="H102" s="68">
        <v>17887927.52</v>
      </c>
      <c r="I102" s="68">
        <v>17683525.100000001</v>
      </c>
      <c r="J102" s="68">
        <v>17499202.190000001</v>
      </c>
    </row>
    <row r="103" spans="3:10" s="65" customFormat="1" ht="19.7" customHeight="1" x14ac:dyDescent="0.2">
      <c r="C103" s="69" t="s">
        <v>289</v>
      </c>
      <c r="D103" s="69" t="s">
        <v>262</v>
      </c>
      <c r="E103" s="69" t="s">
        <v>288</v>
      </c>
      <c r="F103" s="68">
        <v>662016906.19000006</v>
      </c>
      <c r="G103" s="68">
        <v>659297969.19000006</v>
      </c>
      <c r="H103" s="68">
        <v>667753477.32000005</v>
      </c>
      <c r="I103" s="68">
        <v>657477038.64999998</v>
      </c>
      <c r="J103" s="68">
        <v>650966057.5</v>
      </c>
    </row>
    <row r="104" spans="3:10" s="65" customFormat="1" ht="19.149999999999999" customHeight="1" x14ac:dyDescent="0.2">
      <c r="C104" s="67"/>
      <c r="D104" s="67"/>
      <c r="E104" s="67"/>
      <c r="F104" s="66">
        <v>31153798267.830002</v>
      </c>
      <c r="G104" s="66">
        <v>30907727368.110001</v>
      </c>
      <c r="H104" s="66">
        <v>30976313664.720001</v>
      </c>
      <c r="I104" s="66">
        <v>30485949420.419998</v>
      </c>
      <c r="J104" s="66">
        <v>30169867347.209999</v>
      </c>
    </row>
    <row r="105" spans="3:10" s="65" customFormat="1" ht="28.7" customHeight="1" x14ac:dyDescent="0.2"/>
  </sheetData>
  <mergeCells count="1">
    <mergeCell ref="B2:E2"/>
  </mergeCells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2"/>
  <sheetViews>
    <sheetView workbookViewId="0">
      <selection activeCell="B10" sqref="B10"/>
    </sheetView>
  </sheetViews>
  <sheetFormatPr defaultRowHeight="15" x14ac:dyDescent="0.25"/>
  <cols>
    <col min="2" max="2" width="18" bestFit="1" customWidth="1"/>
  </cols>
  <sheetData>
    <row r="1" spans="1:2" x14ac:dyDescent="0.25">
      <c r="A1" s="33" t="s">
        <v>48</v>
      </c>
      <c r="B1" s="33">
        <v>255416021.44999999</v>
      </c>
    </row>
    <row r="2" spans="1:2" x14ac:dyDescent="0.25">
      <c r="A2" s="41" t="s">
        <v>49</v>
      </c>
      <c r="B2" s="35">
        <v>43187870.170000002</v>
      </c>
    </row>
    <row r="3" spans="1:2" x14ac:dyDescent="0.25">
      <c r="A3" s="41" t="s">
        <v>50</v>
      </c>
      <c r="B3" s="35">
        <v>29456389.469999999</v>
      </c>
    </row>
    <row r="4" spans="1:2" x14ac:dyDescent="0.25">
      <c r="A4" s="41" t="s">
        <v>95</v>
      </c>
      <c r="B4" s="35">
        <v>120958948.03</v>
      </c>
    </row>
    <row r="5" spans="1:2" x14ac:dyDescent="0.25">
      <c r="A5" s="41" t="s">
        <v>2</v>
      </c>
      <c r="B5" s="35">
        <v>998506.07</v>
      </c>
    </row>
    <row r="6" spans="1:2" x14ac:dyDescent="0.25">
      <c r="A6" s="41" t="s">
        <v>3</v>
      </c>
      <c r="B6" s="35">
        <v>196230</v>
      </c>
    </row>
    <row r="7" spans="1:2" x14ac:dyDescent="0.25">
      <c r="A7" s="41" t="s">
        <v>29</v>
      </c>
      <c r="B7" s="35">
        <v>220249707.81999999</v>
      </c>
    </row>
    <row r="8" spans="1:2" x14ac:dyDescent="0.25">
      <c r="A8" s="41" t="s">
        <v>269</v>
      </c>
      <c r="B8" s="35">
        <v>84104110.409999996</v>
      </c>
    </row>
    <row r="9" spans="1:2" x14ac:dyDescent="0.25">
      <c r="A9" s="41" t="s">
        <v>140</v>
      </c>
      <c r="B9" s="35">
        <v>222609180.61000001</v>
      </c>
    </row>
    <row r="10" spans="1:2" x14ac:dyDescent="0.25">
      <c r="A10" s="41" t="s">
        <v>4</v>
      </c>
      <c r="B10" s="35">
        <v>2649</v>
      </c>
    </row>
    <row r="11" spans="1:2" x14ac:dyDescent="0.25">
      <c r="A11" s="41" t="s">
        <v>5</v>
      </c>
      <c r="B11" s="35">
        <v>76920</v>
      </c>
    </row>
    <row r="12" spans="1:2" x14ac:dyDescent="0.25">
      <c r="A12" s="41" t="s">
        <v>30</v>
      </c>
      <c r="B12" s="35">
        <v>471581071.05000001</v>
      </c>
    </row>
    <row r="13" spans="1:2" x14ac:dyDescent="0.25">
      <c r="A13" s="41" t="s">
        <v>270</v>
      </c>
      <c r="B13" s="35">
        <v>90880024.409999996</v>
      </c>
    </row>
    <row r="14" spans="1:2" x14ac:dyDescent="0.25">
      <c r="A14" s="41" t="s">
        <v>141</v>
      </c>
      <c r="B14" s="35">
        <v>344047360.69999999</v>
      </c>
    </row>
    <row r="15" spans="1:2" x14ac:dyDescent="0.25">
      <c r="A15" s="41" t="s">
        <v>6</v>
      </c>
      <c r="B15" s="35">
        <v>33771</v>
      </c>
    </row>
    <row r="16" spans="1:2" x14ac:dyDescent="0.25">
      <c r="A16" s="41" t="s">
        <v>7</v>
      </c>
      <c r="B16" s="35">
        <v>23564</v>
      </c>
    </row>
    <row r="17" spans="1:2" x14ac:dyDescent="0.25">
      <c r="A17" s="41" t="s">
        <v>55</v>
      </c>
      <c r="B17" s="35">
        <v>1900281.52</v>
      </c>
    </row>
    <row r="18" spans="1:2" x14ac:dyDescent="0.25">
      <c r="A18" s="41" t="s">
        <v>56</v>
      </c>
      <c r="B18" s="35">
        <v>24490730.719999999</v>
      </c>
    </row>
    <row r="19" spans="1:2" x14ac:dyDescent="0.25">
      <c r="A19" s="41" t="s">
        <v>57</v>
      </c>
      <c r="B19" s="35">
        <v>753286.9</v>
      </c>
    </row>
    <row r="20" spans="1:2" x14ac:dyDescent="0.25">
      <c r="A20" s="41" t="s">
        <v>103</v>
      </c>
      <c r="B20" s="35">
        <v>10620707.08</v>
      </c>
    </row>
    <row r="21" spans="1:2" x14ac:dyDescent="0.25">
      <c r="A21" s="41" t="s">
        <v>104</v>
      </c>
      <c r="B21" s="35">
        <v>61930140.640000001</v>
      </c>
    </row>
    <row r="22" spans="1:2" x14ac:dyDescent="0.25">
      <c r="A22" s="41" t="s">
        <v>105</v>
      </c>
      <c r="B22" s="35">
        <v>138997084.47</v>
      </c>
    </row>
    <row r="23" spans="1:2" x14ac:dyDescent="0.25">
      <c r="A23" s="41" t="s">
        <v>106</v>
      </c>
      <c r="B23" s="35">
        <v>298754800.23000002</v>
      </c>
    </row>
    <row r="24" spans="1:2" x14ac:dyDescent="0.25">
      <c r="A24" s="41" t="s">
        <v>107</v>
      </c>
      <c r="B24" s="35">
        <v>270621982.85999995</v>
      </c>
    </row>
    <row r="25" spans="1:2" x14ac:dyDescent="0.25">
      <c r="A25" s="41" t="s">
        <v>108</v>
      </c>
      <c r="B25" s="35">
        <v>77666658.329999998</v>
      </c>
    </row>
    <row r="26" spans="1:2" x14ac:dyDescent="0.25">
      <c r="A26" s="41" t="s">
        <v>109</v>
      </c>
      <c r="B26" s="35">
        <v>147317812.90000001</v>
      </c>
    </row>
    <row r="27" spans="1:2" x14ac:dyDescent="0.25">
      <c r="A27" s="41" t="s">
        <v>99</v>
      </c>
      <c r="B27" s="35">
        <v>59172553.030000001</v>
      </c>
    </row>
    <row r="28" spans="1:2" x14ac:dyDescent="0.25">
      <c r="A28" s="41" t="s">
        <v>100</v>
      </c>
      <c r="B28" s="37">
        <v>87281872.019999996</v>
      </c>
    </row>
    <row r="29" spans="1:2" x14ac:dyDescent="0.25">
      <c r="A29" s="41" t="s">
        <v>101</v>
      </c>
      <c r="B29" s="37">
        <v>308597967.65000004</v>
      </c>
    </row>
    <row r="30" spans="1:2" x14ac:dyDescent="0.25">
      <c r="A30" s="41" t="s">
        <v>102</v>
      </c>
      <c r="B30" s="35">
        <v>70934553.069999993</v>
      </c>
    </row>
    <row r="31" spans="1:2" x14ac:dyDescent="0.25">
      <c r="A31" s="42" t="s">
        <v>259</v>
      </c>
      <c r="B31" s="7">
        <v>17997931841</v>
      </c>
    </row>
    <row r="32" spans="1:2" x14ac:dyDescent="0.25">
      <c r="A32" s="42" t="s">
        <v>31</v>
      </c>
      <c r="B32" s="35">
        <v>1466833</v>
      </c>
    </row>
    <row r="33" spans="1:2" x14ac:dyDescent="0.25">
      <c r="A33" s="41" t="s">
        <v>32</v>
      </c>
      <c r="B33" s="35">
        <v>270213.37</v>
      </c>
    </row>
    <row r="34" spans="1:2" x14ac:dyDescent="0.25">
      <c r="A34" s="41" t="s">
        <v>33</v>
      </c>
      <c r="B34" s="35">
        <v>5095844.18</v>
      </c>
    </row>
    <row r="35" spans="1:2" x14ac:dyDescent="0.25">
      <c r="A35" s="41" t="s">
        <v>34</v>
      </c>
      <c r="B35" s="35">
        <v>193816.34</v>
      </c>
    </row>
    <row r="36" spans="1:2" x14ac:dyDescent="0.25">
      <c r="A36" s="41" t="s">
        <v>35</v>
      </c>
      <c r="B36" s="35">
        <v>365598.47</v>
      </c>
    </row>
    <row r="37" spans="1:2" x14ac:dyDescent="0.25">
      <c r="A37" s="41" t="s">
        <v>36</v>
      </c>
      <c r="B37" s="35">
        <v>271321.15999999997</v>
      </c>
    </row>
    <row r="38" spans="1:2" x14ac:dyDescent="0.25">
      <c r="A38" s="41" t="s">
        <v>37</v>
      </c>
      <c r="B38" s="35">
        <v>99716.49</v>
      </c>
    </row>
    <row r="39" spans="1:2" x14ac:dyDescent="0.25">
      <c r="A39" s="41" t="s">
        <v>38</v>
      </c>
      <c r="B39" s="35">
        <v>147682.74</v>
      </c>
    </row>
    <row r="40" spans="1:2" x14ac:dyDescent="0.25">
      <c r="A40" s="41" t="s">
        <v>39</v>
      </c>
      <c r="B40" s="35">
        <v>615124.05000000005</v>
      </c>
    </row>
    <row r="41" spans="1:2" x14ac:dyDescent="0.25">
      <c r="A41" s="41" t="s">
        <v>41</v>
      </c>
      <c r="B41" s="35">
        <v>139447.39000000001</v>
      </c>
    </row>
    <row r="42" spans="1:2" x14ac:dyDescent="0.25">
      <c r="A42" s="41" t="s">
        <v>42</v>
      </c>
      <c r="B42" s="35">
        <v>16623.79</v>
      </c>
    </row>
    <row r="43" spans="1:2" x14ac:dyDescent="0.25">
      <c r="A43" s="41" t="s">
        <v>43</v>
      </c>
      <c r="B43" s="35">
        <v>44789.54</v>
      </c>
    </row>
    <row r="44" spans="1:2" x14ac:dyDescent="0.25">
      <c r="A44" s="41" t="s">
        <v>44</v>
      </c>
      <c r="B44" s="35">
        <v>15547383.48</v>
      </c>
    </row>
    <row r="45" spans="1:2" x14ac:dyDescent="0.25">
      <c r="A45" s="41" t="s">
        <v>255</v>
      </c>
      <c r="B45" s="35">
        <v>5361301</v>
      </c>
    </row>
    <row r="46" spans="1:2" x14ac:dyDescent="0.25">
      <c r="A46" s="41" t="s">
        <v>64</v>
      </c>
      <c r="B46" s="35">
        <v>339441.76</v>
      </c>
    </row>
    <row r="47" spans="1:2" x14ac:dyDescent="0.25">
      <c r="A47" s="41" t="s">
        <v>65</v>
      </c>
      <c r="B47" s="35">
        <v>8515013.3800000008</v>
      </c>
    </row>
    <row r="48" spans="1:2" x14ac:dyDescent="0.25">
      <c r="A48" s="41" t="s">
        <v>66</v>
      </c>
      <c r="B48" s="35">
        <v>1270161.3400000001</v>
      </c>
    </row>
    <row r="49" spans="1:2" x14ac:dyDescent="0.25">
      <c r="A49" s="41" t="s">
        <v>67</v>
      </c>
      <c r="B49" s="35">
        <v>76742837.849999994</v>
      </c>
    </row>
    <row r="50" spans="1:2" x14ac:dyDescent="0.25">
      <c r="A50" s="41" t="s">
        <v>68</v>
      </c>
      <c r="B50" s="35">
        <v>62687701.280000001</v>
      </c>
    </row>
    <row r="51" spans="1:2" x14ac:dyDescent="0.25">
      <c r="A51" s="41" t="s">
        <v>69</v>
      </c>
      <c r="B51" s="35">
        <v>124616072.45</v>
      </c>
    </row>
    <row r="52" spans="1:2" x14ac:dyDescent="0.25">
      <c r="A52" s="41" t="s">
        <v>80</v>
      </c>
      <c r="B52" s="35">
        <v>103456714.76000001</v>
      </c>
    </row>
    <row r="53" spans="1:2" x14ac:dyDescent="0.25">
      <c r="A53" s="41" t="s">
        <v>26</v>
      </c>
      <c r="B53" s="35">
        <v>293521850.91000003</v>
      </c>
    </row>
    <row r="54" spans="1:2" x14ac:dyDescent="0.25">
      <c r="A54" s="41" t="s">
        <v>45</v>
      </c>
      <c r="B54" s="35">
        <v>31826952.82</v>
      </c>
    </row>
    <row r="55" spans="1:2" x14ac:dyDescent="0.25">
      <c r="A55" s="41" t="s">
        <v>277</v>
      </c>
      <c r="B55" s="35"/>
    </row>
    <row r="56" spans="1:2" x14ac:dyDescent="0.25">
      <c r="A56" s="41" t="s">
        <v>278</v>
      </c>
      <c r="B56" s="35"/>
    </row>
    <row r="57" spans="1:2" x14ac:dyDescent="0.25">
      <c r="A57" s="41" t="s">
        <v>280</v>
      </c>
      <c r="B57" s="35"/>
    </row>
    <row r="58" spans="1:2" x14ac:dyDescent="0.25">
      <c r="A58" s="41" t="s">
        <v>279</v>
      </c>
      <c r="B58" s="35"/>
    </row>
    <row r="59" spans="1:2" x14ac:dyDescent="0.25">
      <c r="A59" s="41" t="s">
        <v>281</v>
      </c>
      <c r="B59" s="35"/>
    </row>
    <row r="60" spans="1:2" x14ac:dyDescent="0.25">
      <c r="A60" s="41" t="s">
        <v>27</v>
      </c>
      <c r="B60" s="35">
        <v>232703670.47</v>
      </c>
    </row>
    <row r="61" spans="1:2" x14ac:dyDescent="0.25">
      <c r="A61" s="41" t="s">
        <v>97</v>
      </c>
      <c r="B61" s="35">
        <v>11124834.24</v>
      </c>
    </row>
    <row r="62" spans="1:2" x14ac:dyDescent="0.25">
      <c r="A62" s="41" t="s">
        <v>96</v>
      </c>
      <c r="B62" s="35">
        <v>1690571140.3900001</v>
      </c>
    </row>
    <row r="63" spans="1:2" x14ac:dyDescent="0.25">
      <c r="A63" s="41" t="s">
        <v>81</v>
      </c>
      <c r="B63" s="35">
        <v>318881.7</v>
      </c>
    </row>
    <row r="64" spans="1:2" x14ac:dyDescent="0.25">
      <c r="A64" s="41" t="s">
        <v>98</v>
      </c>
      <c r="B64" s="35">
        <v>1653226050.3299999</v>
      </c>
    </row>
    <row r="65" spans="1:2" x14ac:dyDescent="0.25">
      <c r="A65" s="41" t="s">
        <v>28</v>
      </c>
      <c r="B65" s="35">
        <v>371403574.37</v>
      </c>
    </row>
    <row r="66" spans="1:2" x14ac:dyDescent="0.25">
      <c r="A66" s="41" t="s">
        <v>273</v>
      </c>
      <c r="B66" s="35">
        <v>4593372.0699999994</v>
      </c>
    </row>
    <row r="67" spans="1:2" x14ac:dyDescent="0.25">
      <c r="A67" s="41" t="s">
        <v>274</v>
      </c>
      <c r="B67" s="35">
        <v>4654669.8500000006</v>
      </c>
    </row>
    <row r="68" spans="1:2" x14ac:dyDescent="0.25">
      <c r="A68" s="41" t="s">
        <v>275</v>
      </c>
      <c r="B68" s="35">
        <v>4712641.84</v>
      </c>
    </row>
    <row r="69" spans="1:2" x14ac:dyDescent="0.25">
      <c r="A69" s="41" t="s">
        <v>276</v>
      </c>
      <c r="B69" s="35">
        <v>202785127.56</v>
      </c>
    </row>
    <row r="70" spans="1:2" x14ac:dyDescent="0.25">
      <c r="A70" s="41" t="s">
        <v>267</v>
      </c>
      <c r="B70" s="35">
        <v>304277872.44999999</v>
      </c>
    </row>
    <row r="71" spans="1:2" x14ac:dyDescent="0.25">
      <c r="A71" s="41" t="s">
        <v>110</v>
      </c>
      <c r="B71" s="35">
        <v>48781438.550000004</v>
      </c>
    </row>
    <row r="72" spans="1:2" x14ac:dyDescent="0.25">
      <c r="A72" s="41" t="s">
        <v>111</v>
      </c>
      <c r="B72" s="35">
        <v>34486352.210000001</v>
      </c>
    </row>
    <row r="73" spans="1:2" x14ac:dyDescent="0.25">
      <c r="A73" s="41" t="s">
        <v>112</v>
      </c>
      <c r="B73" s="35">
        <v>46562694.339999996</v>
      </c>
    </row>
    <row r="74" spans="1:2" x14ac:dyDescent="0.25">
      <c r="A74" s="41" t="s">
        <v>122</v>
      </c>
      <c r="B74" s="35">
        <v>38137155.780000001</v>
      </c>
    </row>
    <row r="75" spans="1:2" x14ac:dyDescent="0.25">
      <c r="A75" s="41" t="s">
        <v>123</v>
      </c>
      <c r="B75" s="35">
        <v>66739876.539999999</v>
      </c>
    </row>
    <row r="76" spans="1:2" x14ac:dyDescent="0.25">
      <c r="A76" s="41" t="s">
        <v>139</v>
      </c>
      <c r="B76" s="35">
        <v>67922230.390000001</v>
      </c>
    </row>
    <row r="77" spans="1:2" x14ac:dyDescent="0.25">
      <c r="A77" s="41" t="s">
        <v>248</v>
      </c>
      <c r="B77" s="35">
        <v>47084707.369999997</v>
      </c>
    </row>
    <row r="78" spans="1:2" x14ac:dyDescent="0.25">
      <c r="A78" s="41" t="s">
        <v>249</v>
      </c>
      <c r="B78" s="35">
        <v>44622264.090000004</v>
      </c>
    </row>
    <row r="79" spans="1:2" x14ac:dyDescent="0.25">
      <c r="A79" s="41" t="s">
        <v>260</v>
      </c>
      <c r="B79" s="35">
        <v>733542801.67999995</v>
      </c>
    </row>
    <row r="80" spans="1:2" x14ac:dyDescent="0.25">
      <c r="A80" s="41" t="s">
        <v>254</v>
      </c>
      <c r="B80" s="35">
        <v>864956355.26999998</v>
      </c>
    </row>
    <row r="81" spans="1:2" x14ac:dyDescent="0.25">
      <c r="A81" s="41" t="s">
        <v>261</v>
      </c>
      <c r="B81" s="35">
        <v>428261331.71999997</v>
      </c>
    </row>
    <row r="82" spans="1:2" x14ac:dyDescent="0.25">
      <c r="A82" s="41" t="s">
        <v>263</v>
      </c>
      <c r="B82" s="35">
        <v>618780419.11000001</v>
      </c>
    </row>
    <row r="83" spans="1:2" x14ac:dyDescent="0.25">
      <c r="A83" s="41" t="s">
        <v>268</v>
      </c>
      <c r="B83" s="35">
        <v>550272679.77999997</v>
      </c>
    </row>
    <row r="84" spans="1:2" x14ac:dyDescent="0.25">
      <c r="A84" s="41" t="s">
        <v>256</v>
      </c>
      <c r="B84" s="35">
        <v>23514487.699999999</v>
      </c>
    </row>
    <row r="85" spans="1:2" x14ac:dyDescent="0.25">
      <c r="A85" s="41" t="s">
        <v>8</v>
      </c>
      <c r="B85" s="35">
        <v>38199406.039999999</v>
      </c>
    </row>
    <row r="86" spans="1:2" x14ac:dyDescent="0.25">
      <c r="A86" s="41" t="s">
        <v>40</v>
      </c>
      <c r="B86" s="35">
        <v>88777</v>
      </c>
    </row>
    <row r="87" spans="1:2" x14ac:dyDescent="0.25">
      <c r="A87" s="41" t="s">
        <v>9</v>
      </c>
      <c r="B87" s="35">
        <v>97274532.420000002</v>
      </c>
    </row>
    <row r="88" spans="1:2" x14ac:dyDescent="0.25">
      <c r="A88" s="41" t="s">
        <v>10</v>
      </c>
      <c r="B88" s="35">
        <v>100096487.83</v>
      </c>
    </row>
    <row r="89" spans="1:2" x14ac:dyDescent="0.25">
      <c r="A89" s="41" t="s">
        <v>252</v>
      </c>
      <c r="B89" s="35">
        <v>51004847</v>
      </c>
    </row>
    <row r="90" spans="1:2" x14ac:dyDescent="0.25">
      <c r="A90" s="41" t="s">
        <v>253</v>
      </c>
      <c r="B90" s="35">
        <v>53179891</v>
      </c>
    </row>
    <row r="91" spans="1:2" x14ac:dyDescent="0.25">
      <c r="A91" s="41" t="s">
        <v>250</v>
      </c>
      <c r="B91" s="35">
        <v>123771754</v>
      </c>
    </row>
    <row r="92" spans="1:2" x14ac:dyDescent="0.25">
      <c r="A92" s="41" t="s">
        <v>251</v>
      </c>
      <c r="B92" s="35">
        <v>70723706</v>
      </c>
    </row>
    <row r="93" spans="1:2" x14ac:dyDescent="0.25">
      <c r="A93" s="41" t="s">
        <v>257</v>
      </c>
      <c r="B93" s="35">
        <v>11796964</v>
      </c>
    </row>
    <row r="94" spans="1:2" x14ac:dyDescent="0.25">
      <c r="A94" s="41" t="s">
        <v>113</v>
      </c>
      <c r="B94" s="35">
        <v>123599382.28999999</v>
      </c>
    </row>
    <row r="95" spans="1:2" x14ac:dyDescent="0.25">
      <c r="A95" s="41" t="s">
        <v>82</v>
      </c>
      <c r="B95" s="35">
        <v>21248595.890000001</v>
      </c>
    </row>
    <row r="96" spans="1:2" x14ac:dyDescent="0.25">
      <c r="A96" s="41" t="s">
        <v>83</v>
      </c>
      <c r="B96" s="35">
        <v>3561504.65</v>
      </c>
    </row>
    <row r="97" spans="1:2" x14ac:dyDescent="0.25">
      <c r="A97" s="41" t="s">
        <v>16</v>
      </c>
      <c r="B97" s="35">
        <v>73784</v>
      </c>
    </row>
    <row r="98" spans="1:2" x14ac:dyDescent="0.25">
      <c r="A98" s="41" t="s">
        <v>116</v>
      </c>
      <c r="B98" s="35">
        <v>126110113.72</v>
      </c>
    </row>
    <row r="99" spans="1:2" x14ac:dyDescent="0.25">
      <c r="A99" s="41" t="s">
        <v>245</v>
      </c>
      <c r="B99" s="35">
        <v>915535122</v>
      </c>
    </row>
    <row r="100" spans="1:2" x14ac:dyDescent="0.25">
      <c r="A100" s="41" t="s">
        <v>247</v>
      </c>
      <c r="B100" s="35">
        <v>67754067</v>
      </c>
    </row>
    <row r="101" spans="1:2" x14ac:dyDescent="0.25">
      <c r="A101" s="41" t="s">
        <v>246</v>
      </c>
      <c r="B101" s="35">
        <v>183591643</v>
      </c>
    </row>
    <row r="102" spans="1:2" x14ac:dyDescent="0.25">
      <c r="A102" s="41" t="s">
        <v>17</v>
      </c>
      <c r="B102" s="35">
        <v>36370796.609999999</v>
      </c>
    </row>
    <row r="103" spans="1:2" x14ac:dyDescent="0.25">
      <c r="A103" s="41" t="s">
        <v>18</v>
      </c>
      <c r="B103" s="35">
        <v>319727159.60000002</v>
      </c>
    </row>
    <row r="104" spans="1:2" x14ac:dyDescent="0.25">
      <c r="A104" s="41" t="s">
        <v>19</v>
      </c>
      <c r="B104" s="35">
        <v>26877984.66</v>
      </c>
    </row>
    <row r="105" spans="1:2" x14ac:dyDescent="0.25">
      <c r="A105" s="41" t="s">
        <v>20</v>
      </c>
      <c r="B105" s="35">
        <v>854374862.02999997</v>
      </c>
    </row>
    <row r="106" spans="1:2" x14ac:dyDescent="0.25">
      <c r="A106" s="41" t="s">
        <v>21</v>
      </c>
      <c r="B106" s="35">
        <v>532060522.87</v>
      </c>
    </row>
    <row r="107" spans="1:2" x14ac:dyDescent="0.25">
      <c r="A107" s="41" t="s">
        <v>47</v>
      </c>
      <c r="B107" s="35">
        <v>8025696.2699999996</v>
      </c>
    </row>
    <row r="108" spans="1:2" x14ac:dyDescent="0.25">
      <c r="A108" s="41" t="s">
        <v>84</v>
      </c>
      <c r="B108" s="35">
        <v>0</v>
      </c>
    </row>
    <row r="109" spans="1:2" x14ac:dyDescent="0.25">
      <c r="A109" s="41" t="s">
        <v>85</v>
      </c>
      <c r="B109" s="35">
        <v>11512327.1</v>
      </c>
    </row>
    <row r="110" spans="1:2" x14ac:dyDescent="0.25">
      <c r="A110" s="41" t="s">
        <v>86</v>
      </c>
      <c r="B110" s="35">
        <v>18776486.640000001</v>
      </c>
    </row>
    <row r="111" spans="1:2" x14ac:dyDescent="0.25">
      <c r="A111" s="41" t="s">
        <v>87</v>
      </c>
      <c r="B111" s="35">
        <v>28805368.52</v>
      </c>
    </row>
    <row r="112" spans="1:2" x14ac:dyDescent="0.25">
      <c r="A112" s="41" t="s">
        <v>88</v>
      </c>
      <c r="B112" s="35">
        <v>0</v>
      </c>
    </row>
    <row r="113" spans="1:2" x14ac:dyDescent="0.25">
      <c r="A113" s="41" t="s">
        <v>89</v>
      </c>
      <c r="B113" s="35">
        <v>20282164.609999999</v>
      </c>
    </row>
    <row r="114" spans="1:2" x14ac:dyDescent="0.25">
      <c r="A114" s="7" t="s">
        <v>244</v>
      </c>
      <c r="B114" s="35">
        <v>1677318111.71</v>
      </c>
    </row>
    <row r="115" spans="1:2" x14ac:dyDescent="0.25">
      <c r="A115" s="7" t="s">
        <v>271</v>
      </c>
      <c r="B115" s="35">
        <v>117344046.45999999</v>
      </c>
    </row>
    <row r="116" spans="1:2" x14ac:dyDescent="0.25">
      <c r="A116" s="7" t="s">
        <v>90</v>
      </c>
      <c r="B116" s="35">
        <v>384275.18</v>
      </c>
    </row>
    <row r="117" spans="1:2" x14ac:dyDescent="0.25">
      <c r="A117" s="7" t="s">
        <v>272</v>
      </c>
      <c r="B117" s="35">
        <v>187815779.90000001</v>
      </c>
    </row>
    <row r="118" spans="1:2" x14ac:dyDescent="0.25">
      <c r="A118" s="7" t="s">
        <v>91</v>
      </c>
      <c r="B118" s="35">
        <v>15792068.039999999</v>
      </c>
    </row>
    <row r="119" spans="1:2" x14ac:dyDescent="0.25">
      <c r="A119" s="7" t="s">
        <v>93</v>
      </c>
      <c r="B119" s="35">
        <v>0</v>
      </c>
    </row>
    <row r="120" spans="1:2" x14ac:dyDescent="0.25">
      <c r="A120" s="7" t="s">
        <v>92</v>
      </c>
      <c r="B120" s="35">
        <v>0</v>
      </c>
    </row>
    <row r="121" spans="1:2" x14ac:dyDescent="0.25">
      <c r="A121" s="7" t="s">
        <v>94</v>
      </c>
      <c r="B121" s="35">
        <v>17499202.190000001</v>
      </c>
    </row>
    <row r="122" spans="1:2" x14ac:dyDescent="0.25">
      <c r="A122" s="7" t="s">
        <v>262</v>
      </c>
      <c r="B122" s="35">
        <v>650966057.5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5"/>
  <sheetViews>
    <sheetView workbookViewId="0">
      <selection activeCell="B13" sqref="B13"/>
    </sheetView>
  </sheetViews>
  <sheetFormatPr defaultRowHeight="15" x14ac:dyDescent="0.25"/>
  <cols>
    <col min="1" max="1" width="14.570312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48</v>
      </c>
      <c r="B2">
        <v>317310264</v>
      </c>
    </row>
    <row r="3" spans="1:2" x14ac:dyDescent="0.25">
      <c r="A3" t="s">
        <v>49</v>
      </c>
      <c r="B3">
        <v>61007898</v>
      </c>
    </row>
    <row r="4" spans="1:2" x14ac:dyDescent="0.25">
      <c r="A4" t="s">
        <v>50</v>
      </c>
      <c r="B4">
        <v>40731274</v>
      </c>
    </row>
    <row r="5" spans="1:2" x14ac:dyDescent="0.25">
      <c r="A5" t="s">
        <v>95</v>
      </c>
      <c r="B5">
        <v>133196440</v>
      </c>
    </row>
    <row r="6" spans="1:2" x14ac:dyDescent="0.25">
      <c r="A6" t="s">
        <v>2</v>
      </c>
      <c r="B6">
        <v>1750070</v>
      </c>
    </row>
    <row r="7" spans="1:2" x14ac:dyDescent="0.25">
      <c r="A7" t="s">
        <v>3</v>
      </c>
      <c r="B7">
        <v>215649</v>
      </c>
    </row>
    <row r="8" spans="1:2" x14ac:dyDescent="0.25">
      <c r="A8" t="s">
        <v>29</v>
      </c>
      <c r="B8">
        <v>474977174</v>
      </c>
    </row>
    <row r="9" spans="1:2" x14ac:dyDescent="0.25">
      <c r="A9" t="s">
        <v>140</v>
      </c>
      <c r="B9">
        <v>133162158</v>
      </c>
    </row>
    <row r="10" spans="1:2" x14ac:dyDescent="0.25">
      <c r="A10" t="s">
        <v>4</v>
      </c>
      <c r="B10">
        <v>2649</v>
      </c>
    </row>
    <row r="11" spans="1:2" x14ac:dyDescent="0.25">
      <c r="A11" t="s">
        <v>5</v>
      </c>
      <c r="B11">
        <v>253789</v>
      </c>
    </row>
    <row r="12" spans="1:2" x14ac:dyDescent="0.25">
      <c r="A12" t="s">
        <v>30</v>
      </c>
      <c r="B12">
        <v>1057282143</v>
      </c>
    </row>
    <row r="13" spans="1:2" x14ac:dyDescent="0.25">
      <c r="A13" t="s">
        <v>141</v>
      </c>
      <c r="B13">
        <v>241761094</v>
      </c>
    </row>
    <row r="14" spans="1:2" x14ac:dyDescent="0.25">
      <c r="A14" t="s">
        <v>6</v>
      </c>
      <c r="B14">
        <v>353769</v>
      </c>
    </row>
    <row r="15" spans="1:2" x14ac:dyDescent="0.25">
      <c r="A15" t="s">
        <v>7</v>
      </c>
      <c r="B15">
        <v>23928</v>
      </c>
    </row>
    <row r="16" spans="1:2" x14ac:dyDescent="0.25">
      <c r="A16" t="s">
        <v>55</v>
      </c>
      <c r="B16">
        <v>2622702</v>
      </c>
    </row>
    <row r="17" spans="1:2" x14ac:dyDescent="0.25">
      <c r="A17" t="s">
        <v>56</v>
      </c>
      <c r="B17">
        <v>26087621</v>
      </c>
    </row>
    <row r="18" spans="1:2" x14ac:dyDescent="0.25">
      <c r="A18" t="s">
        <v>57</v>
      </c>
      <c r="B18">
        <v>1220463</v>
      </c>
    </row>
    <row r="19" spans="1:2" x14ac:dyDescent="0.25">
      <c r="A19" t="s">
        <v>103</v>
      </c>
      <c r="B19">
        <v>22010352.289999999</v>
      </c>
    </row>
    <row r="20" spans="1:2" x14ac:dyDescent="0.25">
      <c r="A20" t="s">
        <v>104</v>
      </c>
      <c r="B20">
        <v>73163141.049999997</v>
      </c>
    </row>
    <row r="21" spans="1:2" x14ac:dyDescent="0.25">
      <c r="A21" t="s">
        <v>105</v>
      </c>
      <c r="B21">
        <v>200470961.10999998</v>
      </c>
    </row>
    <row r="22" spans="1:2" x14ac:dyDescent="0.25">
      <c r="A22" t="s">
        <v>106</v>
      </c>
      <c r="B22">
        <v>283443243.11000001</v>
      </c>
    </row>
    <row r="23" spans="1:2" x14ac:dyDescent="0.25">
      <c r="A23" t="s">
        <v>107</v>
      </c>
      <c r="B23">
        <v>361637013.04000002</v>
      </c>
    </row>
    <row r="24" spans="1:2" x14ac:dyDescent="0.25">
      <c r="A24" t="s">
        <v>108</v>
      </c>
      <c r="B24">
        <v>82405040.399999991</v>
      </c>
    </row>
    <row r="25" spans="1:2" x14ac:dyDescent="0.25">
      <c r="A25" t="s">
        <v>109</v>
      </c>
      <c r="B25">
        <v>223324322.49000001</v>
      </c>
    </row>
    <row r="26" spans="1:2" x14ac:dyDescent="0.25">
      <c r="A26" t="s">
        <v>99</v>
      </c>
      <c r="B26">
        <v>102978836.10000001</v>
      </c>
    </row>
    <row r="27" spans="1:2" x14ac:dyDescent="0.25">
      <c r="A27" t="s">
        <v>100</v>
      </c>
      <c r="B27">
        <v>171603191.03</v>
      </c>
    </row>
    <row r="28" spans="1:2" x14ac:dyDescent="0.25">
      <c r="A28" t="s">
        <v>101</v>
      </c>
      <c r="B28">
        <v>524122981.37</v>
      </c>
    </row>
    <row r="29" spans="1:2" x14ac:dyDescent="0.25">
      <c r="A29" t="s">
        <v>102</v>
      </c>
      <c r="B29">
        <v>266943439.89000002</v>
      </c>
    </row>
    <row r="30" spans="1:2" x14ac:dyDescent="0.25">
      <c r="A30" t="s">
        <v>259</v>
      </c>
      <c r="B30">
        <v>37936017890</v>
      </c>
    </row>
    <row r="31" spans="1:2" x14ac:dyDescent="0.25">
      <c r="A31" t="s">
        <v>125</v>
      </c>
      <c r="B31">
        <v>7953798518</v>
      </c>
    </row>
    <row r="32" spans="1:2" x14ac:dyDescent="0.25">
      <c r="A32" t="s">
        <v>31</v>
      </c>
      <c r="B32">
        <v>2953376</v>
      </c>
    </row>
    <row r="33" spans="1:2" x14ac:dyDescent="0.25">
      <c r="A33" t="s">
        <v>32</v>
      </c>
      <c r="B33">
        <v>346332</v>
      </c>
    </row>
    <row r="34" spans="1:2" x14ac:dyDescent="0.25">
      <c r="A34" t="s">
        <v>33</v>
      </c>
      <c r="B34">
        <v>5675972</v>
      </c>
    </row>
    <row r="35" spans="1:2" x14ac:dyDescent="0.25">
      <c r="A35" t="s">
        <v>34</v>
      </c>
      <c r="B35">
        <v>207927</v>
      </c>
    </row>
    <row r="36" spans="1:2" x14ac:dyDescent="0.25">
      <c r="A36" t="s">
        <v>35</v>
      </c>
      <c r="B36">
        <v>414100</v>
      </c>
    </row>
    <row r="37" spans="1:2" x14ac:dyDescent="0.25">
      <c r="A37" t="s">
        <v>36</v>
      </c>
      <c r="B37">
        <v>314483</v>
      </c>
    </row>
    <row r="38" spans="1:2" x14ac:dyDescent="0.25">
      <c r="A38" t="s">
        <v>37</v>
      </c>
      <c r="B38">
        <v>129366</v>
      </c>
    </row>
    <row r="39" spans="1:2" x14ac:dyDescent="0.25">
      <c r="A39" t="s">
        <v>38</v>
      </c>
      <c r="B39">
        <v>155583</v>
      </c>
    </row>
    <row r="40" spans="1:2" x14ac:dyDescent="0.25">
      <c r="A40" t="s">
        <v>39</v>
      </c>
      <c r="B40">
        <v>617550</v>
      </c>
    </row>
    <row r="41" spans="1:2" x14ac:dyDescent="0.25">
      <c r="A41" t="s">
        <v>41</v>
      </c>
      <c r="B41">
        <v>306454</v>
      </c>
    </row>
    <row r="42" spans="1:2" x14ac:dyDescent="0.25">
      <c r="A42" t="s">
        <v>42</v>
      </c>
      <c r="B42">
        <v>15002</v>
      </c>
    </row>
    <row r="43" spans="1:2" x14ac:dyDescent="0.25">
      <c r="A43" t="s">
        <v>43</v>
      </c>
      <c r="B43">
        <v>47686</v>
      </c>
    </row>
    <row r="44" spans="1:2" x14ac:dyDescent="0.25">
      <c r="A44" t="s">
        <v>44</v>
      </c>
      <c r="B44">
        <v>34424280</v>
      </c>
    </row>
    <row r="45" spans="1:2" x14ac:dyDescent="0.25">
      <c r="A45" t="s">
        <v>64</v>
      </c>
      <c r="B45">
        <v>458812</v>
      </c>
    </row>
    <row r="46" spans="1:2" x14ac:dyDescent="0.25">
      <c r="A46" t="s">
        <v>65</v>
      </c>
      <c r="B46">
        <v>14021567</v>
      </c>
    </row>
    <row r="47" spans="1:2" x14ac:dyDescent="0.25">
      <c r="A47" t="s">
        <v>66</v>
      </c>
      <c r="B47">
        <v>1835628</v>
      </c>
    </row>
    <row r="48" spans="1:2" x14ac:dyDescent="0.25">
      <c r="A48" t="s">
        <v>67</v>
      </c>
      <c r="B48">
        <v>99244386</v>
      </c>
    </row>
    <row r="49" spans="1:2" x14ac:dyDescent="0.25">
      <c r="A49" t="s">
        <v>68</v>
      </c>
      <c r="B49">
        <v>76856400</v>
      </c>
    </row>
    <row r="50" spans="1:2" x14ac:dyDescent="0.25">
      <c r="A50" t="s">
        <v>69</v>
      </c>
      <c r="B50">
        <v>145346255</v>
      </c>
    </row>
    <row r="51" spans="1:2" x14ac:dyDescent="0.25">
      <c r="A51" t="s">
        <v>255</v>
      </c>
      <c r="B51">
        <v>6215792</v>
      </c>
    </row>
    <row r="53" spans="1:2" x14ac:dyDescent="0.25">
      <c r="A53" t="s">
        <v>80</v>
      </c>
      <c r="B53">
        <v>177647849</v>
      </c>
    </row>
    <row r="54" spans="1:2" x14ac:dyDescent="0.25">
      <c r="A54" t="s">
        <v>26</v>
      </c>
      <c r="B54">
        <v>674612543</v>
      </c>
    </row>
    <row r="55" spans="1:2" x14ac:dyDescent="0.25">
      <c r="A55" t="s">
        <v>45</v>
      </c>
      <c r="B55">
        <v>62114468</v>
      </c>
    </row>
    <row r="56" spans="1:2" x14ac:dyDescent="0.25">
      <c r="A56" t="s">
        <v>27</v>
      </c>
      <c r="B56">
        <v>770468383</v>
      </c>
    </row>
    <row r="57" spans="1:2" x14ac:dyDescent="0.25">
      <c r="A57" t="s">
        <v>97</v>
      </c>
      <c r="B57">
        <v>15555044</v>
      </c>
    </row>
    <row r="58" spans="1:2" x14ac:dyDescent="0.25">
      <c r="A58" t="s">
        <v>96</v>
      </c>
      <c r="B58">
        <v>1602284205</v>
      </c>
    </row>
    <row r="59" spans="1:2" x14ac:dyDescent="0.25">
      <c r="A59" t="s">
        <v>81</v>
      </c>
      <c r="B59">
        <v>419733</v>
      </c>
    </row>
    <row r="60" spans="1:2" x14ac:dyDescent="0.25">
      <c r="A60" t="s">
        <v>98</v>
      </c>
      <c r="B60">
        <v>2808046351</v>
      </c>
    </row>
    <row r="61" spans="1:2" x14ac:dyDescent="0.25">
      <c r="A61" t="s">
        <v>28</v>
      </c>
      <c r="B61">
        <v>1028832669</v>
      </c>
    </row>
    <row r="62" spans="1:2" x14ac:dyDescent="0.25">
      <c r="A62" t="s">
        <v>129</v>
      </c>
      <c r="B62">
        <v>203425440.87363547</v>
      </c>
    </row>
    <row r="63" spans="1:2" x14ac:dyDescent="0.25">
      <c r="A63" t="s">
        <v>110</v>
      </c>
      <c r="B63">
        <v>251350636.99000001</v>
      </c>
    </row>
    <row r="64" spans="1:2" x14ac:dyDescent="0.25">
      <c r="A64" t="s">
        <v>111</v>
      </c>
      <c r="B64">
        <v>156615762.48000002</v>
      </c>
    </row>
    <row r="65" spans="1:2" x14ac:dyDescent="0.25">
      <c r="A65" t="s">
        <v>112</v>
      </c>
      <c r="B65">
        <v>203130904.12</v>
      </c>
    </row>
    <row r="66" spans="1:2" x14ac:dyDescent="0.25">
      <c r="A66" t="s">
        <v>122</v>
      </c>
      <c r="B66">
        <v>153502410.91999999</v>
      </c>
    </row>
    <row r="67" spans="1:2" x14ac:dyDescent="0.25">
      <c r="A67" t="s">
        <v>123</v>
      </c>
      <c r="B67">
        <v>194929898.81</v>
      </c>
    </row>
    <row r="68" spans="1:2" x14ac:dyDescent="0.25">
      <c r="A68" t="s">
        <v>139</v>
      </c>
      <c r="B68">
        <v>168885074.56999999</v>
      </c>
    </row>
    <row r="69" spans="1:2" x14ac:dyDescent="0.25">
      <c r="A69" t="s">
        <v>248</v>
      </c>
      <c r="B69">
        <v>132490031.67</v>
      </c>
    </row>
    <row r="70" spans="1:2" x14ac:dyDescent="0.25">
      <c r="A70" t="s">
        <v>249</v>
      </c>
      <c r="B70">
        <v>65202128</v>
      </c>
    </row>
    <row r="71" spans="1:2" x14ac:dyDescent="0.25">
      <c r="A71" t="s">
        <v>260</v>
      </c>
      <c r="B71">
        <v>1038741528.12</v>
      </c>
    </row>
    <row r="72" spans="1:2" x14ac:dyDescent="0.25">
      <c r="A72" t="s">
        <v>254</v>
      </c>
      <c r="B72">
        <v>1373614253.25</v>
      </c>
    </row>
    <row r="73" spans="1:2" x14ac:dyDescent="0.25">
      <c r="A73" t="s">
        <v>256</v>
      </c>
      <c r="B73">
        <v>40566028</v>
      </c>
    </row>
    <row r="74" spans="1:2" x14ac:dyDescent="0.25">
      <c r="A74" t="s">
        <v>8</v>
      </c>
      <c r="B74">
        <v>53465602</v>
      </c>
    </row>
    <row r="75" spans="1:2" x14ac:dyDescent="0.25">
      <c r="A75" t="s">
        <v>40</v>
      </c>
      <c r="B75">
        <v>97743</v>
      </c>
    </row>
    <row r="76" spans="1:2" x14ac:dyDescent="0.25">
      <c r="A76" t="s">
        <v>9</v>
      </c>
      <c r="B76">
        <v>136180565</v>
      </c>
    </row>
    <row r="77" spans="1:2" x14ac:dyDescent="0.25">
      <c r="A77" t="s">
        <v>10</v>
      </c>
      <c r="B77">
        <v>160964439</v>
      </c>
    </row>
    <row r="78" spans="1:2" x14ac:dyDescent="0.25">
      <c r="A78" t="s">
        <v>113</v>
      </c>
      <c r="B78">
        <v>127530065.94999999</v>
      </c>
    </row>
    <row r="79" spans="1:2" x14ac:dyDescent="0.25">
      <c r="A79" t="s">
        <v>261</v>
      </c>
      <c r="B79">
        <v>594188045.16999996</v>
      </c>
    </row>
    <row r="84" spans="1:2" x14ac:dyDescent="0.25">
      <c r="A84" t="s">
        <v>82</v>
      </c>
      <c r="B84">
        <v>27090748</v>
      </c>
    </row>
    <row r="85" spans="1:2" x14ac:dyDescent="0.25">
      <c r="A85" t="s">
        <v>83</v>
      </c>
      <c r="B85">
        <v>4221339</v>
      </c>
    </row>
    <row r="86" spans="1:2" x14ac:dyDescent="0.25">
      <c r="A86" t="s">
        <v>16</v>
      </c>
      <c r="B86">
        <v>81023</v>
      </c>
    </row>
    <row r="87" spans="1:2" x14ac:dyDescent="0.25">
      <c r="A87" t="s">
        <v>245</v>
      </c>
      <c r="B87">
        <v>1228740836</v>
      </c>
    </row>
    <row r="88" spans="1:2" x14ac:dyDescent="0.25">
      <c r="A88" t="s">
        <v>247</v>
      </c>
      <c r="B88">
        <v>99436837</v>
      </c>
    </row>
    <row r="89" spans="1:2" x14ac:dyDescent="0.25">
      <c r="A89" t="s">
        <v>246</v>
      </c>
      <c r="B89">
        <v>218880661</v>
      </c>
    </row>
    <row r="91" spans="1:2" x14ac:dyDescent="0.25">
      <c r="A91" t="s">
        <v>116</v>
      </c>
      <c r="B91">
        <v>343842785.06</v>
      </c>
    </row>
    <row r="94" spans="1:2" x14ac:dyDescent="0.25">
      <c r="A94" t="s">
        <v>17</v>
      </c>
      <c r="B94">
        <v>84477053</v>
      </c>
    </row>
    <row r="95" spans="1:2" x14ac:dyDescent="0.25">
      <c r="A95" t="s">
        <v>18</v>
      </c>
      <c r="B95">
        <v>562105975</v>
      </c>
    </row>
    <row r="96" spans="1:2" x14ac:dyDescent="0.25">
      <c r="A96" t="s">
        <v>19</v>
      </c>
      <c r="B96">
        <v>64960454</v>
      </c>
    </row>
    <row r="97" spans="1:2" x14ac:dyDescent="0.25">
      <c r="A97" t="s">
        <v>20</v>
      </c>
      <c r="B97">
        <v>1570440691</v>
      </c>
    </row>
    <row r="98" spans="1:2" x14ac:dyDescent="0.25">
      <c r="A98" t="s">
        <v>21</v>
      </c>
      <c r="B98">
        <v>796599860</v>
      </c>
    </row>
    <row r="99" spans="1:2" x14ac:dyDescent="0.25">
      <c r="A99" t="s">
        <v>47</v>
      </c>
      <c r="B99">
        <v>21966569</v>
      </c>
    </row>
    <row r="100" spans="1:2" x14ac:dyDescent="0.25">
      <c r="A100" t="s">
        <v>84</v>
      </c>
    </row>
    <row r="101" spans="1:2" x14ac:dyDescent="0.25">
      <c r="A101" t="s">
        <v>85</v>
      </c>
      <c r="B101">
        <v>21106676</v>
      </c>
    </row>
    <row r="102" spans="1:2" x14ac:dyDescent="0.25">
      <c r="A102" t="s">
        <v>86</v>
      </c>
      <c r="B102">
        <v>30370193</v>
      </c>
    </row>
    <row r="103" spans="1:2" x14ac:dyDescent="0.25">
      <c r="A103" t="s">
        <v>87</v>
      </c>
      <c r="B103">
        <v>41229814</v>
      </c>
    </row>
    <row r="104" spans="1:2" x14ac:dyDescent="0.25">
      <c r="A104" t="s">
        <v>88</v>
      </c>
    </row>
    <row r="106" spans="1:2" x14ac:dyDescent="0.25">
      <c r="A106" t="s">
        <v>89</v>
      </c>
      <c r="B106">
        <v>31463370</v>
      </c>
    </row>
    <row r="107" spans="1:2" x14ac:dyDescent="0.25">
      <c r="A107" t="s">
        <v>90</v>
      </c>
      <c r="B107">
        <v>423930</v>
      </c>
    </row>
    <row r="108" spans="1:2" x14ac:dyDescent="0.25">
      <c r="A108" t="s">
        <v>91</v>
      </c>
      <c r="B108">
        <v>26437822</v>
      </c>
    </row>
    <row r="109" spans="1:2" x14ac:dyDescent="0.25">
      <c r="A109" t="s">
        <v>93</v>
      </c>
    </row>
    <row r="110" spans="1:2" x14ac:dyDescent="0.25">
      <c r="A110" t="s">
        <v>92</v>
      </c>
    </row>
    <row r="111" spans="1:2" x14ac:dyDescent="0.25">
      <c r="A111" t="s">
        <v>94</v>
      </c>
      <c r="B111">
        <v>29694107</v>
      </c>
    </row>
    <row r="112" spans="1:2" x14ac:dyDescent="0.25">
      <c r="A112" t="s">
        <v>262</v>
      </c>
      <c r="B112">
        <v>36563840</v>
      </c>
    </row>
    <row r="114" spans="1:2" x14ac:dyDescent="0.25">
      <c r="A114" t="s">
        <v>94</v>
      </c>
      <c r="B114">
        <v>30139982</v>
      </c>
    </row>
    <row r="115" spans="1:2" x14ac:dyDescent="0.25">
      <c r="A115" t="s">
        <v>244</v>
      </c>
      <c r="B115">
        <v>1643533230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8"/>
  <sheetViews>
    <sheetView workbookViewId="0">
      <selection activeCell="D2" sqref="D2"/>
    </sheetView>
  </sheetViews>
  <sheetFormatPr defaultRowHeight="15" x14ac:dyDescent="0.25"/>
  <cols>
    <col min="1" max="1" width="9.140625" style="7"/>
    <col min="2" max="2" width="18" style="7" bestFit="1" customWidth="1"/>
  </cols>
  <sheetData>
    <row r="1" spans="1:2" x14ac:dyDescent="0.25">
      <c r="A1" s="7" t="s">
        <v>0</v>
      </c>
      <c r="B1" s="7" t="s">
        <v>1</v>
      </c>
    </row>
    <row r="2" spans="1:2" x14ac:dyDescent="0.25">
      <c r="A2" s="7" t="s">
        <v>48</v>
      </c>
      <c r="B2" s="7">
        <v>316602084</v>
      </c>
    </row>
    <row r="3" spans="1:2" x14ac:dyDescent="0.25">
      <c r="A3" s="7" t="s">
        <v>49</v>
      </c>
      <c r="B3" s="7">
        <v>62625789</v>
      </c>
    </row>
    <row r="4" spans="1:2" x14ac:dyDescent="0.25">
      <c r="A4" s="7" t="s">
        <v>50</v>
      </c>
      <c r="B4" s="7">
        <v>41415665</v>
      </c>
    </row>
    <row r="5" spans="1:2" x14ac:dyDescent="0.25">
      <c r="A5" s="7" t="s">
        <v>95</v>
      </c>
      <c r="B5" s="7">
        <v>127689565</v>
      </c>
    </row>
    <row r="6" spans="1:2" x14ac:dyDescent="0.25">
      <c r="A6" s="7" t="s">
        <v>2</v>
      </c>
      <c r="B6" s="7">
        <v>1756430</v>
      </c>
    </row>
    <row r="7" spans="1:2" x14ac:dyDescent="0.25">
      <c r="A7" s="7" t="s">
        <v>3</v>
      </c>
      <c r="B7" s="7">
        <v>212185</v>
      </c>
    </row>
    <row r="8" spans="1:2" x14ac:dyDescent="0.25">
      <c r="A8" s="7" t="s">
        <v>29</v>
      </c>
      <c r="B8" s="7">
        <v>503042505</v>
      </c>
    </row>
    <row r="9" spans="1:2" x14ac:dyDescent="0.25">
      <c r="A9" s="7" t="s">
        <v>140</v>
      </c>
      <c r="B9" s="7">
        <v>115267830</v>
      </c>
    </row>
    <row r="10" spans="1:2" x14ac:dyDescent="0.25">
      <c r="A10" s="7" t="s">
        <v>4</v>
      </c>
      <c r="B10" s="7">
        <v>2649</v>
      </c>
    </row>
    <row r="11" spans="1:2" x14ac:dyDescent="0.25">
      <c r="A11" s="7" t="s">
        <v>5</v>
      </c>
      <c r="B11" s="7">
        <v>254826</v>
      </c>
    </row>
    <row r="12" spans="1:2" x14ac:dyDescent="0.25">
      <c r="A12" s="7" t="s">
        <v>30</v>
      </c>
      <c r="B12" s="7">
        <v>1131545085</v>
      </c>
    </row>
    <row r="13" spans="1:2" x14ac:dyDescent="0.25">
      <c r="A13" s="7" t="s">
        <v>141</v>
      </c>
      <c r="B13" s="7">
        <v>221843353</v>
      </c>
    </row>
    <row r="14" spans="1:2" x14ac:dyDescent="0.25">
      <c r="A14" s="7" t="s">
        <v>6</v>
      </c>
      <c r="B14" s="7">
        <v>346551</v>
      </c>
    </row>
    <row r="15" spans="1:2" x14ac:dyDescent="0.25">
      <c r="A15" s="7" t="s">
        <v>7</v>
      </c>
      <c r="B15" s="7">
        <v>24019</v>
      </c>
    </row>
    <row r="16" spans="1:2" x14ac:dyDescent="0.25">
      <c r="A16" s="7" t="s">
        <v>55</v>
      </c>
      <c r="B16" s="7">
        <v>2628199</v>
      </c>
    </row>
    <row r="17" spans="1:2" x14ac:dyDescent="0.25">
      <c r="A17" s="7" t="s">
        <v>56</v>
      </c>
      <c r="B17" s="7">
        <v>25971002</v>
      </c>
    </row>
    <row r="18" spans="1:2" x14ac:dyDescent="0.25">
      <c r="A18" s="7" t="s">
        <v>57</v>
      </c>
      <c r="B18" s="7">
        <v>1212991</v>
      </c>
    </row>
    <row r="19" spans="1:2" x14ac:dyDescent="0.25">
      <c r="A19" s="7" t="s">
        <v>103</v>
      </c>
      <c r="B19" s="7">
        <v>22156668.530000001</v>
      </c>
    </row>
    <row r="20" spans="1:2" x14ac:dyDescent="0.25">
      <c r="A20" s="7" t="s">
        <v>104</v>
      </c>
      <c r="B20" s="7">
        <v>72185758.909999996</v>
      </c>
    </row>
    <row r="21" spans="1:2" x14ac:dyDescent="0.25">
      <c r="A21" s="7" t="s">
        <v>105</v>
      </c>
      <c r="B21" s="7">
        <v>202926811.12</v>
      </c>
    </row>
    <row r="22" spans="1:2" x14ac:dyDescent="0.25">
      <c r="A22" s="7" t="s">
        <v>106</v>
      </c>
      <c r="B22" s="7">
        <v>253873076.05000001</v>
      </c>
    </row>
    <row r="23" spans="1:2" x14ac:dyDescent="0.25">
      <c r="A23" s="7" t="s">
        <v>107</v>
      </c>
      <c r="B23" s="7">
        <v>335038808.07999998</v>
      </c>
    </row>
    <row r="24" spans="1:2" x14ac:dyDescent="0.25">
      <c r="A24" s="7" t="s">
        <v>108</v>
      </c>
      <c r="B24" s="7">
        <v>79287512.890000001</v>
      </c>
    </row>
    <row r="25" spans="1:2" x14ac:dyDescent="0.25">
      <c r="A25" s="7" t="s">
        <v>109</v>
      </c>
      <c r="B25" s="7">
        <v>231475490.38999999</v>
      </c>
    </row>
    <row r="26" spans="1:2" x14ac:dyDescent="0.25">
      <c r="A26" s="7" t="s">
        <v>99</v>
      </c>
      <c r="B26" s="7">
        <v>83709360.310000002</v>
      </c>
    </row>
    <row r="27" spans="1:2" x14ac:dyDescent="0.25">
      <c r="A27" s="7" t="s">
        <v>100</v>
      </c>
      <c r="B27" s="7">
        <v>162925422.41</v>
      </c>
    </row>
    <row r="28" spans="1:2" x14ac:dyDescent="0.25">
      <c r="A28" s="7" t="s">
        <v>101</v>
      </c>
      <c r="B28" s="7">
        <v>552417984.53999996</v>
      </c>
    </row>
    <row r="29" spans="1:2" x14ac:dyDescent="0.25">
      <c r="A29" s="7" t="s">
        <v>102</v>
      </c>
      <c r="B29" s="7">
        <v>314016561.33999997</v>
      </c>
    </row>
    <row r="30" spans="1:2" x14ac:dyDescent="0.25">
      <c r="A30" s="7" t="s">
        <v>259</v>
      </c>
      <c r="B30" s="7">
        <v>29808240514</v>
      </c>
    </row>
    <row r="31" spans="1:2" x14ac:dyDescent="0.25">
      <c r="A31" s="7" t="s">
        <v>125</v>
      </c>
      <c r="B31" s="7">
        <v>0</v>
      </c>
    </row>
    <row r="32" spans="1:2" x14ac:dyDescent="0.25">
      <c r="A32" s="7" t="s">
        <v>31</v>
      </c>
      <c r="B32" s="7">
        <v>3106939</v>
      </c>
    </row>
    <row r="33" spans="1:2" x14ac:dyDescent="0.25">
      <c r="A33" s="7" t="s">
        <v>32</v>
      </c>
      <c r="B33" s="7">
        <v>360770</v>
      </c>
    </row>
    <row r="34" spans="1:2" x14ac:dyDescent="0.25">
      <c r="A34" s="7" t="s">
        <v>33</v>
      </c>
      <c r="B34" s="7">
        <v>5740799</v>
      </c>
    </row>
    <row r="35" spans="1:2" x14ac:dyDescent="0.25">
      <c r="A35" s="7" t="s">
        <v>34</v>
      </c>
      <c r="B35" s="7">
        <v>220609</v>
      </c>
    </row>
    <row r="36" spans="1:2" x14ac:dyDescent="0.25">
      <c r="A36" s="7" t="s">
        <v>35</v>
      </c>
      <c r="B36" s="7">
        <v>478456</v>
      </c>
    </row>
    <row r="37" spans="1:2" x14ac:dyDescent="0.25">
      <c r="A37" s="7" t="s">
        <v>36</v>
      </c>
      <c r="B37" s="7">
        <v>322256</v>
      </c>
    </row>
    <row r="38" spans="1:2" x14ac:dyDescent="0.25">
      <c r="A38" s="7" t="s">
        <v>37</v>
      </c>
      <c r="B38" s="7">
        <v>136480</v>
      </c>
    </row>
    <row r="39" spans="1:2" x14ac:dyDescent="0.25">
      <c r="A39" s="7" t="s">
        <v>38</v>
      </c>
      <c r="B39" s="7">
        <v>197488</v>
      </c>
    </row>
    <row r="40" spans="1:2" x14ac:dyDescent="0.25">
      <c r="A40" s="7" t="s">
        <v>39</v>
      </c>
      <c r="B40" s="7">
        <v>616527</v>
      </c>
    </row>
    <row r="41" spans="1:2" x14ac:dyDescent="0.25">
      <c r="A41" s="7" t="s">
        <v>41</v>
      </c>
      <c r="B41" s="7">
        <v>304754</v>
      </c>
    </row>
    <row r="42" spans="1:2" x14ac:dyDescent="0.25">
      <c r="A42" s="7" t="s">
        <v>42</v>
      </c>
      <c r="B42" s="7">
        <v>16322</v>
      </c>
    </row>
    <row r="43" spans="1:2" x14ac:dyDescent="0.25">
      <c r="A43" s="7" t="s">
        <v>43</v>
      </c>
      <c r="B43" s="7">
        <v>49131</v>
      </c>
    </row>
    <row r="44" spans="1:2" x14ac:dyDescent="0.25">
      <c r="A44" s="7" t="s">
        <v>44</v>
      </c>
      <c r="B44" s="7">
        <v>37918563</v>
      </c>
    </row>
    <row r="45" spans="1:2" x14ac:dyDescent="0.25">
      <c r="A45" s="7" t="s">
        <v>255</v>
      </c>
      <c r="B45" s="7">
        <v>6294477</v>
      </c>
    </row>
    <row r="46" spans="1:2" x14ac:dyDescent="0.25">
      <c r="A46" s="7" t="s">
        <v>64</v>
      </c>
      <c r="B46" s="7">
        <v>465322</v>
      </c>
    </row>
    <row r="47" spans="1:2" x14ac:dyDescent="0.25">
      <c r="A47" s="7" t="s">
        <v>65</v>
      </c>
      <c r="B47" s="7">
        <v>14468638</v>
      </c>
    </row>
    <row r="48" spans="1:2" x14ac:dyDescent="0.25">
      <c r="A48" s="7" t="s">
        <v>66</v>
      </c>
      <c r="B48" s="7">
        <v>1922755</v>
      </c>
    </row>
    <row r="49" spans="1:2" x14ac:dyDescent="0.25">
      <c r="A49" s="7" t="s">
        <v>67</v>
      </c>
      <c r="B49" s="7">
        <v>100940310</v>
      </c>
    </row>
    <row r="50" spans="1:2" x14ac:dyDescent="0.25">
      <c r="A50" s="7" t="s">
        <v>68</v>
      </c>
      <c r="B50" s="7">
        <v>78147379</v>
      </c>
    </row>
    <row r="51" spans="1:2" x14ac:dyDescent="0.25">
      <c r="A51" s="7" t="s">
        <v>69</v>
      </c>
      <c r="B51" s="7">
        <v>149128302</v>
      </c>
    </row>
    <row r="52" spans="1:2" x14ac:dyDescent="0.25">
      <c r="A52" s="7" t="s">
        <v>124</v>
      </c>
    </row>
    <row r="53" spans="1:2" x14ac:dyDescent="0.25">
      <c r="A53" s="7" t="s">
        <v>80</v>
      </c>
      <c r="B53" s="7">
        <v>183115807</v>
      </c>
    </row>
    <row r="54" spans="1:2" x14ac:dyDescent="0.25">
      <c r="A54" s="7" t="s">
        <v>26</v>
      </c>
      <c r="B54" s="7">
        <v>728746393</v>
      </c>
    </row>
    <row r="55" spans="1:2" x14ac:dyDescent="0.25">
      <c r="A55" s="7" t="s">
        <v>45</v>
      </c>
      <c r="B55" s="7">
        <v>62763249</v>
      </c>
    </row>
    <row r="56" spans="1:2" x14ac:dyDescent="0.25">
      <c r="A56" s="7" t="s">
        <v>27</v>
      </c>
      <c r="B56" s="7">
        <v>886858272</v>
      </c>
    </row>
    <row r="57" spans="1:2" x14ac:dyDescent="0.25">
      <c r="A57" s="7" t="s">
        <v>97</v>
      </c>
      <c r="B57" s="7">
        <v>14536267</v>
      </c>
    </row>
    <row r="58" spans="1:2" x14ac:dyDescent="0.25">
      <c r="A58" s="7" t="s">
        <v>96</v>
      </c>
      <c r="B58" s="7">
        <v>1543256718</v>
      </c>
    </row>
    <row r="59" spans="1:2" x14ac:dyDescent="0.25">
      <c r="A59" s="7" t="s">
        <v>81</v>
      </c>
      <c r="B59" s="7">
        <v>422183</v>
      </c>
    </row>
    <row r="60" spans="1:2" x14ac:dyDescent="0.25">
      <c r="A60" s="7" t="s">
        <v>98</v>
      </c>
      <c r="B60" s="7">
        <v>2962632453</v>
      </c>
    </row>
    <row r="61" spans="1:2" x14ac:dyDescent="0.25">
      <c r="A61" s="7" t="s">
        <v>28</v>
      </c>
      <c r="B61" s="7">
        <v>1139816188</v>
      </c>
    </row>
    <row r="62" spans="1:2" x14ac:dyDescent="0.25">
      <c r="A62" s="7" t="s">
        <v>129</v>
      </c>
      <c r="B62" s="7">
        <v>201882457.05000001</v>
      </c>
    </row>
    <row r="63" spans="1:2" x14ac:dyDescent="0.25">
      <c r="A63" s="7" t="s">
        <v>110</v>
      </c>
      <c r="B63" s="7">
        <v>301967523.64999998</v>
      </c>
    </row>
    <row r="64" spans="1:2" x14ac:dyDescent="0.25">
      <c r="A64" s="7" t="s">
        <v>111</v>
      </c>
      <c r="B64" s="7">
        <v>191051164.00999999</v>
      </c>
    </row>
    <row r="65" spans="1:2" x14ac:dyDescent="0.25">
      <c r="A65" s="7" t="s">
        <v>112</v>
      </c>
      <c r="B65" s="7">
        <v>246903467.75</v>
      </c>
    </row>
    <row r="66" spans="1:2" x14ac:dyDescent="0.25">
      <c r="A66" s="7" t="s">
        <v>122</v>
      </c>
      <c r="B66" s="7">
        <v>190075812.77000001</v>
      </c>
    </row>
    <row r="67" spans="1:2" x14ac:dyDescent="0.25">
      <c r="A67" s="7" t="s">
        <v>123</v>
      </c>
      <c r="B67" s="7">
        <v>215970502.63</v>
      </c>
    </row>
    <row r="68" spans="1:2" x14ac:dyDescent="0.25">
      <c r="A68" s="7" t="s">
        <v>139</v>
      </c>
      <c r="B68" s="7">
        <v>185123332.91999999</v>
      </c>
    </row>
    <row r="69" spans="1:2" x14ac:dyDescent="0.25">
      <c r="A69" s="7" t="s">
        <v>248</v>
      </c>
      <c r="B69" s="7">
        <v>128697128.91</v>
      </c>
    </row>
    <row r="70" spans="1:2" x14ac:dyDescent="0.25">
      <c r="A70" s="7" t="s">
        <v>249</v>
      </c>
      <c r="B70" s="7">
        <v>56928781.909999996</v>
      </c>
    </row>
    <row r="71" spans="1:2" x14ac:dyDescent="0.25">
      <c r="A71" s="7" t="s">
        <v>258</v>
      </c>
      <c r="B71" s="7">
        <v>837290334.30999994</v>
      </c>
    </row>
    <row r="72" spans="1:2" x14ac:dyDescent="0.25">
      <c r="A72" s="7" t="s">
        <v>254</v>
      </c>
      <c r="B72" s="7">
        <v>847859368.62</v>
      </c>
    </row>
    <row r="73" spans="1:2" x14ac:dyDescent="0.25">
      <c r="A73" s="7" t="s">
        <v>256</v>
      </c>
      <c r="B73" s="7">
        <v>42435030</v>
      </c>
    </row>
    <row r="74" spans="1:2" x14ac:dyDescent="0.25">
      <c r="A74" s="7" t="s">
        <v>8</v>
      </c>
      <c r="B74" s="7">
        <v>55055553</v>
      </c>
    </row>
    <row r="75" spans="1:2" x14ac:dyDescent="0.25">
      <c r="A75" s="7" t="s">
        <v>40</v>
      </c>
      <c r="B75" s="7">
        <v>97367</v>
      </c>
    </row>
    <row r="76" spans="1:2" x14ac:dyDescent="0.25">
      <c r="A76" s="7" t="s">
        <v>9</v>
      </c>
      <c r="B76" s="7">
        <v>142347219</v>
      </c>
    </row>
    <row r="77" spans="1:2" x14ac:dyDescent="0.25">
      <c r="A77" s="7" t="s">
        <v>10</v>
      </c>
      <c r="B77" s="7">
        <v>170439285</v>
      </c>
    </row>
    <row r="78" spans="1:2" x14ac:dyDescent="0.25">
      <c r="A78" s="7" t="s">
        <v>252</v>
      </c>
    </row>
    <row r="79" spans="1:2" x14ac:dyDescent="0.25">
      <c r="A79" s="7" t="s">
        <v>253</v>
      </c>
    </row>
    <row r="80" spans="1:2" x14ac:dyDescent="0.25">
      <c r="A80" s="7" t="s">
        <v>250</v>
      </c>
    </row>
    <row r="81" spans="1:2" x14ac:dyDescent="0.25">
      <c r="A81" s="7" t="s">
        <v>251</v>
      </c>
    </row>
    <row r="82" spans="1:2" x14ac:dyDescent="0.25">
      <c r="A82" s="7" t="s">
        <v>257</v>
      </c>
    </row>
    <row r="83" spans="1:2" x14ac:dyDescent="0.25">
      <c r="A83" s="7" t="s">
        <v>113</v>
      </c>
      <c r="B83" s="7">
        <v>126513283.69</v>
      </c>
    </row>
    <row r="84" spans="1:2" x14ac:dyDescent="0.25">
      <c r="A84" s="7" t="s">
        <v>82</v>
      </c>
      <c r="B84" s="7">
        <v>27132779</v>
      </c>
    </row>
    <row r="85" spans="1:2" x14ac:dyDescent="0.25">
      <c r="A85" s="7" t="s">
        <v>83</v>
      </c>
      <c r="B85" s="7">
        <v>4201864</v>
      </c>
    </row>
    <row r="86" spans="1:2" x14ac:dyDescent="0.25">
      <c r="A86" s="7" t="s">
        <v>16</v>
      </c>
      <c r="B86" s="7">
        <v>81440</v>
      </c>
    </row>
    <row r="87" spans="1:2" x14ac:dyDescent="0.25">
      <c r="A87" s="7" t="s">
        <v>116</v>
      </c>
      <c r="B87" s="7">
        <v>377942606.93000001</v>
      </c>
    </row>
    <row r="88" spans="1:2" x14ac:dyDescent="0.25">
      <c r="A88" s="7" t="s">
        <v>245</v>
      </c>
      <c r="B88" s="7">
        <v>1225932393</v>
      </c>
    </row>
    <row r="89" spans="1:2" x14ac:dyDescent="0.25">
      <c r="A89" s="7" t="s">
        <v>247</v>
      </c>
      <c r="B89" s="7">
        <v>95658888</v>
      </c>
    </row>
    <row r="90" spans="1:2" x14ac:dyDescent="0.25">
      <c r="A90" s="7" t="s">
        <v>246</v>
      </c>
      <c r="B90" s="7">
        <v>224229115</v>
      </c>
    </row>
    <row r="91" spans="1:2" x14ac:dyDescent="0.25">
      <c r="A91" s="7" t="s">
        <v>17</v>
      </c>
      <c r="B91" s="7">
        <v>93223914</v>
      </c>
    </row>
    <row r="92" spans="1:2" x14ac:dyDescent="0.25">
      <c r="A92" s="7" t="s">
        <v>18</v>
      </c>
      <c r="B92" s="7">
        <v>578624730</v>
      </c>
    </row>
    <row r="93" spans="1:2" x14ac:dyDescent="0.25">
      <c r="A93" s="7" t="s">
        <v>19</v>
      </c>
      <c r="B93" s="7">
        <v>72860715</v>
      </c>
    </row>
    <row r="94" spans="1:2" x14ac:dyDescent="0.25">
      <c r="A94" s="7" t="s">
        <v>20</v>
      </c>
      <c r="B94" s="7">
        <v>1634768180</v>
      </c>
    </row>
    <row r="95" spans="1:2" x14ac:dyDescent="0.25">
      <c r="A95" s="7" t="s">
        <v>21</v>
      </c>
      <c r="B95" s="7">
        <v>816029900</v>
      </c>
    </row>
    <row r="96" spans="1:2" x14ac:dyDescent="0.25">
      <c r="A96" s="7" t="s">
        <v>47</v>
      </c>
      <c r="B96" s="7">
        <v>24281038</v>
      </c>
    </row>
    <row r="97" spans="1:2" x14ac:dyDescent="0.25">
      <c r="A97" s="7" t="s">
        <v>84</v>
      </c>
    </row>
    <row r="98" spans="1:2" x14ac:dyDescent="0.25">
      <c r="A98" s="7" t="s">
        <v>85</v>
      </c>
      <c r="B98" s="7">
        <v>22051273</v>
      </c>
    </row>
    <row r="99" spans="1:2" x14ac:dyDescent="0.25">
      <c r="A99" s="7" t="s">
        <v>86</v>
      </c>
      <c r="B99" s="7">
        <v>31355317</v>
      </c>
    </row>
    <row r="100" spans="1:2" x14ac:dyDescent="0.25">
      <c r="A100" s="7" t="s">
        <v>87</v>
      </c>
      <c r="B100" s="7">
        <v>44660142</v>
      </c>
    </row>
    <row r="101" spans="1:2" x14ac:dyDescent="0.25">
      <c r="A101" s="7" t="s">
        <v>88</v>
      </c>
    </row>
    <row r="102" spans="1:2" x14ac:dyDescent="0.25">
      <c r="A102" s="7" t="s">
        <v>89</v>
      </c>
      <c r="B102" s="7">
        <v>32376821</v>
      </c>
    </row>
    <row r="103" spans="1:2" x14ac:dyDescent="0.25">
      <c r="A103" s="7" t="s">
        <v>244</v>
      </c>
      <c r="B103" s="7">
        <v>1655456386</v>
      </c>
    </row>
    <row r="104" spans="1:2" x14ac:dyDescent="0.25">
      <c r="A104" s="7" t="s">
        <v>90</v>
      </c>
      <c r="B104" s="7">
        <v>420204</v>
      </c>
    </row>
    <row r="105" spans="1:2" x14ac:dyDescent="0.25">
      <c r="A105" s="7" t="s">
        <v>91</v>
      </c>
      <c r="B105" s="7">
        <v>27707989</v>
      </c>
    </row>
    <row r="106" spans="1:2" x14ac:dyDescent="0.25">
      <c r="A106" s="7" t="s">
        <v>93</v>
      </c>
    </row>
    <row r="107" spans="1:2" x14ac:dyDescent="0.25">
      <c r="A107" s="7" t="s">
        <v>92</v>
      </c>
    </row>
    <row r="108" spans="1:2" x14ac:dyDescent="0.25">
      <c r="A108" s="7" t="s">
        <v>94</v>
      </c>
      <c r="B108" s="7">
        <v>31126258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3"/>
  <sheetViews>
    <sheetView workbookViewId="0">
      <selection activeCell="B7" sqref="B7"/>
    </sheetView>
  </sheetViews>
  <sheetFormatPr defaultRowHeight="15" x14ac:dyDescent="0.25"/>
  <cols>
    <col min="1" max="1" width="14.5703125" bestFit="1" customWidth="1"/>
    <col min="2" max="2" width="16.5703125" bestFit="1" customWidth="1"/>
  </cols>
  <sheetData>
    <row r="1" spans="1:2" x14ac:dyDescent="0.25">
      <c r="A1" s="33"/>
      <c r="B1" s="33"/>
    </row>
    <row r="2" spans="1:2" x14ac:dyDescent="0.25">
      <c r="A2" s="41" t="s">
        <v>48</v>
      </c>
      <c r="B2" s="35">
        <v>303322480</v>
      </c>
    </row>
    <row r="3" spans="1:2" x14ac:dyDescent="0.25">
      <c r="A3" s="41" t="s">
        <v>49</v>
      </c>
      <c r="B3" s="35">
        <v>62366064</v>
      </c>
    </row>
    <row r="4" spans="1:2" x14ac:dyDescent="0.25">
      <c r="A4" s="41" t="s">
        <v>50</v>
      </c>
      <c r="B4" s="35">
        <v>42241314</v>
      </c>
    </row>
    <row r="5" spans="1:2" x14ac:dyDescent="0.25">
      <c r="A5" s="41" t="s">
        <v>95</v>
      </c>
      <c r="B5" s="35">
        <v>121865354</v>
      </c>
    </row>
    <row r="6" spans="1:2" x14ac:dyDescent="0.25">
      <c r="A6" s="41" t="s">
        <v>2</v>
      </c>
      <c r="B6" s="35">
        <v>1636165</v>
      </c>
    </row>
    <row r="7" spans="1:2" x14ac:dyDescent="0.25">
      <c r="A7" s="41" t="s">
        <v>3</v>
      </c>
      <c r="B7" s="35">
        <v>207668</v>
      </c>
    </row>
    <row r="8" spans="1:2" x14ac:dyDescent="0.25">
      <c r="A8" s="41" t="s">
        <v>29</v>
      </c>
      <c r="B8" s="35">
        <v>527411466</v>
      </c>
    </row>
    <row r="9" spans="1:2" x14ac:dyDescent="0.25">
      <c r="A9" s="41" t="s">
        <v>140</v>
      </c>
      <c r="B9" s="35">
        <v>100576138</v>
      </c>
    </row>
    <row r="10" spans="1:2" x14ac:dyDescent="0.25">
      <c r="A10" s="41" t="s">
        <v>4</v>
      </c>
      <c r="B10" s="35">
        <v>2715</v>
      </c>
    </row>
    <row r="11" spans="1:2" x14ac:dyDescent="0.25">
      <c r="A11" s="41" t="s">
        <v>5</v>
      </c>
      <c r="B11" s="35">
        <v>253772</v>
      </c>
    </row>
    <row r="12" spans="1:2" x14ac:dyDescent="0.25">
      <c r="A12" s="41" t="s">
        <v>30</v>
      </c>
      <c r="B12" s="35">
        <v>1216252956</v>
      </c>
    </row>
    <row r="13" spans="1:2" x14ac:dyDescent="0.25">
      <c r="A13" s="41" t="s">
        <v>141</v>
      </c>
      <c r="B13" s="35">
        <v>196783709</v>
      </c>
    </row>
    <row r="14" spans="1:2" x14ac:dyDescent="0.25">
      <c r="A14" s="41" t="s">
        <v>6</v>
      </c>
      <c r="B14" s="35">
        <v>335502</v>
      </c>
    </row>
    <row r="15" spans="1:2" x14ac:dyDescent="0.25">
      <c r="A15" s="41" t="s">
        <v>7</v>
      </c>
      <c r="B15" s="35">
        <v>23736</v>
      </c>
    </row>
    <row r="16" spans="1:2" x14ac:dyDescent="0.25">
      <c r="A16" s="41" t="s">
        <v>55</v>
      </c>
      <c r="B16" s="35">
        <v>2701428</v>
      </c>
    </row>
    <row r="17" spans="1:2" x14ac:dyDescent="0.25">
      <c r="A17" s="41" t="s">
        <v>56</v>
      </c>
      <c r="B17" s="35">
        <v>25805575</v>
      </c>
    </row>
    <row r="18" spans="1:2" x14ac:dyDescent="0.25">
      <c r="A18" s="41" t="s">
        <v>57</v>
      </c>
      <c r="B18" s="35">
        <v>1210881</v>
      </c>
    </row>
    <row r="19" spans="1:2" x14ac:dyDescent="0.25">
      <c r="A19" s="41" t="s">
        <v>103</v>
      </c>
      <c r="B19" s="35">
        <v>23592077.809999999</v>
      </c>
    </row>
    <row r="20" spans="1:2" x14ac:dyDescent="0.25">
      <c r="A20" s="41" t="s">
        <v>104</v>
      </c>
      <c r="B20" s="35">
        <v>70754066.450000003</v>
      </c>
    </row>
    <row r="21" spans="1:2" x14ac:dyDescent="0.25">
      <c r="A21" s="41" t="s">
        <v>105</v>
      </c>
      <c r="B21" s="35">
        <v>203870902.06</v>
      </c>
    </row>
    <row r="22" spans="1:2" x14ac:dyDescent="0.25">
      <c r="A22" s="41" t="s">
        <v>106</v>
      </c>
      <c r="B22" s="35">
        <v>221184761.15000001</v>
      </c>
    </row>
    <row r="23" spans="1:2" x14ac:dyDescent="0.25">
      <c r="A23" s="41" t="s">
        <v>107</v>
      </c>
      <c r="B23" s="35">
        <v>274488077.56</v>
      </c>
    </row>
    <row r="24" spans="1:2" x14ac:dyDescent="0.25">
      <c r="A24" s="41" t="s">
        <v>108</v>
      </c>
      <c r="B24" s="35">
        <v>75257798.069999993</v>
      </c>
    </row>
    <row r="25" spans="1:2" x14ac:dyDescent="0.25">
      <c r="A25" s="41" t="s">
        <v>109</v>
      </c>
      <c r="B25" s="35">
        <v>237949757.19</v>
      </c>
    </row>
    <row r="26" spans="1:2" x14ac:dyDescent="0.25">
      <c r="A26" s="41" t="s">
        <v>99</v>
      </c>
      <c r="B26" s="35">
        <v>81849747.040000007</v>
      </c>
    </row>
    <row r="27" spans="1:2" x14ac:dyDescent="0.25">
      <c r="A27" s="41" t="s">
        <v>100</v>
      </c>
      <c r="B27" s="35">
        <v>163284636.06</v>
      </c>
    </row>
    <row r="28" spans="1:2" x14ac:dyDescent="0.25">
      <c r="A28" s="41" t="s">
        <v>101</v>
      </c>
      <c r="B28" s="37">
        <v>519401898.25</v>
      </c>
    </row>
    <row r="29" spans="1:2" x14ac:dyDescent="0.25">
      <c r="A29" s="41" t="s">
        <v>102</v>
      </c>
      <c r="B29" s="37">
        <v>363764512.89999998</v>
      </c>
    </row>
    <row r="30" spans="1:2" x14ac:dyDescent="0.25">
      <c r="A30" s="41" t="s">
        <v>125</v>
      </c>
      <c r="B30" s="35">
        <v>7924651632</v>
      </c>
    </row>
    <row r="31" spans="1:2" x14ac:dyDescent="0.25">
      <c r="A31" s="42" t="s">
        <v>31</v>
      </c>
      <c r="B31" s="7">
        <v>3259098</v>
      </c>
    </row>
    <row r="32" spans="1:2" x14ac:dyDescent="0.25">
      <c r="A32" s="41" t="s">
        <v>32</v>
      </c>
      <c r="B32" s="35">
        <v>367379</v>
      </c>
    </row>
    <row r="33" spans="1:2" x14ac:dyDescent="0.25">
      <c r="A33" s="41" t="s">
        <v>33</v>
      </c>
      <c r="B33" s="35">
        <v>6088113</v>
      </c>
    </row>
    <row r="34" spans="1:2" x14ac:dyDescent="0.25">
      <c r="A34" s="41" t="s">
        <v>34</v>
      </c>
      <c r="B34" s="35">
        <v>234668</v>
      </c>
    </row>
    <row r="35" spans="1:2" x14ac:dyDescent="0.25">
      <c r="A35" s="41" t="s">
        <v>35</v>
      </c>
      <c r="B35" s="35">
        <v>496974</v>
      </c>
    </row>
    <row r="36" spans="1:2" x14ac:dyDescent="0.25">
      <c r="A36" s="41" t="s">
        <v>36</v>
      </c>
      <c r="B36" s="35">
        <v>342718</v>
      </c>
    </row>
    <row r="37" spans="1:2" x14ac:dyDescent="0.25">
      <c r="A37" s="41" t="s">
        <v>37</v>
      </c>
      <c r="B37" s="35">
        <v>151600</v>
      </c>
    </row>
    <row r="38" spans="1:2" x14ac:dyDescent="0.25">
      <c r="A38" s="41" t="s">
        <v>38</v>
      </c>
      <c r="B38" s="35">
        <v>201807</v>
      </c>
    </row>
    <row r="39" spans="1:2" x14ac:dyDescent="0.25">
      <c r="A39" s="41" t="s">
        <v>39</v>
      </c>
      <c r="B39" s="35">
        <v>624056</v>
      </c>
    </row>
    <row r="40" spans="1:2" x14ac:dyDescent="0.25">
      <c r="A40" s="41" t="s">
        <v>41</v>
      </c>
      <c r="B40" s="35">
        <v>305920</v>
      </c>
    </row>
    <row r="41" spans="1:2" x14ac:dyDescent="0.25">
      <c r="A41" s="41" t="s">
        <v>42</v>
      </c>
      <c r="B41" s="35">
        <v>16386</v>
      </c>
    </row>
    <row r="42" spans="1:2" x14ac:dyDescent="0.25">
      <c r="A42" s="41" t="s">
        <v>43</v>
      </c>
      <c r="B42" s="35">
        <v>49296</v>
      </c>
    </row>
    <row r="43" spans="1:2" x14ac:dyDescent="0.25">
      <c r="A43" s="41" t="s">
        <v>44</v>
      </c>
      <c r="B43" s="35">
        <v>42677820</v>
      </c>
    </row>
    <row r="44" spans="1:2" x14ac:dyDescent="0.25">
      <c r="A44" s="41" t="s">
        <v>64</v>
      </c>
      <c r="B44" s="35">
        <v>437977</v>
      </c>
    </row>
    <row r="45" spans="1:2" x14ac:dyDescent="0.25">
      <c r="A45" s="41" t="s">
        <v>65</v>
      </c>
      <c r="B45" s="35">
        <v>15007736</v>
      </c>
    </row>
    <row r="46" spans="1:2" x14ac:dyDescent="0.25">
      <c r="A46" s="41" t="s">
        <v>66</v>
      </c>
      <c r="B46" s="35">
        <v>2108134</v>
      </c>
    </row>
    <row r="47" spans="1:2" x14ac:dyDescent="0.25">
      <c r="A47" s="41" t="s">
        <v>67</v>
      </c>
      <c r="B47" s="35">
        <v>101288919</v>
      </c>
    </row>
    <row r="48" spans="1:2" x14ac:dyDescent="0.25">
      <c r="A48" s="41" t="s">
        <v>68</v>
      </c>
      <c r="B48" s="35">
        <v>75955260</v>
      </c>
    </row>
    <row r="49" spans="1:2" x14ac:dyDescent="0.25">
      <c r="A49" s="41" t="s">
        <v>69</v>
      </c>
      <c r="B49" s="35">
        <v>140674813</v>
      </c>
    </row>
    <row r="50" spans="1:2" x14ac:dyDescent="0.25">
      <c r="A50" s="41" t="s">
        <v>124</v>
      </c>
      <c r="B50" s="35"/>
    </row>
    <row r="51" spans="1:2" x14ac:dyDescent="0.25">
      <c r="A51" s="41" t="s">
        <v>80</v>
      </c>
      <c r="B51" s="35">
        <v>193914983</v>
      </c>
    </row>
    <row r="52" spans="1:2" x14ac:dyDescent="0.25">
      <c r="A52" s="41" t="s">
        <v>26</v>
      </c>
      <c r="B52" s="35">
        <v>776228969</v>
      </c>
    </row>
    <row r="53" spans="1:2" x14ac:dyDescent="0.25">
      <c r="A53" s="41" t="s">
        <v>45</v>
      </c>
      <c r="B53" s="35">
        <v>67922155</v>
      </c>
    </row>
    <row r="54" spans="1:2" x14ac:dyDescent="0.25">
      <c r="A54" s="41" t="s">
        <v>27</v>
      </c>
      <c r="B54" s="35">
        <v>1019381741</v>
      </c>
    </row>
    <row r="55" spans="1:2" x14ac:dyDescent="0.25">
      <c r="A55" s="41" t="s">
        <v>97</v>
      </c>
      <c r="B55" s="35">
        <v>13416427</v>
      </c>
    </row>
    <row r="56" spans="1:2" x14ac:dyDescent="0.25">
      <c r="A56" s="41" t="s">
        <v>96</v>
      </c>
      <c r="B56" s="35">
        <v>1444152195</v>
      </c>
    </row>
    <row r="57" spans="1:2" x14ac:dyDescent="0.25">
      <c r="A57" s="41" t="s">
        <v>81</v>
      </c>
      <c r="B57" s="35">
        <v>411041</v>
      </c>
    </row>
    <row r="58" spans="1:2" x14ac:dyDescent="0.25">
      <c r="A58" s="41" t="s">
        <v>98</v>
      </c>
      <c r="B58" s="35">
        <v>3066747115</v>
      </c>
    </row>
    <row r="59" spans="1:2" x14ac:dyDescent="0.25">
      <c r="A59" s="41" t="s">
        <v>28</v>
      </c>
      <c r="B59" s="35">
        <v>1263782211</v>
      </c>
    </row>
    <row r="60" spans="1:2" x14ac:dyDescent="0.25">
      <c r="A60" s="41" t="s">
        <v>129</v>
      </c>
      <c r="B60" s="35">
        <v>178577836.71000001</v>
      </c>
    </row>
    <row r="61" spans="1:2" x14ac:dyDescent="0.25">
      <c r="A61" s="41" t="s">
        <v>110</v>
      </c>
      <c r="B61" s="35">
        <v>381365977.63</v>
      </c>
    </row>
    <row r="62" spans="1:2" x14ac:dyDescent="0.25">
      <c r="A62" s="41" t="s">
        <v>111</v>
      </c>
      <c r="B62" s="35">
        <v>239405828.30000001</v>
      </c>
    </row>
    <row r="63" spans="1:2" x14ac:dyDescent="0.25">
      <c r="A63" s="41" t="s">
        <v>112</v>
      </c>
      <c r="B63" s="35">
        <v>291003456.54000002</v>
      </c>
    </row>
    <row r="64" spans="1:2" x14ac:dyDescent="0.25">
      <c r="A64" s="41" t="s">
        <v>122</v>
      </c>
      <c r="B64" s="35">
        <v>209792406.22</v>
      </c>
    </row>
    <row r="65" spans="1:2" x14ac:dyDescent="0.25">
      <c r="A65" s="41" t="s">
        <v>123</v>
      </c>
      <c r="B65" s="35">
        <v>236284386.53999999</v>
      </c>
    </row>
    <row r="66" spans="1:2" x14ac:dyDescent="0.25">
      <c r="A66" s="41" t="s">
        <v>139</v>
      </c>
      <c r="B66" s="35">
        <v>200957956.69</v>
      </c>
    </row>
    <row r="67" spans="1:2" x14ac:dyDescent="0.25">
      <c r="A67" s="41" t="s">
        <v>248</v>
      </c>
      <c r="B67" s="35">
        <v>62426081.159999996</v>
      </c>
    </row>
    <row r="68" spans="1:2" x14ac:dyDescent="0.25">
      <c r="A68" s="41" t="s">
        <v>249</v>
      </c>
      <c r="B68" s="35">
        <v>29646581.079999998</v>
      </c>
    </row>
    <row r="69" spans="1:2" x14ac:dyDescent="0.25">
      <c r="A69" s="41" t="s">
        <v>8</v>
      </c>
      <c r="B69" s="35">
        <v>10340595.1</v>
      </c>
    </row>
    <row r="70" spans="1:2" x14ac:dyDescent="0.25">
      <c r="A70" s="41" t="s">
        <v>40</v>
      </c>
      <c r="B70" s="35">
        <v>53327283</v>
      </c>
    </row>
    <row r="71" spans="1:2" x14ac:dyDescent="0.25">
      <c r="A71" s="41" t="s">
        <v>9</v>
      </c>
      <c r="B71" s="35">
        <v>97735</v>
      </c>
    </row>
    <row r="72" spans="1:2" x14ac:dyDescent="0.25">
      <c r="A72" s="41" t="s">
        <v>10</v>
      </c>
      <c r="B72" s="35">
        <v>152886294</v>
      </c>
    </row>
    <row r="73" spans="1:2" x14ac:dyDescent="0.25">
      <c r="A73" s="41" t="s">
        <v>113</v>
      </c>
      <c r="B73" s="35">
        <v>187629279</v>
      </c>
    </row>
    <row r="74" spans="1:2" x14ac:dyDescent="0.25">
      <c r="A74" s="41"/>
      <c r="B74" s="35">
        <v>126305916.58</v>
      </c>
    </row>
    <row r="75" spans="1:2" x14ac:dyDescent="0.25">
      <c r="A75" s="41" t="s">
        <v>11</v>
      </c>
      <c r="B75" s="35">
        <v>12077639</v>
      </c>
    </row>
    <row r="76" spans="1:2" x14ac:dyDescent="0.25">
      <c r="A76" s="41" t="s">
        <v>12</v>
      </c>
      <c r="B76" s="35">
        <v>7224850</v>
      </c>
    </row>
    <row r="77" spans="1:2" x14ac:dyDescent="0.25">
      <c r="A77" s="41" t="s">
        <v>13</v>
      </c>
      <c r="B77" s="35">
        <v>6780486</v>
      </c>
    </row>
    <row r="78" spans="1:2" x14ac:dyDescent="0.25">
      <c r="A78" s="41" t="s">
        <v>14</v>
      </c>
      <c r="B78" s="35">
        <v>10269499</v>
      </c>
    </row>
    <row r="79" spans="1:2" x14ac:dyDescent="0.25">
      <c r="A79" s="41" t="s">
        <v>15</v>
      </c>
      <c r="B79" s="35">
        <v>9847345</v>
      </c>
    </row>
    <row r="80" spans="1:2" x14ac:dyDescent="0.25">
      <c r="A80" s="41" t="s">
        <v>82</v>
      </c>
      <c r="B80" s="35">
        <v>26742734</v>
      </c>
    </row>
    <row r="81" spans="1:2" x14ac:dyDescent="0.25">
      <c r="A81" s="41" t="s">
        <v>83</v>
      </c>
      <c r="B81" s="35">
        <v>3966823</v>
      </c>
    </row>
    <row r="82" spans="1:2" x14ac:dyDescent="0.25">
      <c r="A82" s="41" t="s">
        <v>22</v>
      </c>
      <c r="B82" s="35">
        <v>1888325</v>
      </c>
    </row>
    <row r="83" spans="1:2" x14ac:dyDescent="0.25">
      <c r="A83" s="41" t="s">
        <v>23</v>
      </c>
      <c r="B83" s="35">
        <v>1</v>
      </c>
    </row>
    <row r="84" spans="1:2" x14ac:dyDescent="0.25">
      <c r="A84" s="41" t="s">
        <v>24</v>
      </c>
      <c r="B84" s="35">
        <v>1</v>
      </c>
    </row>
    <row r="85" spans="1:2" x14ac:dyDescent="0.25">
      <c r="A85" s="41" t="s">
        <v>46</v>
      </c>
      <c r="B85" s="35">
        <v>74572</v>
      </c>
    </row>
    <row r="86" spans="1:2" x14ac:dyDescent="0.25">
      <c r="A86" s="41" t="s">
        <v>16</v>
      </c>
      <c r="B86" s="35">
        <v>81810</v>
      </c>
    </row>
    <row r="87" spans="1:2" x14ac:dyDescent="0.25">
      <c r="A87" s="41"/>
      <c r="B87" s="35"/>
    </row>
    <row r="88" spans="1:2" x14ac:dyDescent="0.25">
      <c r="A88" s="41" t="s">
        <v>116</v>
      </c>
      <c r="B88" s="35">
        <v>421643168.94999999</v>
      </c>
    </row>
    <row r="89" spans="1:2" x14ac:dyDescent="0.25">
      <c r="A89" s="41" t="s">
        <v>117</v>
      </c>
      <c r="B89" s="35">
        <v>20812768.899999999</v>
      </c>
    </row>
    <row r="90" spans="1:2" x14ac:dyDescent="0.25">
      <c r="A90" s="41" t="s">
        <v>118</v>
      </c>
      <c r="B90" s="35">
        <v>30792251.690000001</v>
      </c>
    </row>
    <row r="91" spans="1:2" x14ac:dyDescent="0.25">
      <c r="A91" s="41"/>
      <c r="B91" s="35"/>
    </row>
    <row r="92" spans="1:2" x14ac:dyDescent="0.25">
      <c r="A92" s="41" t="s">
        <v>245</v>
      </c>
      <c r="B92" s="35">
        <v>1191909687</v>
      </c>
    </row>
    <row r="93" spans="1:2" x14ac:dyDescent="0.25">
      <c r="A93" s="41" t="s">
        <v>247</v>
      </c>
      <c r="B93" s="35">
        <v>3899225</v>
      </c>
    </row>
    <row r="94" spans="1:2" x14ac:dyDescent="0.25">
      <c r="A94" s="41" t="s">
        <v>246</v>
      </c>
      <c r="B94" s="35">
        <v>205868673</v>
      </c>
    </row>
    <row r="95" spans="1:2" x14ac:dyDescent="0.25">
      <c r="A95" s="41" t="s">
        <v>17</v>
      </c>
      <c r="B95" s="35">
        <v>104944313</v>
      </c>
    </row>
    <row r="96" spans="1:2" x14ac:dyDescent="0.25">
      <c r="A96" s="41" t="s">
        <v>18</v>
      </c>
      <c r="B96" s="35">
        <v>602210293</v>
      </c>
    </row>
    <row r="97" spans="1:2" x14ac:dyDescent="0.25">
      <c r="A97" s="41" t="s">
        <v>19</v>
      </c>
      <c r="B97" s="35">
        <v>82593066</v>
      </c>
    </row>
    <row r="98" spans="1:2" x14ac:dyDescent="0.25">
      <c r="A98" s="41" t="s">
        <v>20</v>
      </c>
      <c r="B98" s="35">
        <v>1700545348</v>
      </c>
    </row>
    <row r="99" spans="1:2" x14ac:dyDescent="0.25">
      <c r="A99" s="41" t="s">
        <v>21</v>
      </c>
      <c r="B99" s="35">
        <v>817292550</v>
      </c>
    </row>
    <row r="100" spans="1:2" x14ac:dyDescent="0.25">
      <c r="A100" s="41" t="s">
        <v>47</v>
      </c>
      <c r="B100" s="35">
        <v>28302234</v>
      </c>
    </row>
    <row r="101" spans="1:2" x14ac:dyDescent="0.25">
      <c r="A101" s="41" t="s">
        <v>84</v>
      </c>
      <c r="B101" s="35"/>
    </row>
    <row r="102" spans="1:2" x14ac:dyDescent="0.25">
      <c r="A102" s="41" t="s">
        <v>85</v>
      </c>
      <c r="B102" s="35">
        <v>22840332</v>
      </c>
    </row>
    <row r="103" spans="1:2" x14ac:dyDescent="0.25">
      <c r="A103" s="41" t="s">
        <v>86</v>
      </c>
      <c r="B103" s="35">
        <v>31768501</v>
      </c>
    </row>
    <row r="104" spans="1:2" x14ac:dyDescent="0.25">
      <c r="A104" s="41" t="s">
        <v>87</v>
      </c>
      <c r="B104" s="35">
        <v>46664148</v>
      </c>
    </row>
    <row r="105" spans="1:2" x14ac:dyDescent="0.25">
      <c r="A105" s="41" t="s">
        <v>88</v>
      </c>
      <c r="B105" s="35"/>
    </row>
    <row r="106" spans="1:2" x14ac:dyDescent="0.25">
      <c r="A106" s="41" t="s">
        <v>25</v>
      </c>
      <c r="B106" s="35"/>
    </row>
    <row r="107" spans="1:2" x14ac:dyDescent="0.25">
      <c r="A107" s="41" t="s">
        <v>89</v>
      </c>
      <c r="B107" s="35">
        <v>32377804</v>
      </c>
    </row>
    <row r="108" spans="1:2" x14ac:dyDescent="0.25">
      <c r="A108" s="41" t="s">
        <v>244</v>
      </c>
      <c r="B108" s="35">
        <v>1600325778</v>
      </c>
    </row>
    <row r="109" spans="1:2" x14ac:dyDescent="0.25">
      <c r="A109" s="41" t="s">
        <v>90</v>
      </c>
      <c r="B109" s="35">
        <v>401191</v>
      </c>
    </row>
    <row r="110" spans="1:2" x14ac:dyDescent="0.25">
      <c r="A110" s="41" t="s">
        <v>91</v>
      </c>
      <c r="B110" s="35">
        <v>28883357</v>
      </c>
    </row>
    <row r="111" spans="1:2" x14ac:dyDescent="0.25">
      <c r="A111" s="41" t="s">
        <v>93</v>
      </c>
      <c r="B111" s="7"/>
    </row>
    <row r="112" spans="1:2" x14ac:dyDescent="0.25">
      <c r="A112" s="7" t="s">
        <v>92</v>
      </c>
      <c r="B112" s="7"/>
    </row>
    <row r="113" spans="1:2" x14ac:dyDescent="0.25">
      <c r="A113" t="s">
        <v>94</v>
      </c>
      <c r="B113">
        <v>32177071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3"/>
  <sheetViews>
    <sheetView topLeftCell="A82" workbookViewId="0">
      <selection sqref="A1:B1048576"/>
    </sheetView>
  </sheetViews>
  <sheetFormatPr defaultRowHeight="15" x14ac:dyDescent="0.25"/>
  <cols>
    <col min="1" max="1" width="15.7109375" style="7" bestFit="1" customWidth="1"/>
    <col min="2" max="2" width="16.85546875" style="7" bestFit="1" customWidth="1"/>
  </cols>
  <sheetData>
    <row r="1" spans="1:2" x14ac:dyDescent="0.25">
      <c r="A1" s="33" t="s">
        <v>0</v>
      </c>
      <c r="B1" s="33" t="s">
        <v>1</v>
      </c>
    </row>
    <row r="2" spans="1:2" x14ac:dyDescent="0.25">
      <c r="A2" s="33" t="s">
        <v>48</v>
      </c>
      <c r="B2" s="33">
        <v>303598057</v>
      </c>
    </row>
    <row r="3" spans="1:2" x14ac:dyDescent="0.25">
      <c r="A3" s="41" t="s">
        <v>49</v>
      </c>
      <c r="B3" s="35">
        <v>62784035</v>
      </c>
    </row>
    <row r="4" spans="1:2" x14ac:dyDescent="0.25">
      <c r="A4" s="41" t="s">
        <v>50</v>
      </c>
      <c r="B4" s="35">
        <v>42859844</v>
      </c>
    </row>
    <row r="5" spans="1:2" x14ac:dyDescent="0.25">
      <c r="A5" s="41" t="s">
        <v>95</v>
      </c>
      <c r="B5" s="35">
        <v>122733483</v>
      </c>
    </row>
    <row r="6" spans="1:2" x14ac:dyDescent="0.25">
      <c r="A6" s="41" t="s">
        <v>2</v>
      </c>
      <c r="B6" s="35">
        <v>1628535</v>
      </c>
    </row>
    <row r="7" spans="1:2" x14ac:dyDescent="0.25">
      <c r="A7" s="41" t="s">
        <v>3</v>
      </c>
      <c r="B7" s="35">
        <v>208500</v>
      </c>
    </row>
    <row r="8" spans="1:2" x14ac:dyDescent="0.25">
      <c r="A8" s="41" t="s">
        <v>29</v>
      </c>
      <c r="B8" s="35">
        <v>536877064</v>
      </c>
    </row>
    <row r="9" spans="1:2" x14ac:dyDescent="0.25">
      <c r="A9" s="41" t="s">
        <v>140</v>
      </c>
      <c r="B9" s="35">
        <v>100697982.73999999</v>
      </c>
    </row>
    <row r="10" spans="1:2" x14ac:dyDescent="0.25">
      <c r="A10" s="41" t="s">
        <v>4</v>
      </c>
      <c r="B10" s="35">
        <v>2731</v>
      </c>
    </row>
    <row r="11" spans="1:2" x14ac:dyDescent="0.25">
      <c r="A11" s="41" t="s">
        <v>5</v>
      </c>
      <c r="B11" s="35">
        <v>255274</v>
      </c>
    </row>
    <row r="12" spans="1:2" x14ac:dyDescent="0.25">
      <c r="A12" s="41" t="s">
        <v>30</v>
      </c>
      <c r="B12" s="35">
        <v>1246191567</v>
      </c>
    </row>
    <row r="13" spans="1:2" x14ac:dyDescent="0.25">
      <c r="A13" s="41" t="s">
        <v>141</v>
      </c>
      <c r="B13" s="35">
        <v>195372293.31</v>
      </c>
    </row>
    <row r="14" spans="1:2" x14ac:dyDescent="0.25">
      <c r="A14" s="41" t="s">
        <v>6</v>
      </c>
      <c r="B14" s="35">
        <v>338862</v>
      </c>
    </row>
    <row r="15" spans="1:2" x14ac:dyDescent="0.25">
      <c r="A15" s="41" t="s">
        <v>7</v>
      </c>
      <c r="B15" s="35">
        <v>23873</v>
      </c>
    </row>
    <row r="16" spans="1:2" x14ac:dyDescent="0.25">
      <c r="A16" s="41" t="s">
        <v>55</v>
      </c>
      <c r="B16" s="35">
        <v>2755513</v>
      </c>
    </row>
    <row r="17" spans="1:2" x14ac:dyDescent="0.25">
      <c r="A17" s="41" t="s">
        <v>56</v>
      </c>
      <c r="B17" s="35">
        <v>25896624</v>
      </c>
    </row>
    <row r="18" spans="1:2" x14ac:dyDescent="0.25">
      <c r="A18" s="41" t="s">
        <v>57</v>
      </c>
      <c r="B18" s="35">
        <v>1211812</v>
      </c>
    </row>
    <row r="19" spans="1:2" x14ac:dyDescent="0.25">
      <c r="A19" s="41" t="s">
        <v>103</v>
      </c>
      <c r="B19" s="35">
        <v>24461401.490000002</v>
      </c>
    </row>
    <row r="20" spans="1:2" x14ac:dyDescent="0.25">
      <c r="A20" s="41" t="s">
        <v>104</v>
      </c>
      <c r="B20" s="35">
        <v>72006337.599999994</v>
      </c>
    </row>
    <row r="21" spans="1:2" x14ac:dyDescent="0.25">
      <c r="A21" s="41" t="s">
        <v>105</v>
      </c>
      <c r="B21" s="35">
        <v>207606319.91</v>
      </c>
    </row>
    <row r="22" spans="1:2" x14ac:dyDescent="0.25">
      <c r="A22" s="41" t="s">
        <v>106</v>
      </c>
      <c r="B22" s="35">
        <v>223076891.82999998</v>
      </c>
    </row>
    <row r="23" spans="1:2" x14ac:dyDescent="0.25">
      <c r="A23" s="41" t="s">
        <v>107</v>
      </c>
      <c r="B23" s="35">
        <v>273978681.43000001</v>
      </c>
    </row>
    <row r="24" spans="1:2" x14ac:dyDescent="0.25">
      <c r="A24" s="41" t="s">
        <v>108</v>
      </c>
      <c r="B24" s="35">
        <v>77116132.75</v>
      </c>
    </row>
    <row r="25" spans="1:2" x14ac:dyDescent="0.25">
      <c r="A25" s="41" t="s">
        <v>109</v>
      </c>
      <c r="B25" s="35">
        <v>244448055.73000002</v>
      </c>
    </row>
    <row r="26" spans="1:2" x14ac:dyDescent="0.25">
      <c r="A26" s="41" t="s">
        <v>99</v>
      </c>
      <c r="B26" s="35">
        <v>84413114.719999999</v>
      </c>
    </row>
    <row r="27" spans="1:2" x14ac:dyDescent="0.25">
      <c r="A27" s="41" t="s">
        <v>100</v>
      </c>
      <c r="B27" s="35">
        <v>169952034.75</v>
      </c>
    </row>
    <row r="28" spans="1:2" x14ac:dyDescent="0.25">
      <c r="A28" s="41" t="s">
        <v>101</v>
      </c>
      <c r="B28" s="35">
        <v>526177486.11000001</v>
      </c>
    </row>
    <row r="29" spans="1:2" x14ac:dyDescent="0.25">
      <c r="A29" s="41" t="s">
        <v>102</v>
      </c>
      <c r="B29" s="37">
        <v>372975733.11000001</v>
      </c>
    </row>
    <row r="30" spans="1:2" x14ac:dyDescent="0.25">
      <c r="A30" s="41" t="s">
        <v>125</v>
      </c>
      <c r="B30" s="37">
        <v>7931191502</v>
      </c>
    </row>
    <row r="31" spans="1:2" x14ac:dyDescent="0.25">
      <c r="A31" s="41" t="s">
        <v>31</v>
      </c>
      <c r="B31" s="35">
        <v>3269482</v>
      </c>
    </row>
    <row r="32" spans="1:2" x14ac:dyDescent="0.25">
      <c r="A32" s="42" t="s">
        <v>32</v>
      </c>
      <c r="B32" s="7">
        <v>367649</v>
      </c>
    </row>
    <row r="33" spans="1:2" x14ac:dyDescent="0.25">
      <c r="A33" s="41" t="s">
        <v>33</v>
      </c>
      <c r="B33" s="35">
        <v>6114681</v>
      </c>
    </row>
    <row r="34" spans="1:2" x14ac:dyDescent="0.25">
      <c r="A34" s="41" t="s">
        <v>34</v>
      </c>
      <c r="B34" s="35">
        <v>234847</v>
      </c>
    </row>
    <row r="35" spans="1:2" x14ac:dyDescent="0.25">
      <c r="A35" s="41" t="s">
        <v>35</v>
      </c>
      <c r="B35" s="35">
        <v>497327</v>
      </c>
    </row>
    <row r="36" spans="1:2" x14ac:dyDescent="0.25">
      <c r="A36" s="41" t="s">
        <v>36</v>
      </c>
      <c r="B36" s="35">
        <v>348406</v>
      </c>
    </row>
    <row r="37" spans="1:2" x14ac:dyDescent="0.25">
      <c r="A37" s="41" t="s">
        <v>37</v>
      </c>
      <c r="B37" s="35">
        <v>151684</v>
      </c>
    </row>
    <row r="38" spans="1:2" x14ac:dyDescent="0.25">
      <c r="A38" s="41" t="s">
        <v>38</v>
      </c>
      <c r="B38" s="35">
        <v>201915</v>
      </c>
    </row>
    <row r="39" spans="1:2" x14ac:dyDescent="0.25">
      <c r="A39" s="41" t="s">
        <v>39</v>
      </c>
      <c r="B39" s="35">
        <v>645338</v>
      </c>
    </row>
    <row r="40" spans="1:2" x14ac:dyDescent="0.25">
      <c r="A40" s="41" t="s">
        <v>41</v>
      </c>
      <c r="B40" s="35">
        <v>306120</v>
      </c>
    </row>
    <row r="41" spans="1:2" x14ac:dyDescent="0.25">
      <c r="A41" s="41" t="s">
        <v>42</v>
      </c>
      <c r="B41" s="35">
        <v>16400</v>
      </c>
    </row>
    <row r="42" spans="1:2" x14ac:dyDescent="0.25">
      <c r="A42" s="41" t="s">
        <v>43</v>
      </c>
      <c r="B42" s="35">
        <v>49345</v>
      </c>
    </row>
    <row r="43" spans="1:2" x14ac:dyDescent="0.25">
      <c r="A43" s="41" t="s">
        <v>44</v>
      </c>
      <c r="B43" s="35">
        <v>43878162</v>
      </c>
    </row>
    <row r="44" spans="1:2" x14ac:dyDescent="0.25">
      <c r="A44" s="41" t="s">
        <v>64</v>
      </c>
      <c r="B44" s="35">
        <v>471056</v>
      </c>
    </row>
    <row r="45" spans="1:2" x14ac:dyDescent="0.25">
      <c r="A45" s="41" t="s">
        <v>65</v>
      </c>
      <c r="B45" s="35">
        <v>15103496</v>
      </c>
    </row>
    <row r="46" spans="1:2" x14ac:dyDescent="0.25">
      <c r="A46" s="41" t="s">
        <v>66</v>
      </c>
      <c r="B46" s="35">
        <v>2114797</v>
      </c>
    </row>
    <row r="47" spans="1:2" x14ac:dyDescent="0.25">
      <c r="A47" s="41" t="s">
        <v>67</v>
      </c>
      <c r="B47" s="35">
        <v>102082381</v>
      </c>
    </row>
    <row r="48" spans="1:2" x14ac:dyDescent="0.25">
      <c r="A48" s="41" t="s">
        <v>68</v>
      </c>
      <c r="B48" s="35">
        <v>76279938</v>
      </c>
    </row>
    <row r="49" spans="1:2" x14ac:dyDescent="0.25">
      <c r="A49" s="41" t="s">
        <v>69</v>
      </c>
      <c r="B49" s="35">
        <v>141914700</v>
      </c>
    </row>
    <row r="50" spans="1:2" x14ac:dyDescent="0.25">
      <c r="A50" s="41" t="s">
        <v>124</v>
      </c>
      <c r="B50" s="35"/>
    </row>
    <row r="51" spans="1:2" x14ac:dyDescent="0.25">
      <c r="A51" s="41" t="s">
        <v>80</v>
      </c>
      <c r="B51" s="35">
        <v>197364355</v>
      </c>
    </row>
    <row r="52" spans="1:2" x14ac:dyDescent="0.25">
      <c r="A52" s="41" t="s">
        <v>26</v>
      </c>
      <c r="B52" s="35">
        <v>793564223</v>
      </c>
    </row>
    <row r="53" spans="1:2" x14ac:dyDescent="0.25">
      <c r="A53" s="41" t="s">
        <v>45</v>
      </c>
      <c r="B53" s="35">
        <v>69910698</v>
      </c>
    </row>
    <row r="54" spans="1:2" x14ac:dyDescent="0.25">
      <c r="A54" s="41" t="s">
        <v>27</v>
      </c>
      <c r="B54" s="35">
        <v>1056503181</v>
      </c>
    </row>
    <row r="55" spans="1:2" x14ac:dyDescent="0.25">
      <c r="A55" s="41" t="s">
        <v>97</v>
      </c>
      <c r="B55" s="35">
        <v>13362011</v>
      </c>
    </row>
    <row r="56" spans="1:2" x14ac:dyDescent="0.25">
      <c r="A56" s="41" t="s">
        <v>96</v>
      </c>
      <c r="B56" s="35">
        <v>1465535075</v>
      </c>
    </row>
    <row r="57" spans="1:2" x14ac:dyDescent="0.25">
      <c r="A57" s="41" t="s">
        <v>81</v>
      </c>
      <c r="B57" s="35">
        <v>412610</v>
      </c>
    </row>
    <row r="58" spans="1:2" x14ac:dyDescent="0.25">
      <c r="A58" s="41" t="s">
        <v>98</v>
      </c>
      <c r="B58" s="35">
        <v>3200708422</v>
      </c>
    </row>
    <row r="59" spans="1:2" x14ac:dyDescent="0.25">
      <c r="A59" s="41" t="s">
        <v>28</v>
      </c>
      <c r="B59" s="35">
        <v>1296106253</v>
      </c>
    </row>
    <row r="60" spans="1:2" x14ac:dyDescent="0.25">
      <c r="A60" s="41" t="s">
        <v>129</v>
      </c>
      <c r="B60" s="35">
        <v>186971330.72924444</v>
      </c>
    </row>
    <row r="61" spans="1:2" x14ac:dyDescent="0.25">
      <c r="A61" s="41" t="s">
        <v>110</v>
      </c>
      <c r="B61" s="35">
        <v>401369763.13999999</v>
      </c>
    </row>
    <row r="62" spans="1:2" x14ac:dyDescent="0.25">
      <c r="A62" s="41" t="s">
        <v>111</v>
      </c>
      <c r="B62" s="35">
        <v>250776952.88000003</v>
      </c>
    </row>
    <row r="63" spans="1:2" x14ac:dyDescent="0.25">
      <c r="A63" s="41" t="s">
        <v>112</v>
      </c>
      <c r="B63" s="35">
        <v>299628454.36000001</v>
      </c>
    </row>
    <row r="64" spans="1:2" x14ac:dyDescent="0.25">
      <c r="A64" s="41" t="s">
        <v>122</v>
      </c>
      <c r="B64" s="35">
        <v>215979720.54999998</v>
      </c>
    </row>
    <row r="65" spans="1:2" x14ac:dyDescent="0.25">
      <c r="A65" s="41" t="s">
        <v>123</v>
      </c>
      <c r="B65" s="35">
        <v>241094411.59</v>
      </c>
    </row>
    <row r="66" spans="1:2" x14ac:dyDescent="0.25">
      <c r="A66" s="41" t="s">
        <v>139</v>
      </c>
      <c r="B66" s="35">
        <v>204347715.54000002</v>
      </c>
    </row>
    <row r="67" spans="1:2" x14ac:dyDescent="0.25">
      <c r="A67" s="41" t="s">
        <v>248</v>
      </c>
      <c r="B67" s="35">
        <v>27856881.899999999</v>
      </c>
    </row>
    <row r="68" spans="1:2" x14ac:dyDescent="0.25">
      <c r="A68" s="41" t="s">
        <v>249</v>
      </c>
      <c r="B68" s="35">
        <v>14391462.280000001</v>
      </c>
    </row>
    <row r="69" spans="1:2" x14ac:dyDescent="0.25">
      <c r="A69" s="41" t="s">
        <v>8</v>
      </c>
      <c r="B69" s="35">
        <v>53687500</v>
      </c>
    </row>
    <row r="70" spans="1:2" x14ac:dyDescent="0.25">
      <c r="A70" s="41" t="s">
        <v>40</v>
      </c>
      <c r="B70" s="35">
        <v>97798</v>
      </c>
    </row>
    <row r="71" spans="1:2" x14ac:dyDescent="0.25">
      <c r="A71" s="41" t="s">
        <v>9</v>
      </c>
      <c r="B71" s="35">
        <v>156098601</v>
      </c>
    </row>
    <row r="72" spans="1:2" x14ac:dyDescent="0.25">
      <c r="A72" s="41" t="s">
        <v>10</v>
      </c>
      <c r="B72" s="35">
        <v>191881124</v>
      </c>
    </row>
    <row r="73" spans="1:2" x14ac:dyDescent="0.25">
      <c r="A73" s="41" t="s">
        <v>113</v>
      </c>
      <c r="B73" s="35">
        <v>126305916.58000001</v>
      </c>
    </row>
    <row r="74" spans="1:2" x14ac:dyDescent="0.25">
      <c r="A74" s="41"/>
      <c r="B74" s="35"/>
    </row>
    <row r="75" spans="1:2" x14ac:dyDescent="0.25">
      <c r="A75" s="41" t="s">
        <v>11</v>
      </c>
      <c r="B75" s="35">
        <v>12366656</v>
      </c>
    </row>
    <row r="76" spans="1:2" x14ac:dyDescent="0.25">
      <c r="A76" s="41" t="s">
        <v>12</v>
      </c>
      <c r="B76" s="35">
        <v>7283731</v>
      </c>
    </row>
    <row r="77" spans="1:2" x14ac:dyDescent="0.25">
      <c r="A77" s="41" t="s">
        <v>13</v>
      </c>
      <c r="B77" s="35">
        <v>6911787</v>
      </c>
    </row>
    <row r="78" spans="1:2" x14ac:dyDescent="0.25">
      <c r="A78" s="41" t="s">
        <v>14</v>
      </c>
      <c r="B78" s="35">
        <v>10411752</v>
      </c>
    </row>
    <row r="79" spans="1:2" x14ac:dyDescent="0.25">
      <c r="A79" s="41" t="s">
        <v>15</v>
      </c>
      <c r="B79" s="35">
        <v>10017616</v>
      </c>
    </row>
    <row r="80" spans="1:2" x14ac:dyDescent="0.25">
      <c r="A80" s="41" t="s">
        <v>82</v>
      </c>
      <c r="B80" s="35">
        <v>27152034</v>
      </c>
    </row>
    <row r="81" spans="1:2" x14ac:dyDescent="0.25">
      <c r="A81" s="41" t="s">
        <v>83</v>
      </c>
      <c r="B81" s="35">
        <v>3981388</v>
      </c>
    </row>
    <row r="82" spans="1:2" x14ac:dyDescent="0.25">
      <c r="A82" s="41" t="s">
        <v>22</v>
      </c>
      <c r="B82" s="35">
        <v>1888921</v>
      </c>
    </row>
    <row r="83" spans="1:2" x14ac:dyDescent="0.25">
      <c r="A83" s="41" t="s">
        <v>23</v>
      </c>
      <c r="B83" s="35">
        <v>1</v>
      </c>
    </row>
    <row r="84" spans="1:2" x14ac:dyDescent="0.25">
      <c r="A84" s="41" t="s">
        <v>24</v>
      </c>
      <c r="B84" s="35">
        <v>1</v>
      </c>
    </row>
    <row r="85" spans="1:2" x14ac:dyDescent="0.25">
      <c r="A85" s="41" t="s">
        <v>46</v>
      </c>
      <c r="B85" s="35">
        <v>74763</v>
      </c>
    </row>
    <row r="86" spans="1:2" x14ac:dyDescent="0.25">
      <c r="A86" s="41" t="s">
        <v>16</v>
      </c>
      <c r="B86" s="35">
        <v>82040</v>
      </c>
    </row>
    <row r="87" spans="1:2" x14ac:dyDescent="0.25">
      <c r="A87" s="41"/>
      <c r="B87" s="35"/>
    </row>
    <row r="88" spans="1:2" x14ac:dyDescent="0.25">
      <c r="A88" s="41" t="s">
        <v>116</v>
      </c>
      <c r="B88" s="35">
        <v>431460009.78000003</v>
      </c>
    </row>
    <row r="89" spans="1:2" x14ac:dyDescent="0.25">
      <c r="A89" s="41" t="s">
        <v>117</v>
      </c>
      <c r="B89" s="35">
        <v>21754266.899999999</v>
      </c>
    </row>
    <row r="90" spans="1:2" x14ac:dyDescent="0.25">
      <c r="A90" s="41" t="s">
        <v>118</v>
      </c>
      <c r="B90" s="35">
        <v>32043075.41</v>
      </c>
    </row>
    <row r="91" spans="1:2" x14ac:dyDescent="0.25">
      <c r="A91" s="41"/>
      <c r="B91" s="35"/>
    </row>
    <row r="92" spans="1:2" x14ac:dyDescent="0.25">
      <c r="A92" s="41" t="s">
        <v>245</v>
      </c>
      <c r="B92" s="35">
        <v>1198369968</v>
      </c>
    </row>
    <row r="93" spans="1:2" x14ac:dyDescent="0.25">
      <c r="A93" s="41" t="s">
        <v>247</v>
      </c>
      <c r="B93" s="35">
        <v>3993066</v>
      </c>
    </row>
    <row r="94" spans="1:2" x14ac:dyDescent="0.25">
      <c r="A94" s="41" t="s">
        <v>246</v>
      </c>
      <c r="B94" s="35">
        <v>214032211</v>
      </c>
    </row>
    <row r="95" spans="1:2" x14ac:dyDescent="0.25">
      <c r="A95" s="41" t="s">
        <v>17</v>
      </c>
      <c r="B95" s="35">
        <v>107499901.51000001</v>
      </c>
    </row>
    <row r="96" spans="1:2" x14ac:dyDescent="0.25">
      <c r="A96" s="41" t="s">
        <v>18</v>
      </c>
      <c r="B96" s="35">
        <v>613551923.11000001</v>
      </c>
    </row>
    <row r="97" spans="1:2" x14ac:dyDescent="0.25">
      <c r="A97" s="41" t="s">
        <v>19</v>
      </c>
      <c r="B97" s="35">
        <v>85418387.640000001</v>
      </c>
    </row>
    <row r="98" spans="1:2" x14ac:dyDescent="0.25">
      <c r="A98" s="41" t="s">
        <v>20</v>
      </c>
      <c r="B98" s="35">
        <v>1733522529</v>
      </c>
    </row>
    <row r="99" spans="1:2" x14ac:dyDescent="0.25">
      <c r="A99" s="41" t="s">
        <v>21</v>
      </c>
      <c r="B99" s="35">
        <v>833818160.11000001</v>
      </c>
    </row>
    <row r="100" spans="1:2" x14ac:dyDescent="0.25">
      <c r="A100" s="41" t="s">
        <v>47</v>
      </c>
      <c r="B100" s="35">
        <v>29657164</v>
      </c>
    </row>
    <row r="101" spans="1:2" x14ac:dyDescent="0.25">
      <c r="A101" s="41" t="s">
        <v>84</v>
      </c>
      <c r="B101" s="35"/>
    </row>
    <row r="102" spans="1:2" x14ac:dyDescent="0.25">
      <c r="A102" s="41" t="s">
        <v>85</v>
      </c>
      <c r="B102" s="35">
        <v>23057397</v>
      </c>
    </row>
    <row r="103" spans="1:2" x14ac:dyDescent="0.25">
      <c r="A103" s="41" t="s">
        <v>86</v>
      </c>
      <c r="B103" s="35">
        <v>31916077</v>
      </c>
    </row>
    <row r="104" spans="1:2" x14ac:dyDescent="0.25">
      <c r="A104" s="41" t="s">
        <v>87</v>
      </c>
      <c r="B104" s="35">
        <v>47323874</v>
      </c>
    </row>
    <row r="105" spans="1:2" x14ac:dyDescent="0.25">
      <c r="A105" s="41" t="s">
        <v>88</v>
      </c>
      <c r="B105" s="35"/>
    </row>
    <row r="106" spans="1:2" x14ac:dyDescent="0.25">
      <c r="A106" s="41" t="s">
        <v>25</v>
      </c>
      <c r="B106" s="35"/>
    </row>
    <row r="107" spans="1:2" x14ac:dyDescent="0.25">
      <c r="A107" s="41" t="s">
        <v>89</v>
      </c>
      <c r="B107" s="35">
        <v>32556454</v>
      </c>
    </row>
    <row r="108" spans="1:2" x14ac:dyDescent="0.25">
      <c r="A108" s="41" t="s">
        <v>244</v>
      </c>
      <c r="B108" s="35">
        <v>1617178729</v>
      </c>
    </row>
    <row r="109" spans="1:2" x14ac:dyDescent="0.25">
      <c r="A109" s="41" t="s">
        <v>90</v>
      </c>
      <c r="B109" s="35">
        <v>401911</v>
      </c>
    </row>
    <row r="110" spans="1:2" x14ac:dyDescent="0.25">
      <c r="A110" s="41" t="s">
        <v>91</v>
      </c>
      <c r="B110" s="35">
        <v>30066005</v>
      </c>
    </row>
    <row r="111" spans="1:2" x14ac:dyDescent="0.25">
      <c r="A111" s="41" t="s">
        <v>93</v>
      </c>
      <c r="B111" s="35"/>
    </row>
    <row r="112" spans="1:2" x14ac:dyDescent="0.25">
      <c r="A112" s="41" t="s">
        <v>92</v>
      </c>
    </row>
    <row r="113" spans="1:2" x14ac:dyDescent="0.25">
      <c r="A113" s="7" t="s">
        <v>94</v>
      </c>
      <c r="B113" s="7">
        <v>32741289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3"/>
  <sheetViews>
    <sheetView topLeftCell="A76" workbookViewId="0">
      <selection activeCell="E113" sqref="E113"/>
    </sheetView>
  </sheetViews>
  <sheetFormatPr defaultRowHeight="15" x14ac:dyDescent="0.25"/>
  <cols>
    <col min="1" max="1" width="15.7109375" style="7" bestFit="1" customWidth="1"/>
    <col min="2" max="2" width="16.85546875" style="7" bestFit="1" customWidth="1"/>
  </cols>
  <sheetData>
    <row r="1" spans="1:2" x14ac:dyDescent="0.25">
      <c r="A1" s="33" t="s">
        <v>0</v>
      </c>
      <c r="B1" s="33" t="s">
        <v>1</v>
      </c>
    </row>
    <row r="2" spans="1:2" x14ac:dyDescent="0.25">
      <c r="A2" s="33" t="s">
        <v>48</v>
      </c>
      <c r="B2" s="33">
        <v>300040140</v>
      </c>
    </row>
    <row r="3" spans="1:2" x14ac:dyDescent="0.25">
      <c r="A3" s="41" t="s">
        <v>49</v>
      </c>
      <c r="B3" s="35">
        <v>62619301</v>
      </c>
    </row>
    <row r="4" spans="1:2" x14ac:dyDescent="0.25">
      <c r="A4" s="41" t="s">
        <v>50</v>
      </c>
      <c r="B4" s="35">
        <v>43520303</v>
      </c>
    </row>
    <row r="5" spans="1:2" x14ac:dyDescent="0.25">
      <c r="A5" s="41" t="s">
        <v>95</v>
      </c>
      <c r="B5" s="35">
        <v>119575957</v>
      </c>
    </row>
    <row r="6" spans="1:2" x14ac:dyDescent="0.25">
      <c r="A6" s="41" t="s">
        <v>2</v>
      </c>
      <c r="B6" s="35">
        <v>1587216</v>
      </c>
    </row>
    <row r="7" spans="1:2" x14ac:dyDescent="0.25">
      <c r="A7" s="41" t="s">
        <v>3</v>
      </c>
      <c r="B7" s="35">
        <v>206714</v>
      </c>
    </row>
    <row r="8" spans="1:2" x14ac:dyDescent="0.25">
      <c r="A8" s="41" t="s">
        <v>29</v>
      </c>
      <c r="B8" s="35">
        <v>543755460</v>
      </c>
    </row>
    <row r="9" spans="1:2" x14ac:dyDescent="0.25">
      <c r="A9" s="41" t="s">
        <v>140</v>
      </c>
      <c r="B9" s="35">
        <v>94097204.430000007</v>
      </c>
    </row>
    <row r="10" spans="1:2" x14ac:dyDescent="0.25">
      <c r="A10" s="41" t="s">
        <v>4</v>
      </c>
      <c r="B10" s="35">
        <v>2730</v>
      </c>
    </row>
    <row r="11" spans="1:2" x14ac:dyDescent="0.25">
      <c r="A11" s="41" t="s">
        <v>5</v>
      </c>
      <c r="B11" s="35">
        <v>254427</v>
      </c>
    </row>
    <row r="12" spans="1:2" x14ac:dyDescent="0.25">
      <c r="A12" s="41" t="s">
        <v>30</v>
      </c>
      <c r="B12" s="35">
        <v>1275737224</v>
      </c>
    </row>
    <row r="13" spans="1:2" x14ac:dyDescent="0.25">
      <c r="A13" s="41" t="s">
        <v>141</v>
      </c>
      <c r="B13" s="35">
        <v>183703852.90000001</v>
      </c>
    </row>
    <row r="14" spans="1:2" x14ac:dyDescent="0.25">
      <c r="A14" s="41" t="s">
        <v>6</v>
      </c>
      <c r="B14" s="35">
        <v>328887</v>
      </c>
    </row>
    <row r="15" spans="1:2" x14ac:dyDescent="0.25">
      <c r="A15" s="41" t="s">
        <v>7</v>
      </c>
      <c r="B15" s="35">
        <v>23688</v>
      </c>
    </row>
    <row r="16" spans="1:2" x14ac:dyDescent="0.25">
      <c r="A16" s="41" t="s">
        <v>55</v>
      </c>
      <c r="B16" s="35">
        <v>2786388</v>
      </c>
    </row>
    <row r="17" spans="1:2" x14ac:dyDescent="0.25">
      <c r="A17" s="41" t="s">
        <v>56</v>
      </c>
      <c r="B17" s="35">
        <v>25508706</v>
      </c>
    </row>
    <row r="18" spans="1:2" x14ac:dyDescent="0.25">
      <c r="A18" s="41" t="s">
        <v>57</v>
      </c>
      <c r="B18" s="35">
        <v>1196695</v>
      </c>
    </row>
    <row r="19" spans="1:2" x14ac:dyDescent="0.25">
      <c r="A19" s="41" t="s">
        <v>103</v>
      </c>
      <c r="B19" s="35">
        <v>24379036.510000002</v>
      </c>
    </row>
    <row r="20" spans="1:2" x14ac:dyDescent="0.25">
      <c r="A20" s="41" t="s">
        <v>104</v>
      </c>
      <c r="B20" s="35">
        <v>69657802.629999995</v>
      </c>
    </row>
    <row r="21" spans="1:2" x14ac:dyDescent="0.25">
      <c r="A21" s="41" t="s">
        <v>105</v>
      </c>
      <c r="B21" s="35">
        <v>206899328.21000001</v>
      </c>
    </row>
    <row r="22" spans="1:2" x14ac:dyDescent="0.25">
      <c r="A22" s="41" t="s">
        <v>106</v>
      </c>
      <c r="B22" s="35">
        <v>215735292.00999999</v>
      </c>
    </row>
    <row r="23" spans="1:2" x14ac:dyDescent="0.25">
      <c r="A23" s="41" t="s">
        <v>107</v>
      </c>
      <c r="B23" s="35">
        <v>261035457.05000001</v>
      </c>
    </row>
    <row r="24" spans="1:2" x14ac:dyDescent="0.25">
      <c r="A24" s="41" t="s">
        <v>108</v>
      </c>
      <c r="B24" s="35">
        <v>74360667.390000001</v>
      </c>
    </row>
    <row r="25" spans="1:2" x14ac:dyDescent="0.25">
      <c r="A25" s="41" t="s">
        <v>109</v>
      </c>
      <c r="B25" s="35">
        <v>246754635.32000002</v>
      </c>
    </row>
    <row r="26" spans="1:2" x14ac:dyDescent="0.25">
      <c r="A26" s="41" t="s">
        <v>99</v>
      </c>
      <c r="B26" s="35">
        <v>82617501.709999993</v>
      </c>
    </row>
    <row r="27" spans="1:2" x14ac:dyDescent="0.25">
      <c r="A27" s="41" t="s">
        <v>100</v>
      </c>
      <c r="B27" s="35">
        <v>175731256.54999998</v>
      </c>
    </row>
    <row r="28" spans="1:2" x14ac:dyDescent="0.25">
      <c r="A28" s="41" t="s">
        <v>101</v>
      </c>
      <c r="B28" s="35">
        <v>545821396.75</v>
      </c>
    </row>
    <row r="29" spans="1:2" x14ac:dyDescent="0.25">
      <c r="A29" s="41" t="s">
        <v>102</v>
      </c>
      <c r="B29" s="37">
        <v>390428058.88999999</v>
      </c>
    </row>
    <row r="30" spans="1:2" x14ac:dyDescent="0.25">
      <c r="A30" s="41" t="s">
        <v>125</v>
      </c>
      <c r="B30" s="37">
        <v>7980787914</v>
      </c>
    </row>
    <row r="31" spans="1:2" x14ac:dyDescent="0.25">
      <c r="A31" s="41" t="s">
        <v>31</v>
      </c>
      <c r="B31" s="35">
        <v>3253500</v>
      </c>
    </row>
    <row r="32" spans="1:2" x14ac:dyDescent="0.25">
      <c r="A32" s="42" t="s">
        <v>32</v>
      </c>
      <c r="B32" s="7">
        <v>367745</v>
      </c>
    </row>
    <row r="33" spans="1:2" x14ac:dyDescent="0.25">
      <c r="A33" s="41" t="s">
        <v>33</v>
      </c>
      <c r="B33" s="35">
        <v>6240403</v>
      </c>
    </row>
    <row r="34" spans="1:2" x14ac:dyDescent="0.25">
      <c r="A34" s="41" t="s">
        <v>34</v>
      </c>
      <c r="B34" s="35">
        <v>236007</v>
      </c>
    </row>
    <row r="35" spans="1:2" x14ac:dyDescent="0.25">
      <c r="A35" s="41" t="s">
        <v>35</v>
      </c>
      <c r="B35" s="35">
        <v>500116</v>
      </c>
    </row>
    <row r="36" spans="1:2" x14ac:dyDescent="0.25">
      <c r="A36" s="41" t="s">
        <v>36</v>
      </c>
      <c r="B36" s="35">
        <v>354119</v>
      </c>
    </row>
    <row r="37" spans="1:2" x14ac:dyDescent="0.25">
      <c r="A37" s="41" t="s">
        <v>37</v>
      </c>
      <c r="B37" s="35">
        <v>173322</v>
      </c>
    </row>
    <row r="38" spans="1:2" x14ac:dyDescent="0.25">
      <c r="A38" s="41" t="s">
        <v>38</v>
      </c>
      <c r="B38" s="35">
        <v>205289</v>
      </c>
    </row>
    <row r="39" spans="1:2" x14ac:dyDescent="0.25">
      <c r="A39" s="41" t="s">
        <v>39</v>
      </c>
      <c r="B39" s="35">
        <v>645852</v>
      </c>
    </row>
    <row r="40" spans="1:2" x14ac:dyDescent="0.25">
      <c r="A40" s="41" t="s">
        <v>41</v>
      </c>
      <c r="B40" s="35">
        <v>306332</v>
      </c>
    </row>
    <row r="41" spans="1:2" x14ac:dyDescent="0.25">
      <c r="A41" s="41" t="s">
        <v>42</v>
      </c>
      <c r="B41" s="35">
        <v>16411</v>
      </c>
    </row>
    <row r="42" spans="1:2" x14ac:dyDescent="0.25">
      <c r="A42" s="41" t="s">
        <v>43</v>
      </c>
      <c r="B42" s="35">
        <v>49361</v>
      </c>
    </row>
    <row r="43" spans="1:2" x14ac:dyDescent="0.25">
      <c r="A43" s="41" t="s">
        <v>44</v>
      </c>
      <c r="B43" s="35">
        <v>45082978</v>
      </c>
    </row>
    <row r="44" spans="1:2" x14ac:dyDescent="0.25">
      <c r="A44" s="41" t="s">
        <v>64</v>
      </c>
      <c r="B44" s="35">
        <v>461934</v>
      </c>
    </row>
    <row r="45" spans="1:2" x14ac:dyDescent="0.25">
      <c r="A45" s="41" t="s">
        <v>65</v>
      </c>
      <c r="B45" s="35">
        <v>15175715</v>
      </c>
    </row>
    <row r="46" spans="1:2" x14ac:dyDescent="0.25">
      <c r="A46" s="41" t="s">
        <v>66</v>
      </c>
      <c r="B46" s="35">
        <v>2107422</v>
      </c>
    </row>
    <row r="47" spans="1:2" x14ac:dyDescent="0.25">
      <c r="A47" s="41" t="s">
        <v>67</v>
      </c>
      <c r="B47" s="35">
        <v>102010544</v>
      </c>
    </row>
    <row r="48" spans="1:2" x14ac:dyDescent="0.25">
      <c r="A48" s="41" t="s">
        <v>68</v>
      </c>
      <c r="B48" s="35">
        <v>76076385</v>
      </c>
    </row>
    <row r="49" spans="1:2" x14ac:dyDescent="0.25">
      <c r="A49" s="41" t="s">
        <v>69</v>
      </c>
      <c r="B49" s="35">
        <v>141099762</v>
      </c>
    </row>
    <row r="50" spans="1:2" x14ac:dyDescent="0.25">
      <c r="A50" s="41" t="s">
        <v>124</v>
      </c>
      <c r="B50" s="35"/>
    </row>
    <row r="51" spans="1:2" x14ac:dyDescent="0.25">
      <c r="A51" s="41" t="s">
        <v>80</v>
      </c>
      <c r="B51" s="35">
        <v>199789735</v>
      </c>
    </row>
    <row r="52" spans="1:2" x14ac:dyDescent="0.25">
      <c r="A52" s="41" t="s">
        <v>26</v>
      </c>
      <c r="B52" s="35">
        <v>814416439</v>
      </c>
    </row>
    <row r="53" spans="1:2" x14ac:dyDescent="0.25">
      <c r="A53" s="41" t="s">
        <v>45</v>
      </c>
      <c r="B53" s="35">
        <v>72124202</v>
      </c>
    </row>
    <row r="54" spans="1:2" x14ac:dyDescent="0.25">
      <c r="A54" s="41" t="s">
        <v>27</v>
      </c>
      <c r="B54" s="35">
        <v>1092511358</v>
      </c>
    </row>
    <row r="55" spans="1:2" x14ac:dyDescent="0.25">
      <c r="A55" s="41" t="s">
        <v>97</v>
      </c>
      <c r="B55" s="35">
        <v>13100519</v>
      </c>
    </row>
    <row r="56" spans="1:2" x14ac:dyDescent="0.25">
      <c r="A56" s="41" t="s">
        <v>96</v>
      </c>
      <c r="B56" s="35">
        <v>1429495673</v>
      </c>
    </row>
    <row r="57" spans="1:2" x14ac:dyDescent="0.25">
      <c r="A57" s="41" t="s">
        <v>81</v>
      </c>
      <c r="B57" s="35">
        <v>408997</v>
      </c>
    </row>
    <row r="58" spans="1:2" x14ac:dyDescent="0.25">
      <c r="A58" s="41" t="s">
        <v>98</v>
      </c>
      <c r="B58" s="35">
        <v>3147275704</v>
      </c>
    </row>
    <row r="59" spans="1:2" x14ac:dyDescent="0.25">
      <c r="A59" s="41" t="s">
        <v>28</v>
      </c>
      <c r="B59" s="35">
        <v>1334986275</v>
      </c>
    </row>
    <row r="60" spans="1:2" x14ac:dyDescent="0.25">
      <c r="A60" s="41" t="s">
        <v>129</v>
      </c>
      <c r="B60" s="35">
        <v>186773664.53891015</v>
      </c>
    </row>
    <row r="61" spans="1:2" x14ac:dyDescent="0.25">
      <c r="A61" s="41" t="s">
        <v>110</v>
      </c>
      <c r="B61" s="35">
        <v>415253307.13000005</v>
      </c>
    </row>
    <row r="62" spans="1:2" x14ac:dyDescent="0.25">
      <c r="A62" s="41" t="s">
        <v>111</v>
      </c>
      <c r="B62" s="35">
        <v>256317003.87</v>
      </c>
    </row>
    <row r="63" spans="1:2" x14ac:dyDescent="0.25">
      <c r="A63" s="41" t="s">
        <v>112</v>
      </c>
      <c r="B63" s="35">
        <v>306444142.96999997</v>
      </c>
    </row>
    <row r="64" spans="1:2" x14ac:dyDescent="0.25">
      <c r="A64" s="41" t="s">
        <v>122</v>
      </c>
      <c r="B64" s="35">
        <v>219690437.18000004</v>
      </c>
    </row>
    <row r="65" spans="1:2" x14ac:dyDescent="0.25">
      <c r="A65" s="41" t="s">
        <v>123</v>
      </c>
      <c r="B65" s="35">
        <v>242532663.72</v>
      </c>
    </row>
    <row r="66" spans="1:2" x14ac:dyDescent="0.25">
      <c r="A66" s="41" t="s">
        <v>139</v>
      </c>
      <c r="B66" s="35">
        <v>205111763.69</v>
      </c>
    </row>
    <row r="67" spans="1:2" x14ac:dyDescent="0.25">
      <c r="A67" s="41" t="s">
        <v>248</v>
      </c>
      <c r="B67" s="35">
        <v>2012862.9400000002</v>
      </c>
    </row>
    <row r="68" spans="1:2" x14ac:dyDescent="0.25">
      <c r="A68" s="41" t="s">
        <v>249</v>
      </c>
      <c r="B68" s="35">
        <v>2054363.03</v>
      </c>
    </row>
    <row r="69" spans="1:2" x14ac:dyDescent="0.25">
      <c r="A69" s="41" t="s">
        <v>8</v>
      </c>
      <c r="B69" s="35">
        <v>53883510</v>
      </c>
    </row>
    <row r="70" spans="1:2" x14ac:dyDescent="0.25">
      <c r="A70" s="41" t="s">
        <v>40</v>
      </c>
      <c r="B70" s="35">
        <v>97877</v>
      </c>
    </row>
    <row r="71" spans="1:2" x14ac:dyDescent="0.25">
      <c r="A71" s="41" t="s">
        <v>9</v>
      </c>
      <c r="B71" s="35">
        <v>159630814</v>
      </c>
    </row>
    <row r="72" spans="1:2" x14ac:dyDescent="0.25">
      <c r="A72" s="41" t="s">
        <v>10</v>
      </c>
      <c r="B72" s="35">
        <v>194731497</v>
      </c>
    </row>
    <row r="73" spans="1:2" x14ac:dyDescent="0.25">
      <c r="A73" s="41" t="s">
        <v>113</v>
      </c>
      <c r="B73" s="35">
        <v>120689473.57000001</v>
      </c>
    </row>
    <row r="74" spans="1:2" x14ac:dyDescent="0.25">
      <c r="A74" s="41" t="s">
        <v>114</v>
      </c>
      <c r="B74" s="35"/>
    </row>
    <row r="75" spans="1:2" x14ac:dyDescent="0.25">
      <c r="A75" s="41" t="s">
        <v>11</v>
      </c>
      <c r="B75" s="35">
        <v>12320121</v>
      </c>
    </row>
    <row r="76" spans="1:2" x14ac:dyDescent="0.25">
      <c r="A76" s="41" t="s">
        <v>12</v>
      </c>
      <c r="B76" s="35">
        <v>7338911</v>
      </c>
    </row>
    <row r="77" spans="1:2" x14ac:dyDescent="0.25">
      <c r="A77" s="41" t="s">
        <v>13</v>
      </c>
      <c r="B77" s="35">
        <v>6855526</v>
      </c>
    </row>
    <row r="78" spans="1:2" x14ac:dyDescent="0.25">
      <c r="A78" s="41" t="s">
        <v>14</v>
      </c>
      <c r="B78" s="35">
        <v>10495892</v>
      </c>
    </row>
    <row r="79" spans="1:2" x14ac:dyDescent="0.25">
      <c r="A79" s="41" t="s">
        <v>15</v>
      </c>
      <c r="B79" s="35">
        <v>9978557</v>
      </c>
    </row>
    <row r="80" spans="1:2" x14ac:dyDescent="0.25">
      <c r="A80" s="41" t="s">
        <v>82</v>
      </c>
      <c r="B80" s="35">
        <v>27023147</v>
      </c>
    </row>
    <row r="81" spans="1:2" x14ac:dyDescent="0.25">
      <c r="A81" s="41" t="s">
        <v>83</v>
      </c>
      <c r="B81" s="35">
        <v>3940567</v>
      </c>
    </row>
    <row r="82" spans="1:2" x14ac:dyDescent="0.25">
      <c r="A82" s="41" t="s">
        <v>22</v>
      </c>
      <c r="B82" s="35">
        <v>1907264</v>
      </c>
    </row>
    <row r="83" spans="1:2" x14ac:dyDescent="0.25">
      <c r="A83" s="41" t="s">
        <v>23</v>
      </c>
      <c r="B83" s="35">
        <v>1</v>
      </c>
    </row>
    <row r="84" spans="1:2" x14ac:dyDescent="0.25">
      <c r="A84" s="41" t="s">
        <v>24</v>
      </c>
      <c r="B84" s="35">
        <v>1</v>
      </c>
    </row>
    <row r="85" spans="1:2" x14ac:dyDescent="0.25">
      <c r="A85" s="41" t="s">
        <v>46</v>
      </c>
      <c r="B85" s="35">
        <v>74343</v>
      </c>
    </row>
    <row r="86" spans="1:2" x14ac:dyDescent="0.25">
      <c r="A86" s="41" t="s">
        <v>16</v>
      </c>
      <c r="B86" s="35">
        <v>81949</v>
      </c>
    </row>
    <row r="87" spans="1:2" x14ac:dyDescent="0.25">
      <c r="A87" s="41" t="s">
        <v>115</v>
      </c>
      <c r="B87" s="35">
        <v>0.01</v>
      </c>
    </row>
    <row r="88" spans="1:2" x14ac:dyDescent="0.25">
      <c r="A88" s="41" t="s">
        <v>116</v>
      </c>
      <c r="B88" s="35">
        <v>442051361.76999998</v>
      </c>
    </row>
    <row r="89" spans="1:2" x14ac:dyDescent="0.25">
      <c r="A89" s="41" t="s">
        <v>117</v>
      </c>
      <c r="B89" s="35">
        <v>22048864.009999998</v>
      </c>
    </row>
    <row r="90" spans="1:2" x14ac:dyDescent="0.25">
      <c r="A90" s="41" t="s">
        <v>118</v>
      </c>
      <c r="B90" s="35">
        <v>32753898.799999997</v>
      </c>
    </row>
    <row r="91" spans="1:2" x14ac:dyDescent="0.25">
      <c r="A91" s="41" t="s">
        <v>120</v>
      </c>
      <c r="B91" s="35">
        <v>0.01</v>
      </c>
    </row>
    <row r="92" spans="1:2" x14ac:dyDescent="0.25">
      <c r="A92" s="41" t="s">
        <v>245</v>
      </c>
      <c r="B92" s="35">
        <v>1179793569</v>
      </c>
    </row>
    <row r="93" spans="1:2" x14ac:dyDescent="0.25">
      <c r="A93" s="41" t="s">
        <v>247</v>
      </c>
      <c r="B93" s="35">
        <v>3856921</v>
      </c>
    </row>
    <row r="94" spans="1:2" x14ac:dyDescent="0.25">
      <c r="A94" s="41" t="s">
        <v>246</v>
      </c>
      <c r="B94" s="35">
        <v>210327836</v>
      </c>
    </row>
    <row r="95" spans="1:2" x14ac:dyDescent="0.25">
      <c r="A95" s="41" t="s">
        <v>17</v>
      </c>
      <c r="B95" s="35">
        <v>112639791.45999999</v>
      </c>
    </row>
    <row r="96" spans="1:2" x14ac:dyDescent="0.25">
      <c r="A96" s="41" t="s">
        <v>18</v>
      </c>
      <c r="B96" s="35">
        <v>616962829.20000005</v>
      </c>
    </row>
    <row r="97" spans="1:2" x14ac:dyDescent="0.25">
      <c r="A97" s="41" t="s">
        <v>19</v>
      </c>
      <c r="B97" s="35">
        <v>90715157.169999987</v>
      </c>
    </row>
    <row r="98" spans="1:2" x14ac:dyDescent="0.25">
      <c r="A98" s="41" t="s">
        <v>20</v>
      </c>
      <c r="B98" s="35">
        <v>1752927189.7800002</v>
      </c>
    </row>
    <row r="99" spans="1:2" x14ac:dyDescent="0.25">
      <c r="A99" s="41" t="s">
        <v>21</v>
      </c>
      <c r="B99" s="35">
        <v>822469050.47000003</v>
      </c>
    </row>
    <row r="100" spans="1:2" x14ac:dyDescent="0.25">
      <c r="A100" s="41" t="s">
        <v>47</v>
      </c>
      <c r="B100" s="35">
        <v>29545388</v>
      </c>
    </row>
    <row r="101" spans="1:2" x14ac:dyDescent="0.25">
      <c r="A101" s="41" t="s">
        <v>84</v>
      </c>
      <c r="B101" s="35"/>
    </row>
    <row r="102" spans="1:2" x14ac:dyDescent="0.25">
      <c r="A102" s="41" t="s">
        <v>85</v>
      </c>
      <c r="B102" s="35">
        <v>23164938</v>
      </c>
    </row>
    <row r="103" spans="1:2" x14ac:dyDescent="0.25">
      <c r="A103" s="41" t="s">
        <v>86</v>
      </c>
      <c r="B103" s="35">
        <v>32000114</v>
      </c>
    </row>
    <row r="104" spans="1:2" x14ac:dyDescent="0.25">
      <c r="A104" s="41" t="s">
        <v>87</v>
      </c>
      <c r="B104" s="35">
        <v>47921757</v>
      </c>
    </row>
    <row r="105" spans="1:2" x14ac:dyDescent="0.25">
      <c r="A105" s="41" t="s">
        <v>88</v>
      </c>
      <c r="B105" s="35"/>
    </row>
    <row r="106" spans="1:2" x14ac:dyDescent="0.25">
      <c r="A106" s="41" t="s">
        <v>25</v>
      </c>
      <c r="B106" s="35"/>
    </row>
    <row r="107" spans="1:2" x14ac:dyDescent="0.25">
      <c r="A107" s="41" t="s">
        <v>89</v>
      </c>
      <c r="B107" s="35">
        <v>32348687</v>
      </c>
    </row>
    <row r="108" spans="1:2" x14ac:dyDescent="0.25">
      <c r="A108" s="41" t="s">
        <v>244</v>
      </c>
      <c r="B108" s="35">
        <v>1621026875</v>
      </c>
    </row>
    <row r="109" spans="1:2" x14ac:dyDescent="0.25">
      <c r="A109" s="41" t="s">
        <v>90</v>
      </c>
      <c r="B109" s="35">
        <v>395572</v>
      </c>
    </row>
    <row r="110" spans="1:2" x14ac:dyDescent="0.25">
      <c r="A110" s="41" t="s">
        <v>91</v>
      </c>
      <c r="B110" s="35">
        <v>30325877</v>
      </c>
    </row>
    <row r="111" spans="1:2" x14ac:dyDescent="0.25">
      <c r="A111" s="41" t="s">
        <v>93</v>
      </c>
      <c r="B111" s="35"/>
    </row>
    <row r="112" spans="1:2" x14ac:dyDescent="0.25">
      <c r="A112" s="41" t="s">
        <v>92</v>
      </c>
    </row>
    <row r="113" spans="1:2" x14ac:dyDescent="0.25">
      <c r="A113" s="7" t="s">
        <v>94</v>
      </c>
      <c r="B113" s="7">
        <v>33673463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12"/>
  <sheetViews>
    <sheetView workbookViewId="0">
      <selection activeCell="A2" sqref="A2:B111"/>
    </sheetView>
  </sheetViews>
  <sheetFormatPr defaultRowHeight="15" x14ac:dyDescent="0.25"/>
  <cols>
    <col min="1" max="1" width="15.7109375" style="7" bestFit="1" customWidth="1"/>
    <col min="2" max="2" width="16.85546875" style="7" bestFit="1" customWidth="1"/>
  </cols>
  <sheetData>
    <row r="1" spans="1:2" x14ac:dyDescent="0.25">
      <c r="A1" s="33" t="s">
        <v>0</v>
      </c>
      <c r="B1" s="33" t="s">
        <v>1</v>
      </c>
    </row>
    <row r="2" spans="1:2" x14ac:dyDescent="0.25">
      <c r="A2" s="33" t="s">
        <v>48</v>
      </c>
      <c r="B2" s="33">
        <v>293291399</v>
      </c>
    </row>
    <row r="3" spans="1:2" x14ac:dyDescent="0.25">
      <c r="A3" s="41" t="s">
        <v>49</v>
      </c>
      <c r="B3" s="35">
        <v>62095506</v>
      </c>
    </row>
    <row r="4" spans="1:2" x14ac:dyDescent="0.25">
      <c r="A4" s="41" t="s">
        <v>50</v>
      </c>
      <c r="B4" s="35">
        <v>43419083</v>
      </c>
    </row>
    <row r="5" spans="1:2" x14ac:dyDescent="0.25">
      <c r="A5" s="41" t="s">
        <v>95</v>
      </c>
      <c r="B5" s="35">
        <v>117792312</v>
      </c>
    </row>
    <row r="6" spans="1:2" x14ac:dyDescent="0.25">
      <c r="A6" s="41" t="s">
        <v>2</v>
      </c>
      <c r="B6" s="35">
        <v>1556643</v>
      </c>
    </row>
    <row r="7" spans="1:2" x14ac:dyDescent="0.25">
      <c r="A7" s="41" t="s">
        <v>3</v>
      </c>
      <c r="B7" s="35">
        <v>207083</v>
      </c>
    </row>
    <row r="8" spans="1:2" x14ac:dyDescent="0.25">
      <c r="A8" s="41" t="s">
        <v>29</v>
      </c>
      <c r="B8" s="35">
        <v>548612111</v>
      </c>
    </row>
    <row r="9" spans="1:2" x14ac:dyDescent="0.25">
      <c r="A9" s="41" t="s">
        <v>140</v>
      </c>
      <c r="B9" s="35">
        <v>94097204.430000007</v>
      </c>
    </row>
    <row r="10" spans="1:2" x14ac:dyDescent="0.25">
      <c r="A10" s="41" t="s">
        <v>4</v>
      </c>
      <c r="B10" s="35">
        <v>2754</v>
      </c>
    </row>
    <row r="11" spans="1:2" x14ac:dyDescent="0.25">
      <c r="A11" s="41" t="s">
        <v>5</v>
      </c>
      <c r="B11" s="35">
        <v>257092</v>
      </c>
    </row>
    <row r="12" spans="1:2" x14ac:dyDescent="0.25">
      <c r="A12" s="41" t="s">
        <v>30</v>
      </c>
      <c r="B12" s="35">
        <v>1294515490</v>
      </c>
    </row>
    <row r="13" spans="1:2" x14ac:dyDescent="0.25">
      <c r="A13" s="41" t="s">
        <v>141</v>
      </c>
      <c r="B13" s="35">
        <v>183703852.90000001</v>
      </c>
    </row>
    <row r="14" spans="1:2" x14ac:dyDescent="0.25">
      <c r="A14" s="41" t="s">
        <v>6</v>
      </c>
      <c r="B14" s="35">
        <v>317996</v>
      </c>
    </row>
    <row r="15" spans="1:2" x14ac:dyDescent="0.25">
      <c r="A15" s="41" t="s">
        <v>7</v>
      </c>
      <c r="B15" s="35">
        <v>23488</v>
      </c>
    </row>
    <row r="16" spans="1:2" x14ac:dyDescent="0.25">
      <c r="A16" s="41" t="s">
        <v>55</v>
      </c>
      <c r="B16" s="35">
        <v>2796564</v>
      </c>
    </row>
    <row r="17" spans="1:2" x14ac:dyDescent="0.25">
      <c r="A17" s="41" t="s">
        <v>56</v>
      </c>
      <c r="B17" s="35">
        <v>24958841</v>
      </c>
    </row>
    <row r="18" spans="1:2" x14ac:dyDescent="0.25">
      <c r="A18" s="41" t="s">
        <v>57</v>
      </c>
      <c r="B18" s="35">
        <v>1184487</v>
      </c>
    </row>
    <row r="19" spans="1:2" x14ac:dyDescent="0.25">
      <c r="A19" s="41" t="s">
        <v>103</v>
      </c>
      <c r="B19" s="35">
        <v>24731232.600000001</v>
      </c>
    </row>
    <row r="20" spans="1:2" x14ac:dyDescent="0.25">
      <c r="A20" s="41" t="s">
        <v>104</v>
      </c>
      <c r="B20" s="35">
        <v>68633888.140000001</v>
      </c>
    </row>
    <row r="21" spans="1:2" x14ac:dyDescent="0.25">
      <c r="A21" s="41" t="s">
        <v>105</v>
      </c>
      <c r="B21" s="35">
        <v>206227845.44</v>
      </c>
    </row>
    <row r="22" spans="1:2" x14ac:dyDescent="0.25">
      <c r="A22" s="41" t="s">
        <v>106</v>
      </c>
      <c r="B22" s="35">
        <v>209549830.83000001</v>
      </c>
    </row>
    <row r="23" spans="1:2" x14ac:dyDescent="0.25">
      <c r="A23" s="41" t="s">
        <v>107</v>
      </c>
      <c r="B23" s="35">
        <v>252629144.97999999</v>
      </c>
    </row>
    <row r="24" spans="1:2" x14ac:dyDescent="0.25">
      <c r="A24" s="41" t="s">
        <v>108</v>
      </c>
      <c r="B24" s="35">
        <v>72449346.709999993</v>
      </c>
    </row>
    <row r="25" spans="1:2" x14ac:dyDescent="0.25">
      <c r="A25" s="41" t="s">
        <v>109</v>
      </c>
      <c r="B25" s="35">
        <v>248549906.00999999</v>
      </c>
    </row>
    <row r="26" spans="1:2" x14ac:dyDescent="0.25">
      <c r="A26" s="41" t="s">
        <v>99</v>
      </c>
      <c r="B26" s="35">
        <v>82895698.980000004</v>
      </c>
    </row>
    <row r="27" spans="1:2" x14ac:dyDescent="0.25">
      <c r="A27" s="41" t="s">
        <v>100</v>
      </c>
      <c r="B27" s="35">
        <v>192956205.28</v>
      </c>
    </row>
    <row r="28" spans="1:2" x14ac:dyDescent="0.25">
      <c r="A28" s="41" t="s">
        <v>101</v>
      </c>
      <c r="B28" s="35">
        <v>557429978.39999998</v>
      </c>
    </row>
    <row r="29" spans="1:2" x14ac:dyDescent="0.25">
      <c r="A29" s="41" t="s">
        <v>102</v>
      </c>
      <c r="B29" s="37">
        <v>408144180.25</v>
      </c>
    </row>
    <row r="30" spans="1:2" x14ac:dyDescent="0.25">
      <c r="A30" s="41" t="s">
        <v>125</v>
      </c>
      <c r="B30" s="37">
        <v>7892393320</v>
      </c>
    </row>
    <row r="31" spans="1:2" x14ac:dyDescent="0.25">
      <c r="A31" s="41" t="s">
        <v>31</v>
      </c>
      <c r="B31" s="35">
        <v>3334107</v>
      </c>
    </row>
    <row r="32" spans="1:2" x14ac:dyDescent="0.25">
      <c r="A32" s="42" t="s">
        <v>32</v>
      </c>
      <c r="B32" s="7">
        <v>373813</v>
      </c>
    </row>
    <row r="33" spans="1:2" x14ac:dyDescent="0.25">
      <c r="A33" s="41" t="s">
        <v>33</v>
      </c>
      <c r="B33" s="35">
        <v>6191177</v>
      </c>
    </row>
    <row r="34" spans="1:2" x14ac:dyDescent="0.25">
      <c r="A34" s="41" t="s">
        <v>34</v>
      </c>
      <c r="B34" s="35">
        <v>244139</v>
      </c>
    </row>
    <row r="35" spans="1:2" x14ac:dyDescent="0.25">
      <c r="A35" s="41" t="s">
        <v>35</v>
      </c>
      <c r="B35" s="35">
        <v>535996</v>
      </c>
    </row>
    <row r="36" spans="1:2" x14ac:dyDescent="0.25">
      <c r="A36" s="41" t="s">
        <v>36</v>
      </c>
      <c r="B36" s="35">
        <v>358571</v>
      </c>
    </row>
    <row r="37" spans="1:2" x14ac:dyDescent="0.25">
      <c r="A37" s="41" t="s">
        <v>37</v>
      </c>
      <c r="B37" s="35">
        <v>173532</v>
      </c>
    </row>
    <row r="38" spans="1:2" x14ac:dyDescent="0.25">
      <c r="A38" s="41" t="s">
        <v>38</v>
      </c>
      <c r="B38" s="35">
        <v>205514</v>
      </c>
    </row>
    <row r="39" spans="1:2" x14ac:dyDescent="0.25">
      <c r="A39" s="41" t="s">
        <v>39</v>
      </c>
      <c r="B39" s="35">
        <v>646689</v>
      </c>
    </row>
    <row r="40" spans="1:2" x14ac:dyDescent="0.25">
      <c r="A40" s="41" t="s">
        <v>41</v>
      </c>
      <c r="B40" s="35">
        <v>306763</v>
      </c>
    </row>
    <row r="41" spans="1:2" x14ac:dyDescent="0.25">
      <c r="A41" s="41" t="s">
        <v>42</v>
      </c>
      <c r="B41" s="35">
        <v>16437</v>
      </c>
    </row>
    <row r="42" spans="1:2" x14ac:dyDescent="0.25">
      <c r="A42" s="41" t="s">
        <v>43</v>
      </c>
      <c r="B42" s="35">
        <v>49439</v>
      </c>
    </row>
    <row r="43" spans="1:2" x14ac:dyDescent="0.25">
      <c r="A43" s="41" t="s">
        <v>44</v>
      </c>
      <c r="B43" s="35">
        <v>45902430</v>
      </c>
    </row>
    <row r="44" spans="1:2" x14ac:dyDescent="0.25">
      <c r="A44" s="41" t="s">
        <v>64</v>
      </c>
      <c r="B44" s="35">
        <v>451772</v>
      </c>
    </row>
    <row r="45" spans="1:2" x14ac:dyDescent="0.25">
      <c r="A45" s="41" t="s">
        <v>65</v>
      </c>
      <c r="B45" s="35">
        <v>15392155</v>
      </c>
    </row>
    <row r="46" spans="1:2" x14ac:dyDescent="0.25">
      <c r="A46" s="41" t="s">
        <v>66</v>
      </c>
      <c r="B46" s="35">
        <v>2127020</v>
      </c>
    </row>
    <row r="47" spans="1:2" x14ac:dyDescent="0.25">
      <c r="A47" s="41" t="s">
        <v>67</v>
      </c>
      <c r="B47" s="35">
        <v>102531027</v>
      </c>
    </row>
    <row r="48" spans="1:2" x14ac:dyDescent="0.25">
      <c r="A48" s="41" t="s">
        <v>68</v>
      </c>
      <c r="B48" s="35">
        <v>75595501</v>
      </c>
    </row>
    <row r="49" spans="1:2" x14ac:dyDescent="0.25">
      <c r="A49" s="41" t="s">
        <v>69</v>
      </c>
      <c r="B49" s="35">
        <v>139561334</v>
      </c>
    </row>
    <row r="50" spans="1:2" x14ac:dyDescent="0.25">
      <c r="A50" s="41" t="s">
        <v>124</v>
      </c>
      <c r="B50" s="35"/>
    </row>
    <row r="51" spans="1:2" x14ac:dyDescent="0.25">
      <c r="A51" s="41" t="s">
        <v>80</v>
      </c>
      <c r="B51" s="35">
        <v>200552912</v>
      </c>
    </row>
    <row r="52" spans="1:2" x14ac:dyDescent="0.25">
      <c r="A52" s="41" t="s">
        <v>26</v>
      </c>
      <c r="B52" s="35">
        <v>838193121</v>
      </c>
    </row>
    <row r="53" spans="1:2" x14ac:dyDescent="0.25">
      <c r="A53" s="41" t="s">
        <v>45</v>
      </c>
      <c r="B53" s="35">
        <v>75129079</v>
      </c>
    </row>
    <row r="54" spans="1:2" x14ac:dyDescent="0.25">
      <c r="A54" s="41" t="s">
        <v>27</v>
      </c>
      <c r="B54" s="35">
        <v>1158793072</v>
      </c>
    </row>
    <row r="55" spans="1:2" x14ac:dyDescent="0.25">
      <c r="A55" s="41" t="s">
        <v>97</v>
      </c>
      <c r="B55" s="35">
        <v>12440142</v>
      </c>
    </row>
    <row r="56" spans="1:2" x14ac:dyDescent="0.25">
      <c r="A56" s="41" t="s">
        <v>96</v>
      </c>
      <c r="B56" s="35">
        <v>1262990436</v>
      </c>
    </row>
    <row r="57" spans="1:2" x14ac:dyDescent="0.25">
      <c r="A57" s="41" t="s">
        <v>81</v>
      </c>
      <c r="B57" s="35">
        <v>442665</v>
      </c>
    </row>
    <row r="58" spans="1:2" x14ac:dyDescent="0.25">
      <c r="A58" s="41" t="s">
        <v>98</v>
      </c>
      <c r="B58" s="35">
        <v>2793691185</v>
      </c>
    </row>
    <row r="59" spans="1:2" x14ac:dyDescent="0.25">
      <c r="A59" s="41" t="s">
        <v>28</v>
      </c>
      <c r="B59" s="35">
        <v>1365819813</v>
      </c>
    </row>
    <row r="60" spans="1:2" x14ac:dyDescent="0.25">
      <c r="A60" s="41" t="s">
        <v>129</v>
      </c>
      <c r="B60" s="35">
        <v>171269825.98979542</v>
      </c>
    </row>
    <row r="61" spans="1:2" x14ac:dyDescent="0.25">
      <c r="A61" s="41" t="s">
        <v>110</v>
      </c>
      <c r="B61" s="35">
        <v>431986009.36000001</v>
      </c>
    </row>
    <row r="62" spans="1:2" x14ac:dyDescent="0.25">
      <c r="A62" s="41" t="s">
        <v>111</v>
      </c>
      <c r="B62" s="35">
        <v>259926217.52999997</v>
      </c>
    </row>
    <row r="63" spans="1:2" x14ac:dyDescent="0.25">
      <c r="A63" s="41" t="s">
        <v>112</v>
      </c>
      <c r="B63" s="35">
        <v>310808690.10999995</v>
      </c>
    </row>
    <row r="64" spans="1:2" x14ac:dyDescent="0.25">
      <c r="A64" s="41" t="s">
        <v>122</v>
      </c>
      <c r="B64" s="35">
        <v>220781695</v>
      </c>
    </row>
    <row r="65" spans="1:2" x14ac:dyDescent="0.25">
      <c r="A65" s="41" t="s">
        <v>123</v>
      </c>
      <c r="B65" s="35">
        <v>243466248.06999999</v>
      </c>
    </row>
    <row r="66" spans="1:2" x14ac:dyDescent="0.25">
      <c r="A66" s="41" t="s">
        <v>139</v>
      </c>
      <c r="B66" s="35">
        <v>205800542.01000002</v>
      </c>
    </row>
    <row r="67" spans="1:2" x14ac:dyDescent="0.25">
      <c r="A67" s="41" t="s">
        <v>8</v>
      </c>
      <c r="B67" s="35">
        <v>50512665</v>
      </c>
    </row>
    <row r="68" spans="1:2" x14ac:dyDescent="0.25">
      <c r="A68" s="41" t="s">
        <v>40</v>
      </c>
      <c r="B68" s="35">
        <v>98059</v>
      </c>
    </row>
    <row r="69" spans="1:2" x14ac:dyDescent="0.25">
      <c r="A69" s="41" t="s">
        <v>9</v>
      </c>
      <c r="B69" s="35">
        <v>170274137</v>
      </c>
    </row>
    <row r="70" spans="1:2" x14ac:dyDescent="0.25">
      <c r="A70" s="41" t="s">
        <v>10</v>
      </c>
      <c r="B70" s="35">
        <v>200613238</v>
      </c>
    </row>
    <row r="71" spans="1:2" x14ac:dyDescent="0.25">
      <c r="A71" s="41" t="s">
        <v>113</v>
      </c>
      <c r="B71" s="35">
        <v>119704694.3</v>
      </c>
    </row>
    <row r="72" spans="1:2" x14ac:dyDescent="0.25">
      <c r="A72" s="41" t="s">
        <v>114</v>
      </c>
      <c r="B72" s="35">
        <v>0</v>
      </c>
    </row>
    <row r="73" spans="1:2" x14ac:dyDescent="0.25">
      <c r="A73" s="41" t="s">
        <v>11</v>
      </c>
      <c r="B73" s="35"/>
    </row>
    <row r="74" spans="1:2" x14ac:dyDescent="0.25">
      <c r="A74" s="41" t="s">
        <v>12</v>
      </c>
      <c r="B74" s="35"/>
    </row>
    <row r="75" spans="1:2" x14ac:dyDescent="0.25">
      <c r="A75" s="41" t="s">
        <v>13</v>
      </c>
      <c r="B75" s="35"/>
    </row>
    <row r="76" spans="1:2" x14ac:dyDescent="0.25">
      <c r="A76" s="41" t="s">
        <v>14</v>
      </c>
      <c r="B76" s="35"/>
    </row>
    <row r="77" spans="1:2" x14ac:dyDescent="0.25">
      <c r="A77" s="41" t="s">
        <v>15</v>
      </c>
      <c r="B77" s="35"/>
    </row>
    <row r="78" spans="1:2" x14ac:dyDescent="0.25">
      <c r="A78" s="41" t="s">
        <v>82</v>
      </c>
      <c r="B78" s="35">
        <v>26720300</v>
      </c>
    </row>
    <row r="79" spans="1:2" x14ac:dyDescent="0.25">
      <c r="A79" s="41" t="s">
        <v>83</v>
      </c>
      <c r="B79" s="35">
        <v>4031174</v>
      </c>
    </row>
    <row r="80" spans="1:2" x14ac:dyDescent="0.25">
      <c r="A80" s="41" t="s">
        <v>22</v>
      </c>
      <c r="B80" s="35">
        <v>1946344</v>
      </c>
    </row>
    <row r="81" spans="1:2" x14ac:dyDescent="0.25">
      <c r="A81" s="41" t="s">
        <v>23</v>
      </c>
      <c r="B81" s="35">
        <v>1</v>
      </c>
    </row>
    <row r="82" spans="1:2" x14ac:dyDescent="0.25">
      <c r="A82" s="41" t="s">
        <v>24</v>
      </c>
      <c r="B82" s="35">
        <v>1</v>
      </c>
    </row>
    <row r="83" spans="1:2" x14ac:dyDescent="0.25">
      <c r="A83" s="41" t="s">
        <v>46</v>
      </c>
      <c r="B83" s="35">
        <v>73534</v>
      </c>
    </row>
    <row r="84" spans="1:2" x14ac:dyDescent="0.25">
      <c r="A84" s="41" t="s">
        <v>16</v>
      </c>
      <c r="B84" s="35">
        <v>82310</v>
      </c>
    </row>
    <row r="85" spans="1:2" x14ac:dyDescent="0.25">
      <c r="A85" s="41" t="s">
        <v>115</v>
      </c>
      <c r="B85" s="35">
        <v>0</v>
      </c>
    </row>
    <row r="86" spans="1:2" x14ac:dyDescent="0.25">
      <c r="A86" s="41" t="s">
        <v>116</v>
      </c>
      <c r="B86" s="35">
        <v>459575523.19</v>
      </c>
    </row>
    <row r="87" spans="1:2" x14ac:dyDescent="0.25">
      <c r="A87" s="41" t="s">
        <v>117</v>
      </c>
      <c r="B87" s="35">
        <v>22146343.550000001</v>
      </c>
    </row>
    <row r="88" spans="1:2" x14ac:dyDescent="0.25">
      <c r="A88" s="41" t="s">
        <v>118</v>
      </c>
      <c r="B88" s="35">
        <v>34475942.549999997</v>
      </c>
    </row>
    <row r="89" spans="1:2" x14ac:dyDescent="0.25">
      <c r="A89" s="41" t="s">
        <v>120</v>
      </c>
      <c r="B89" s="35">
        <v>0</v>
      </c>
    </row>
    <row r="90" spans="1:2" x14ac:dyDescent="0.25">
      <c r="A90" s="41" t="s">
        <v>245</v>
      </c>
      <c r="B90" s="35">
        <v>1166481275.0700002</v>
      </c>
    </row>
    <row r="91" spans="1:2" x14ac:dyDescent="0.25">
      <c r="A91" s="41" t="s">
        <v>247</v>
      </c>
      <c r="B91" s="35">
        <v>40020384.100000001</v>
      </c>
    </row>
    <row r="92" spans="1:2" x14ac:dyDescent="0.25">
      <c r="A92" s="41" t="s">
        <v>246</v>
      </c>
      <c r="B92" s="35">
        <v>205580360.87</v>
      </c>
    </row>
    <row r="93" spans="1:2" x14ac:dyDescent="0.25">
      <c r="A93" s="41" t="s">
        <v>17</v>
      </c>
      <c r="B93" s="35">
        <v>112639791.45999999</v>
      </c>
    </row>
    <row r="94" spans="1:2" x14ac:dyDescent="0.25">
      <c r="A94" s="41" t="s">
        <v>18</v>
      </c>
      <c r="B94" s="35">
        <v>616962829.20000005</v>
      </c>
    </row>
    <row r="95" spans="1:2" x14ac:dyDescent="0.25">
      <c r="A95" s="41" t="s">
        <v>19</v>
      </c>
      <c r="B95" s="35">
        <v>90715157.169999987</v>
      </c>
    </row>
    <row r="96" spans="1:2" x14ac:dyDescent="0.25">
      <c r="A96" s="41" t="s">
        <v>20</v>
      </c>
      <c r="B96" s="35">
        <v>1752927189.7800002</v>
      </c>
    </row>
    <row r="97" spans="1:2" x14ac:dyDescent="0.25">
      <c r="A97" s="41" t="s">
        <v>21</v>
      </c>
      <c r="B97" s="35">
        <v>822469050.47000003</v>
      </c>
    </row>
    <row r="98" spans="1:2" x14ac:dyDescent="0.25">
      <c r="A98" s="41" t="s">
        <v>47</v>
      </c>
      <c r="B98" s="35">
        <v>30207426</v>
      </c>
    </row>
    <row r="99" spans="1:2" x14ac:dyDescent="0.25">
      <c r="A99" s="41" t="s">
        <v>84</v>
      </c>
      <c r="B99" s="35"/>
    </row>
    <row r="100" spans="1:2" x14ac:dyDescent="0.25">
      <c r="A100" s="41" t="s">
        <v>85</v>
      </c>
      <c r="B100" s="35">
        <v>22699998</v>
      </c>
    </row>
    <row r="101" spans="1:2" x14ac:dyDescent="0.25">
      <c r="A101" s="41" t="s">
        <v>86</v>
      </c>
      <c r="B101" s="35">
        <v>30983920</v>
      </c>
    </row>
    <row r="102" spans="1:2" x14ac:dyDescent="0.25">
      <c r="A102" s="41" t="s">
        <v>87</v>
      </c>
      <c r="B102" s="35">
        <v>48410201</v>
      </c>
    </row>
    <row r="103" spans="1:2" x14ac:dyDescent="0.25">
      <c r="A103" s="41" t="s">
        <v>88</v>
      </c>
      <c r="B103" s="35"/>
    </row>
    <row r="104" spans="1:2" x14ac:dyDescent="0.25">
      <c r="A104" s="41" t="s">
        <v>25</v>
      </c>
      <c r="B104" s="35"/>
    </row>
    <row r="105" spans="1:2" x14ac:dyDescent="0.25">
      <c r="A105" s="41" t="s">
        <v>89</v>
      </c>
      <c r="B105" s="35">
        <v>31013968</v>
      </c>
    </row>
    <row r="106" spans="1:2" x14ac:dyDescent="0.25">
      <c r="A106" s="41" t="s">
        <v>244</v>
      </c>
      <c r="B106" s="35">
        <v>1600500016.75</v>
      </c>
    </row>
    <row r="107" spans="1:2" x14ac:dyDescent="0.25">
      <c r="A107" s="41" t="s">
        <v>90</v>
      </c>
      <c r="B107" s="35">
        <v>154634</v>
      </c>
    </row>
    <row r="108" spans="1:2" x14ac:dyDescent="0.25">
      <c r="A108" s="41" t="s">
        <v>91</v>
      </c>
      <c r="B108" s="35">
        <v>30347793</v>
      </c>
    </row>
    <row r="109" spans="1:2" x14ac:dyDescent="0.25">
      <c r="A109" s="41" t="s">
        <v>93</v>
      </c>
      <c r="B109" s="35"/>
    </row>
    <row r="110" spans="1:2" x14ac:dyDescent="0.25">
      <c r="A110" s="41" t="s">
        <v>92</v>
      </c>
      <c r="B110" s="35"/>
    </row>
    <row r="111" spans="1:2" x14ac:dyDescent="0.25">
      <c r="A111" s="41" t="s">
        <v>94</v>
      </c>
      <c r="B111" s="35">
        <v>33247707</v>
      </c>
    </row>
    <row r="112" spans="1:2" x14ac:dyDescent="0.25">
      <c r="A112" s="41"/>
    </row>
  </sheetData>
  <sortState xmlns:xlrd2="http://schemas.microsoft.com/office/spreadsheetml/2017/richdata2" ref="A3:B111">
    <sortCondition ref="A2"/>
  </sortState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11"/>
  <sheetViews>
    <sheetView workbookViewId="0">
      <selection activeCell="C11" sqref="C11"/>
    </sheetView>
  </sheetViews>
  <sheetFormatPr defaultRowHeight="15" x14ac:dyDescent="0.25"/>
  <cols>
    <col min="1" max="1" width="15.7109375" style="7" bestFit="1" customWidth="1"/>
    <col min="2" max="2" width="16.85546875" style="7" bestFit="1" customWidth="1"/>
  </cols>
  <sheetData>
    <row r="1" spans="1:2" x14ac:dyDescent="0.25">
      <c r="A1" s="33" t="s">
        <v>0</v>
      </c>
      <c r="B1" s="33" t="s">
        <v>1</v>
      </c>
    </row>
    <row r="2" spans="1:2" x14ac:dyDescent="0.25">
      <c r="A2" s="33"/>
      <c r="B2" s="33"/>
    </row>
    <row r="3" spans="1:2" x14ac:dyDescent="0.25">
      <c r="A3" s="41" t="s">
        <v>48</v>
      </c>
      <c r="B3" s="35">
        <v>338633433</v>
      </c>
    </row>
    <row r="4" spans="1:2" x14ac:dyDescent="0.25">
      <c r="A4" s="41" t="s">
        <v>49</v>
      </c>
      <c r="B4" s="35">
        <v>70209405</v>
      </c>
    </row>
    <row r="5" spans="1:2" x14ac:dyDescent="0.25">
      <c r="A5" s="41" t="s">
        <v>50</v>
      </c>
      <c r="B5" s="35">
        <v>43394308</v>
      </c>
    </row>
    <row r="6" spans="1:2" x14ac:dyDescent="0.25">
      <c r="A6" s="41" t="s">
        <v>95</v>
      </c>
      <c r="B6" s="35">
        <v>117878095</v>
      </c>
    </row>
    <row r="7" spans="1:2" x14ac:dyDescent="0.25">
      <c r="A7" s="41" t="s">
        <v>2</v>
      </c>
      <c r="B7" s="35">
        <v>1565293</v>
      </c>
    </row>
    <row r="8" spans="1:2" x14ac:dyDescent="0.25">
      <c r="A8" s="41" t="s">
        <v>3</v>
      </c>
      <c r="B8" s="35">
        <v>207395</v>
      </c>
    </row>
    <row r="9" spans="1:2" x14ac:dyDescent="0.25">
      <c r="A9" s="41" t="s">
        <v>29</v>
      </c>
      <c r="B9" s="35">
        <v>553828813</v>
      </c>
    </row>
    <row r="10" spans="1:2" x14ac:dyDescent="0.25">
      <c r="A10" s="41" t="s">
        <v>140</v>
      </c>
      <c r="B10" s="35">
        <v>97816571.280000001</v>
      </c>
    </row>
    <row r="11" spans="1:2" x14ac:dyDescent="0.25">
      <c r="A11" s="41" t="s">
        <v>4</v>
      </c>
      <c r="B11" s="35">
        <v>2761</v>
      </c>
    </row>
    <row r="12" spans="1:2" x14ac:dyDescent="0.25">
      <c r="A12" s="41" t="s">
        <v>5</v>
      </c>
      <c r="B12" s="35">
        <v>257287</v>
      </c>
    </row>
    <row r="13" spans="1:2" x14ac:dyDescent="0.25">
      <c r="A13" s="41" t="s">
        <v>30</v>
      </c>
      <c r="B13" s="35">
        <v>1327177932</v>
      </c>
    </row>
    <row r="14" spans="1:2" x14ac:dyDescent="0.25">
      <c r="A14" s="41" t="s">
        <v>141</v>
      </c>
      <c r="B14" s="35">
        <v>97814116.879999995</v>
      </c>
    </row>
    <row r="15" spans="1:2" x14ac:dyDescent="0.25">
      <c r="A15" s="41" t="s">
        <v>6</v>
      </c>
      <c r="B15" s="35">
        <v>318412</v>
      </c>
    </row>
    <row r="16" spans="1:2" x14ac:dyDescent="0.25">
      <c r="A16" s="41" t="s">
        <v>7</v>
      </c>
      <c r="B16" s="35">
        <v>23560</v>
      </c>
    </row>
    <row r="17" spans="1:2" x14ac:dyDescent="0.25">
      <c r="A17" s="41" t="s">
        <v>55</v>
      </c>
      <c r="B17" s="35">
        <v>2796581</v>
      </c>
    </row>
    <row r="18" spans="1:2" x14ac:dyDescent="0.25">
      <c r="A18" s="41" t="s">
        <v>56</v>
      </c>
      <c r="B18" s="35">
        <v>24703537</v>
      </c>
    </row>
    <row r="19" spans="1:2" x14ac:dyDescent="0.25">
      <c r="A19" s="41" t="s">
        <v>57</v>
      </c>
      <c r="B19" s="35">
        <v>1182213</v>
      </c>
    </row>
    <row r="20" spans="1:2" x14ac:dyDescent="0.25">
      <c r="A20" s="41" t="s">
        <v>103</v>
      </c>
      <c r="B20" s="35">
        <v>24570069.829999998</v>
      </c>
    </row>
    <row r="21" spans="1:2" x14ac:dyDescent="0.25">
      <c r="A21" s="41" t="s">
        <v>104</v>
      </c>
      <c r="B21" s="35">
        <v>67675190.379999995</v>
      </c>
    </row>
    <row r="22" spans="1:2" x14ac:dyDescent="0.25">
      <c r="A22" s="41" t="s">
        <v>105</v>
      </c>
      <c r="B22" s="35">
        <v>202914025.53999999</v>
      </c>
    </row>
    <row r="23" spans="1:2" x14ac:dyDescent="0.25">
      <c r="A23" s="41" t="s">
        <v>106</v>
      </c>
      <c r="B23" s="35">
        <v>205178263.16999999</v>
      </c>
    </row>
    <row r="24" spans="1:2" x14ac:dyDescent="0.25">
      <c r="A24" s="41" t="s">
        <v>107</v>
      </c>
      <c r="B24" s="35">
        <v>247660415.80000001</v>
      </c>
    </row>
    <row r="25" spans="1:2" x14ac:dyDescent="0.25">
      <c r="A25" s="41" t="s">
        <v>108</v>
      </c>
      <c r="B25" s="35">
        <v>70561997.650000006</v>
      </c>
    </row>
    <row r="26" spans="1:2" x14ac:dyDescent="0.25">
      <c r="A26" s="41" t="s">
        <v>109</v>
      </c>
      <c r="B26" s="35">
        <v>249572506.59999999</v>
      </c>
    </row>
    <row r="27" spans="1:2" x14ac:dyDescent="0.25">
      <c r="A27" s="41" t="s">
        <v>99</v>
      </c>
      <c r="B27" s="35">
        <v>83387148.090000004</v>
      </c>
    </row>
    <row r="28" spans="1:2" x14ac:dyDescent="0.25">
      <c r="A28" s="41" t="s">
        <v>100</v>
      </c>
      <c r="B28" s="35">
        <v>170258179.38999999</v>
      </c>
    </row>
    <row r="29" spans="1:2" x14ac:dyDescent="0.25">
      <c r="A29" s="41" t="s">
        <v>101</v>
      </c>
      <c r="B29" s="37">
        <v>560154617.25999999</v>
      </c>
    </row>
    <row r="30" spans="1:2" x14ac:dyDescent="0.25">
      <c r="A30" s="41" t="s">
        <v>102</v>
      </c>
      <c r="B30" s="37">
        <v>413680398.25999999</v>
      </c>
    </row>
    <row r="31" spans="1:2" x14ac:dyDescent="0.25">
      <c r="A31" s="41" t="s">
        <v>125</v>
      </c>
      <c r="B31" s="35">
        <v>7809520763</v>
      </c>
    </row>
    <row r="32" spans="1:2" x14ac:dyDescent="0.25">
      <c r="A32" s="42" t="s">
        <v>31</v>
      </c>
      <c r="B32" s="7">
        <v>3337543</v>
      </c>
    </row>
    <row r="33" spans="1:2" x14ac:dyDescent="0.25">
      <c r="A33" s="41" t="s">
        <v>32</v>
      </c>
      <c r="B33" s="35">
        <v>368514</v>
      </c>
    </row>
    <row r="34" spans="1:2" x14ac:dyDescent="0.25">
      <c r="A34" s="41" t="s">
        <v>33</v>
      </c>
      <c r="B34" s="35">
        <v>6184472</v>
      </c>
    </row>
    <row r="35" spans="1:2" x14ac:dyDescent="0.25">
      <c r="A35" s="41" t="s">
        <v>34</v>
      </c>
      <c r="B35" s="35">
        <v>244330</v>
      </c>
    </row>
    <row r="36" spans="1:2" x14ac:dyDescent="0.25">
      <c r="A36" s="41" t="s">
        <v>35</v>
      </c>
      <c r="B36" s="35">
        <v>536549</v>
      </c>
    </row>
    <row r="37" spans="1:2" x14ac:dyDescent="0.25">
      <c r="A37" s="41" t="s">
        <v>36</v>
      </c>
      <c r="B37" s="35">
        <v>358863</v>
      </c>
    </row>
    <row r="38" spans="1:2" x14ac:dyDescent="0.25">
      <c r="A38" s="41" t="s">
        <v>37</v>
      </c>
      <c r="B38" s="35">
        <v>173681</v>
      </c>
    </row>
    <row r="39" spans="1:2" x14ac:dyDescent="0.25">
      <c r="A39" s="41" t="s">
        <v>38</v>
      </c>
      <c r="B39" s="35">
        <v>205689</v>
      </c>
    </row>
    <row r="40" spans="1:2" x14ac:dyDescent="0.25">
      <c r="A40" s="41" t="s">
        <v>39</v>
      </c>
      <c r="B40" s="35">
        <v>647198</v>
      </c>
    </row>
    <row r="41" spans="1:2" x14ac:dyDescent="0.25">
      <c r="A41" s="41" t="s">
        <v>41</v>
      </c>
      <c r="B41" s="35">
        <v>307047</v>
      </c>
    </row>
    <row r="42" spans="1:2" x14ac:dyDescent="0.25">
      <c r="A42" s="41" t="s">
        <v>42</v>
      </c>
      <c r="B42" s="35">
        <v>16451</v>
      </c>
    </row>
    <row r="43" spans="1:2" x14ac:dyDescent="0.25">
      <c r="A43" s="41" t="s">
        <v>43</v>
      </c>
      <c r="B43" s="35">
        <v>49475</v>
      </c>
    </row>
    <row r="44" spans="1:2" x14ac:dyDescent="0.25">
      <c r="A44" s="41" t="s">
        <v>44</v>
      </c>
      <c r="B44" s="35">
        <v>47189013</v>
      </c>
    </row>
    <row r="45" spans="1:2" x14ac:dyDescent="0.25">
      <c r="A45" s="41" t="s">
        <v>64</v>
      </c>
      <c r="B45" s="35">
        <v>451891</v>
      </c>
    </row>
    <row r="46" spans="1:2" x14ac:dyDescent="0.25">
      <c r="A46" s="41" t="s">
        <v>65</v>
      </c>
      <c r="B46" s="35">
        <v>15434876</v>
      </c>
    </row>
    <row r="47" spans="1:2" x14ac:dyDescent="0.25">
      <c r="A47" s="41" t="s">
        <v>66</v>
      </c>
      <c r="B47" s="35">
        <v>2121834</v>
      </c>
    </row>
    <row r="48" spans="1:2" x14ac:dyDescent="0.25">
      <c r="A48" s="41" t="s">
        <v>67</v>
      </c>
      <c r="B48" s="35">
        <v>103098079</v>
      </c>
    </row>
    <row r="49" spans="1:2" x14ac:dyDescent="0.25">
      <c r="A49" s="41" t="s">
        <v>68</v>
      </c>
      <c r="B49" s="35">
        <v>75766576</v>
      </c>
    </row>
    <row r="50" spans="1:2" x14ac:dyDescent="0.25">
      <c r="A50" s="41" t="s">
        <v>69</v>
      </c>
      <c r="B50" s="35">
        <v>139252826</v>
      </c>
    </row>
    <row r="51" spans="1:2" x14ac:dyDescent="0.25">
      <c r="A51" s="41" t="s">
        <v>124</v>
      </c>
      <c r="B51" s="35"/>
    </row>
    <row r="52" spans="1:2" x14ac:dyDescent="0.25">
      <c r="A52" s="41" t="s">
        <v>80</v>
      </c>
      <c r="B52" s="35">
        <v>201330226</v>
      </c>
    </row>
    <row r="53" spans="1:2" x14ac:dyDescent="0.25">
      <c r="A53" s="41" t="s">
        <v>26</v>
      </c>
      <c r="B53" s="35">
        <v>842521134</v>
      </c>
    </row>
    <row r="54" spans="1:2" x14ac:dyDescent="0.25">
      <c r="A54" s="41" t="s">
        <v>45</v>
      </c>
      <c r="B54" s="35">
        <v>75180516</v>
      </c>
    </row>
    <row r="55" spans="1:2" x14ac:dyDescent="0.25">
      <c r="A55" s="41" t="s">
        <v>27</v>
      </c>
      <c r="B55" s="35">
        <v>1146924527</v>
      </c>
    </row>
    <row r="56" spans="1:2" x14ac:dyDescent="0.25">
      <c r="A56" s="41" t="s">
        <v>97</v>
      </c>
      <c r="B56" s="35">
        <v>12741620</v>
      </c>
    </row>
    <row r="57" spans="1:2" x14ac:dyDescent="0.25">
      <c r="A57" s="41" t="s">
        <v>96</v>
      </c>
      <c r="B57" s="35">
        <v>1321328175</v>
      </c>
    </row>
    <row r="58" spans="1:2" x14ac:dyDescent="0.25">
      <c r="A58" s="41" t="s">
        <v>81</v>
      </c>
      <c r="B58" s="35">
        <v>459606</v>
      </c>
    </row>
    <row r="59" spans="1:2" x14ac:dyDescent="0.25">
      <c r="A59" s="41" t="s">
        <v>98</v>
      </c>
      <c r="B59" s="35">
        <v>2897329727</v>
      </c>
    </row>
    <row r="60" spans="1:2" x14ac:dyDescent="0.25">
      <c r="A60" s="41" t="s">
        <v>28</v>
      </c>
      <c r="B60" s="35">
        <v>1373521703</v>
      </c>
    </row>
    <row r="61" spans="1:2" x14ac:dyDescent="0.25">
      <c r="A61" s="41" t="s">
        <v>129</v>
      </c>
      <c r="B61" s="35">
        <v>179821968.90000001</v>
      </c>
    </row>
    <row r="62" spans="1:2" x14ac:dyDescent="0.25">
      <c r="A62" s="41" t="s">
        <v>110</v>
      </c>
      <c r="B62" s="35">
        <v>424229657.38999999</v>
      </c>
    </row>
    <row r="63" spans="1:2" x14ac:dyDescent="0.25">
      <c r="A63" s="41" t="s">
        <v>111</v>
      </c>
      <c r="B63" s="35">
        <v>257397693.03</v>
      </c>
    </row>
    <row r="64" spans="1:2" x14ac:dyDescent="0.25">
      <c r="A64" s="41" t="s">
        <v>112</v>
      </c>
      <c r="B64" s="35">
        <v>309797653.64999998</v>
      </c>
    </row>
    <row r="65" spans="1:2" x14ac:dyDescent="0.25">
      <c r="A65" s="41" t="s">
        <v>122</v>
      </c>
      <c r="B65" s="35">
        <v>220612427.13</v>
      </c>
    </row>
    <row r="66" spans="1:2" x14ac:dyDescent="0.25">
      <c r="A66" s="41" t="s">
        <v>123</v>
      </c>
      <c r="B66" s="35">
        <v>242412632.63</v>
      </c>
    </row>
    <row r="67" spans="1:2" x14ac:dyDescent="0.25">
      <c r="A67" s="41" t="s">
        <v>139</v>
      </c>
      <c r="B67" s="35">
        <v>205421406.88999999</v>
      </c>
    </row>
    <row r="68" spans="1:2" x14ac:dyDescent="0.25">
      <c r="A68" s="41" t="s">
        <v>8</v>
      </c>
      <c r="B68" s="35">
        <v>55181612</v>
      </c>
    </row>
    <row r="69" spans="1:2" x14ac:dyDescent="0.25">
      <c r="A69" s="41" t="s">
        <v>40</v>
      </c>
      <c r="B69" s="35">
        <v>98086</v>
      </c>
    </row>
    <row r="70" spans="1:2" x14ac:dyDescent="0.25">
      <c r="A70" s="41" t="s">
        <v>9</v>
      </c>
      <c r="B70" s="35">
        <v>167028175</v>
      </c>
    </row>
    <row r="71" spans="1:2" x14ac:dyDescent="0.25">
      <c r="A71" s="41" t="s">
        <v>10</v>
      </c>
      <c r="B71" s="35">
        <v>200139010</v>
      </c>
    </row>
    <row r="72" spans="1:2" x14ac:dyDescent="0.25">
      <c r="A72" s="41" t="s">
        <v>113</v>
      </c>
      <c r="B72" s="35">
        <v>120689473.56999999</v>
      </c>
    </row>
    <row r="73" spans="1:2" x14ac:dyDescent="0.25">
      <c r="A73" s="41" t="s">
        <v>114</v>
      </c>
      <c r="B73" s="35">
        <v>29311850.760000002</v>
      </c>
    </row>
    <row r="74" spans="1:2" x14ac:dyDescent="0.25">
      <c r="A74" s="41" t="s">
        <v>11</v>
      </c>
      <c r="B74" s="35">
        <v>12550658</v>
      </c>
    </row>
    <row r="75" spans="1:2" x14ac:dyDescent="0.25">
      <c r="A75" s="41" t="s">
        <v>12</v>
      </c>
      <c r="B75" s="35">
        <v>7514400</v>
      </c>
    </row>
    <row r="76" spans="1:2" x14ac:dyDescent="0.25">
      <c r="A76" s="41" t="s">
        <v>13</v>
      </c>
      <c r="B76" s="35">
        <v>7180307</v>
      </c>
    </row>
    <row r="77" spans="1:2" x14ac:dyDescent="0.25">
      <c r="A77" s="41" t="s">
        <v>14</v>
      </c>
      <c r="B77" s="35">
        <v>10696911</v>
      </c>
    </row>
    <row r="78" spans="1:2" x14ac:dyDescent="0.25">
      <c r="A78" s="41" t="s">
        <v>15</v>
      </c>
      <c r="B78" s="35">
        <v>10017368</v>
      </c>
    </row>
    <row r="79" spans="1:2" x14ac:dyDescent="0.25">
      <c r="A79" s="41" t="s">
        <v>82</v>
      </c>
      <c r="B79" s="35">
        <v>27054630</v>
      </c>
    </row>
    <row r="80" spans="1:2" x14ac:dyDescent="0.25">
      <c r="A80" s="41" t="s">
        <v>83</v>
      </c>
      <c r="B80" s="35">
        <v>4163970</v>
      </c>
    </row>
    <row r="81" spans="1:2" x14ac:dyDescent="0.25">
      <c r="A81" s="41" t="s">
        <v>22</v>
      </c>
      <c r="B81" s="35">
        <v>1945980</v>
      </c>
    </row>
    <row r="82" spans="1:2" x14ac:dyDescent="0.25">
      <c r="A82" s="41" t="s">
        <v>23</v>
      </c>
      <c r="B82" s="35">
        <v>1</v>
      </c>
    </row>
    <row r="83" spans="1:2" x14ac:dyDescent="0.25">
      <c r="A83" s="41" t="s">
        <v>24</v>
      </c>
      <c r="B83" s="35">
        <v>1</v>
      </c>
    </row>
    <row r="84" spans="1:2" x14ac:dyDescent="0.25">
      <c r="A84" s="41" t="s">
        <v>46</v>
      </c>
      <c r="B84" s="35">
        <v>74108</v>
      </c>
    </row>
    <row r="85" spans="1:2" x14ac:dyDescent="0.25">
      <c r="A85" s="41" t="s">
        <v>16</v>
      </c>
      <c r="B85" s="35">
        <v>82418</v>
      </c>
    </row>
    <row r="86" spans="1:2" x14ac:dyDescent="0.25">
      <c r="A86" s="41" t="s">
        <v>115</v>
      </c>
      <c r="B86" s="35">
        <v>33352888.120000001</v>
      </c>
    </row>
    <row r="87" spans="1:2" x14ac:dyDescent="0.25">
      <c r="A87" s="41" t="s">
        <v>116</v>
      </c>
      <c r="B87" s="35">
        <v>455376181</v>
      </c>
    </row>
    <row r="88" spans="1:2" x14ac:dyDescent="0.25">
      <c r="A88" s="41" t="s">
        <v>117</v>
      </c>
      <c r="B88" s="35">
        <v>21443077.16</v>
      </c>
    </row>
    <row r="89" spans="1:2" x14ac:dyDescent="0.25">
      <c r="A89" s="41" t="s">
        <v>118</v>
      </c>
      <c r="B89" s="35">
        <v>33386831.420000002</v>
      </c>
    </row>
    <row r="90" spans="1:2" x14ac:dyDescent="0.25">
      <c r="A90" s="41" t="s">
        <v>120</v>
      </c>
      <c r="B90" s="35">
        <v>65948367.18</v>
      </c>
    </row>
    <row r="91" spans="1:2" x14ac:dyDescent="0.25">
      <c r="A91" s="41" t="s">
        <v>17</v>
      </c>
      <c r="B91" s="35">
        <v>113532331</v>
      </c>
    </row>
    <row r="92" spans="1:2" x14ac:dyDescent="0.25">
      <c r="A92" s="41" t="s">
        <v>18</v>
      </c>
      <c r="B92" s="35">
        <v>607056843</v>
      </c>
    </row>
    <row r="93" spans="1:2" x14ac:dyDescent="0.25">
      <c r="A93" s="41" t="s">
        <v>19</v>
      </c>
      <c r="B93" s="35">
        <v>93537101</v>
      </c>
    </row>
    <row r="94" spans="1:2" x14ac:dyDescent="0.25">
      <c r="A94" s="41" t="s">
        <v>20</v>
      </c>
      <c r="B94" s="35">
        <v>1724246166</v>
      </c>
    </row>
    <row r="95" spans="1:2" x14ac:dyDescent="0.25">
      <c r="A95" s="41" t="s">
        <v>21</v>
      </c>
      <c r="B95" s="35">
        <v>796097893</v>
      </c>
    </row>
    <row r="96" spans="1:2" x14ac:dyDescent="0.25">
      <c r="A96" s="41" t="s">
        <v>47</v>
      </c>
      <c r="B96" s="35">
        <v>30370677</v>
      </c>
    </row>
    <row r="97" spans="1:2" x14ac:dyDescent="0.25">
      <c r="A97" s="41" t="s">
        <v>84</v>
      </c>
      <c r="B97" s="35"/>
    </row>
    <row r="98" spans="1:2" x14ac:dyDescent="0.25">
      <c r="A98" s="41" t="s">
        <v>85</v>
      </c>
      <c r="B98" s="35">
        <v>23338191</v>
      </c>
    </row>
    <row r="99" spans="1:2" x14ac:dyDescent="0.25">
      <c r="A99" s="41" t="s">
        <v>86</v>
      </c>
      <c r="B99" s="35">
        <v>32077352</v>
      </c>
    </row>
    <row r="100" spans="1:2" x14ac:dyDescent="0.25">
      <c r="A100" s="41" t="s">
        <v>87</v>
      </c>
      <c r="B100" s="35">
        <v>48716798</v>
      </c>
    </row>
    <row r="101" spans="1:2" x14ac:dyDescent="0.25">
      <c r="A101" s="41" t="s">
        <v>88</v>
      </c>
      <c r="B101" s="35"/>
    </row>
    <row r="102" spans="1:2" x14ac:dyDescent="0.25">
      <c r="A102" s="41" t="s">
        <v>25</v>
      </c>
      <c r="B102" s="35"/>
    </row>
    <row r="103" spans="1:2" x14ac:dyDescent="0.25">
      <c r="A103" s="41" t="s">
        <v>89</v>
      </c>
      <c r="B103" s="35">
        <v>32581879</v>
      </c>
    </row>
    <row r="104" spans="1:2" x14ac:dyDescent="0.25">
      <c r="A104" s="41" t="s">
        <v>90</v>
      </c>
      <c r="B104" s="35">
        <v>385539</v>
      </c>
    </row>
    <row r="105" spans="1:2" x14ac:dyDescent="0.25">
      <c r="A105" s="41" t="s">
        <v>91</v>
      </c>
      <c r="B105" s="35">
        <v>30742624</v>
      </c>
    </row>
    <row r="106" spans="1:2" x14ac:dyDescent="0.25">
      <c r="A106" s="41" t="s">
        <v>93</v>
      </c>
      <c r="B106" s="35"/>
    </row>
    <row r="107" spans="1:2" x14ac:dyDescent="0.25">
      <c r="A107" s="41" t="s">
        <v>92</v>
      </c>
      <c r="B107" s="35"/>
    </row>
    <row r="108" spans="1:2" x14ac:dyDescent="0.25">
      <c r="A108" s="41" t="s">
        <v>94</v>
      </c>
      <c r="B108" s="35">
        <v>33926387</v>
      </c>
    </row>
    <row r="109" spans="1:2" x14ac:dyDescent="0.25">
      <c r="A109" s="41"/>
      <c r="B109" s="35"/>
    </row>
    <row r="110" spans="1:2" x14ac:dyDescent="0.25">
      <c r="A110" s="41"/>
      <c r="B110" s="35"/>
    </row>
    <row r="111" spans="1:2" x14ac:dyDescent="0.25">
      <c r="A111" s="41"/>
      <c r="B111" s="35"/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8"/>
  <sheetViews>
    <sheetView topLeftCell="A34" workbookViewId="0">
      <selection activeCell="A49" sqref="A49:B49"/>
    </sheetView>
  </sheetViews>
  <sheetFormatPr defaultRowHeight="15" x14ac:dyDescent="0.25"/>
  <cols>
    <col min="1" max="1" width="13.28515625" bestFit="1" customWidth="1"/>
    <col min="2" max="2" width="11.7109375" bestFit="1" customWidth="1"/>
  </cols>
  <sheetData>
    <row r="1" spans="1:2" x14ac:dyDescent="0.25">
      <c r="A1" s="43" t="s">
        <v>0</v>
      </c>
      <c r="B1" s="43" t="s">
        <v>1</v>
      </c>
    </row>
    <row r="2" spans="1:2" x14ac:dyDescent="0.25">
      <c r="A2" s="44" t="s">
        <v>2</v>
      </c>
      <c r="B2" s="45">
        <v>1526909</v>
      </c>
    </row>
    <row r="3" spans="1:2" x14ac:dyDescent="0.25">
      <c r="A3" s="44" t="s">
        <v>3</v>
      </c>
      <c r="B3" s="45">
        <v>206977</v>
      </c>
    </row>
    <row r="4" spans="1:2" x14ac:dyDescent="0.25">
      <c r="A4" s="44" t="s">
        <v>4</v>
      </c>
      <c r="B4" s="45">
        <v>2754</v>
      </c>
    </row>
    <row r="5" spans="1:2" x14ac:dyDescent="0.25">
      <c r="A5" s="44" t="s">
        <v>5</v>
      </c>
      <c r="B5" s="45">
        <v>256426</v>
      </c>
    </row>
    <row r="6" spans="1:2" x14ac:dyDescent="0.25">
      <c r="A6" s="44" t="s">
        <v>6</v>
      </c>
      <c r="B6" s="45">
        <v>317802</v>
      </c>
    </row>
    <row r="7" spans="1:2" x14ac:dyDescent="0.25">
      <c r="A7" s="44" t="s">
        <v>7</v>
      </c>
      <c r="B7" s="45">
        <v>23517</v>
      </c>
    </row>
    <row r="8" spans="1:2" x14ac:dyDescent="0.25">
      <c r="A8" s="44" t="s">
        <v>8</v>
      </c>
      <c r="B8" s="45">
        <v>52917623</v>
      </c>
    </row>
    <row r="9" spans="1:2" x14ac:dyDescent="0.25">
      <c r="A9" s="44" t="s">
        <v>9</v>
      </c>
      <c r="B9" s="45">
        <v>169025143</v>
      </c>
    </row>
    <row r="10" spans="1:2" x14ac:dyDescent="0.25">
      <c r="A10" s="44" t="s">
        <v>10</v>
      </c>
      <c r="B10" s="45">
        <v>200327223</v>
      </c>
    </row>
    <row r="11" spans="1:2" x14ac:dyDescent="0.25">
      <c r="A11" s="44" t="s">
        <v>11</v>
      </c>
      <c r="B11" s="45">
        <v>12754141</v>
      </c>
    </row>
    <row r="12" spans="1:2" x14ac:dyDescent="0.25">
      <c r="A12" s="44" t="s">
        <v>12</v>
      </c>
      <c r="B12" s="45">
        <v>7498103</v>
      </c>
    </row>
    <row r="13" spans="1:2" x14ac:dyDescent="0.25">
      <c r="A13" s="44" t="s">
        <v>13</v>
      </c>
      <c r="B13" s="45">
        <v>7169618</v>
      </c>
    </row>
    <row r="14" spans="1:2" x14ac:dyDescent="0.25">
      <c r="A14" s="44" t="s">
        <v>14</v>
      </c>
      <c r="B14" s="45">
        <v>10670828</v>
      </c>
    </row>
    <row r="15" spans="1:2" x14ac:dyDescent="0.25">
      <c r="A15" s="44" t="s">
        <v>15</v>
      </c>
      <c r="B15" s="45">
        <v>10267298</v>
      </c>
    </row>
    <row r="16" spans="1:2" x14ac:dyDescent="0.25">
      <c r="A16" s="44" t="s">
        <v>16</v>
      </c>
      <c r="B16" s="45">
        <v>82375</v>
      </c>
    </row>
    <row r="17" spans="1:2" x14ac:dyDescent="0.25">
      <c r="A17" s="44" t="s">
        <v>17</v>
      </c>
      <c r="B17" s="45">
        <v>113568500</v>
      </c>
    </row>
    <row r="18" spans="1:2" x14ac:dyDescent="0.25">
      <c r="A18" s="44" t="s">
        <v>18</v>
      </c>
      <c r="B18" s="45">
        <v>609903572</v>
      </c>
    </row>
    <row r="19" spans="1:2" x14ac:dyDescent="0.25">
      <c r="A19" s="44" t="s">
        <v>19</v>
      </c>
      <c r="B19" s="45">
        <v>93714252</v>
      </c>
    </row>
    <row r="20" spans="1:2" x14ac:dyDescent="0.25">
      <c r="A20" s="44" t="s">
        <v>20</v>
      </c>
      <c r="B20" s="45">
        <v>1741872065</v>
      </c>
    </row>
    <row r="21" spans="1:2" x14ac:dyDescent="0.25">
      <c r="A21" s="44" t="s">
        <v>21</v>
      </c>
      <c r="B21" s="45">
        <v>810675631</v>
      </c>
    </row>
    <row r="22" spans="1:2" x14ac:dyDescent="0.25">
      <c r="A22" s="44" t="s">
        <v>22</v>
      </c>
      <c r="B22" s="45">
        <v>1946162</v>
      </c>
    </row>
    <row r="23" spans="1:2" x14ac:dyDescent="0.25">
      <c r="A23" s="44" t="s">
        <v>23</v>
      </c>
      <c r="B23" s="45">
        <v>1</v>
      </c>
    </row>
    <row r="24" spans="1:2" x14ac:dyDescent="0.25">
      <c r="A24" s="44" t="s">
        <v>24</v>
      </c>
      <c r="B24" s="45">
        <v>1</v>
      </c>
    </row>
    <row r="25" spans="1:2" x14ac:dyDescent="0.25">
      <c r="A25" s="44" t="s">
        <v>25</v>
      </c>
      <c r="B25" s="46"/>
    </row>
    <row r="26" spans="1:2" x14ac:dyDescent="0.25">
      <c r="A26" s="44" t="s">
        <v>26</v>
      </c>
      <c r="B26" s="45">
        <v>841677949</v>
      </c>
    </row>
    <row r="27" spans="1:2" x14ac:dyDescent="0.25">
      <c r="A27" s="44" t="s">
        <v>27</v>
      </c>
      <c r="B27" s="45">
        <v>1154022886</v>
      </c>
    </row>
    <row r="28" spans="1:2" x14ac:dyDescent="0.25">
      <c r="A28" s="44" t="s">
        <v>28</v>
      </c>
      <c r="B28" s="45">
        <v>1371200638</v>
      </c>
    </row>
    <row r="29" spans="1:2" x14ac:dyDescent="0.25">
      <c r="A29" s="44" t="s">
        <v>29</v>
      </c>
      <c r="B29" s="45">
        <v>556143414</v>
      </c>
    </row>
    <row r="30" spans="1:2" x14ac:dyDescent="0.25">
      <c r="A30" s="44" t="s">
        <v>30</v>
      </c>
      <c r="B30" s="45">
        <v>1343023562</v>
      </c>
    </row>
    <row r="31" spans="1:2" x14ac:dyDescent="0.25">
      <c r="A31" s="44" t="s">
        <v>31</v>
      </c>
      <c r="B31" s="45">
        <v>3328924</v>
      </c>
    </row>
    <row r="32" spans="1:2" x14ac:dyDescent="0.25">
      <c r="A32" s="44" t="s">
        <v>32</v>
      </c>
      <c r="B32" s="45">
        <v>368415</v>
      </c>
    </row>
    <row r="33" spans="1:2" x14ac:dyDescent="0.25">
      <c r="A33" s="44" t="s">
        <v>33</v>
      </c>
      <c r="B33" s="45">
        <v>6182663</v>
      </c>
    </row>
    <row r="34" spans="1:2" x14ac:dyDescent="0.25">
      <c r="A34" s="44" t="s">
        <v>34</v>
      </c>
      <c r="B34" s="45">
        <v>249517</v>
      </c>
    </row>
    <row r="35" spans="1:2" x14ac:dyDescent="0.25">
      <c r="A35" s="44" t="s">
        <v>35</v>
      </c>
      <c r="B35" s="45">
        <v>536597</v>
      </c>
    </row>
    <row r="36" spans="1:2" x14ac:dyDescent="0.25">
      <c r="A36" s="44" t="s">
        <v>36</v>
      </c>
      <c r="B36" s="45">
        <v>375070</v>
      </c>
    </row>
    <row r="37" spans="1:2" x14ac:dyDescent="0.25">
      <c r="A37" s="44" t="s">
        <v>37</v>
      </c>
      <c r="B37" s="45">
        <v>173648</v>
      </c>
    </row>
    <row r="38" spans="1:2" x14ac:dyDescent="0.25">
      <c r="A38" s="44" t="s">
        <v>38</v>
      </c>
      <c r="B38" s="45">
        <v>205626</v>
      </c>
    </row>
    <row r="39" spans="1:2" x14ac:dyDescent="0.25">
      <c r="A39" s="44" t="s">
        <v>39</v>
      </c>
      <c r="B39" s="45">
        <v>646959</v>
      </c>
    </row>
    <row r="40" spans="1:2" x14ac:dyDescent="0.25">
      <c r="A40" s="44" t="s">
        <v>40</v>
      </c>
      <c r="B40" s="45">
        <v>98053</v>
      </c>
    </row>
    <row r="41" spans="1:2" x14ac:dyDescent="0.25">
      <c r="A41" s="44" t="s">
        <v>41</v>
      </c>
      <c r="B41" s="45">
        <v>306990</v>
      </c>
    </row>
    <row r="42" spans="1:2" x14ac:dyDescent="0.25">
      <c r="A42" s="44" t="s">
        <v>42</v>
      </c>
      <c r="B42" s="45">
        <v>16449</v>
      </c>
    </row>
    <row r="43" spans="1:2" x14ac:dyDescent="0.25">
      <c r="A43" s="44" t="s">
        <v>43</v>
      </c>
      <c r="B43" s="45">
        <v>49458</v>
      </c>
    </row>
    <row r="44" spans="1:2" x14ac:dyDescent="0.25">
      <c r="A44" s="44" t="s">
        <v>44</v>
      </c>
      <c r="B44" s="45">
        <v>47790190</v>
      </c>
    </row>
    <row r="45" spans="1:2" x14ac:dyDescent="0.25">
      <c r="A45" s="44" t="s">
        <v>45</v>
      </c>
      <c r="B45" s="45">
        <v>74932142</v>
      </c>
    </row>
    <row r="46" spans="1:2" x14ac:dyDescent="0.25">
      <c r="A46" s="44" t="s">
        <v>46</v>
      </c>
      <c r="B46" s="45">
        <v>73994</v>
      </c>
    </row>
    <row r="47" spans="1:2" x14ac:dyDescent="0.25">
      <c r="A47" s="44" t="s">
        <v>124</v>
      </c>
      <c r="B47" s="46"/>
    </row>
    <row r="48" spans="1:2" x14ac:dyDescent="0.25">
      <c r="A48" s="44" t="s">
        <v>47</v>
      </c>
      <c r="B48" s="45">
        <v>30116704</v>
      </c>
    </row>
    <row r="49" spans="1:2" x14ac:dyDescent="0.25">
      <c r="A49" s="44" t="s">
        <v>48</v>
      </c>
      <c r="B49" s="45">
        <v>339982248</v>
      </c>
    </row>
    <row r="50" spans="1:2" x14ac:dyDescent="0.25">
      <c r="A50" s="44" t="s">
        <v>49</v>
      </c>
      <c r="B50" s="45">
        <v>70684418</v>
      </c>
    </row>
    <row r="51" spans="1:2" x14ac:dyDescent="0.25">
      <c r="A51" s="44" t="s">
        <v>50</v>
      </c>
      <c r="B51" s="45">
        <v>43447261</v>
      </c>
    </row>
    <row r="52" spans="1:2" x14ac:dyDescent="0.25">
      <c r="A52" s="44" t="s">
        <v>55</v>
      </c>
      <c r="B52" s="45">
        <v>2754539</v>
      </c>
    </row>
    <row r="53" spans="1:2" x14ac:dyDescent="0.25">
      <c r="A53" s="44" t="s">
        <v>56</v>
      </c>
      <c r="B53" s="45">
        <v>24586893</v>
      </c>
    </row>
    <row r="54" spans="1:2" x14ac:dyDescent="0.25">
      <c r="A54" s="44" t="s">
        <v>57</v>
      </c>
      <c r="B54" s="45">
        <v>1164760</v>
      </c>
    </row>
    <row r="55" spans="1:2" x14ac:dyDescent="0.25">
      <c r="A55" s="44" t="s">
        <v>64</v>
      </c>
      <c r="B55" s="45">
        <v>442359</v>
      </c>
    </row>
    <row r="56" spans="1:2" x14ac:dyDescent="0.25">
      <c r="A56" s="44" t="s">
        <v>65</v>
      </c>
      <c r="B56" s="45">
        <v>15321502</v>
      </c>
    </row>
    <row r="57" spans="1:2" x14ac:dyDescent="0.25">
      <c r="A57" s="44" t="s">
        <v>66</v>
      </c>
      <c r="B57" s="45">
        <v>2117250</v>
      </c>
    </row>
    <row r="58" spans="1:2" x14ac:dyDescent="0.25">
      <c r="A58" s="44" t="s">
        <v>67</v>
      </c>
      <c r="B58" s="45">
        <v>102022717</v>
      </c>
    </row>
    <row r="59" spans="1:2" x14ac:dyDescent="0.25">
      <c r="A59" s="44" t="s">
        <v>68</v>
      </c>
      <c r="B59" s="45">
        <v>74782092</v>
      </c>
    </row>
    <row r="60" spans="1:2" x14ac:dyDescent="0.25">
      <c r="A60" s="44" t="s">
        <v>69</v>
      </c>
      <c r="B60" s="45">
        <v>136351397</v>
      </c>
    </row>
    <row r="61" spans="1:2" x14ac:dyDescent="0.25">
      <c r="A61" s="44" t="s">
        <v>80</v>
      </c>
      <c r="B61" s="45">
        <v>200543663</v>
      </c>
    </row>
    <row r="62" spans="1:2" x14ac:dyDescent="0.25">
      <c r="A62" s="44" t="s">
        <v>81</v>
      </c>
      <c r="B62" s="45">
        <v>455262</v>
      </c>
    </row>
    <row r="63" spans="1:2" x14ac:dyDescent="0.25">
      <c r="A63" s="44" t="s">
        <v>82</v>
      </c>
      <c r="B63" s="45">
        <v>27058327</v>
      </c>
    </row>
    <row r="64" spans="1:2" x14ac:dyDescent="0.25">
      <c r="A64" s="44" t="s">
        <v>83</v>
      </c>
      <c r="B64" s="45">
        <v>4161792</v>
      </c>
    </row>
    <row r="65" spans="1:2" x14ac:dyDescent="0.25">
      <c r="A65" s="44" t="s">
        <v>84</v>
      </c>
      <c r="B65" s="46"/>
    </row>
    <row r="66" spans="1:2" x14ac:dyDescent="0.25">
      <c r="A66" s="44" t="s">
        <v>85</v>
      </c>
      <c r="B66" s="45">
        <v>23200583</v>
      </c>
    </row>
    <row r="67" spans="1:2" x14ac:dyDescent="0.25">
      <c r="A67" s="44" t="s">
        <v>86</v>
      </c>
      <c r="B67" s="45">
        <v>31934929</v>
      </c>
    </row>
    <row r="68" spans="1:2" x14ac:dyDescent="0.25">
      <c r="A68" s="44" t="s">
        <v>87</v>
      </c>
      <c r="B68" s="45">
        <v>48610463</v>
      </c>
    </row>
    <row r="69" spans="1:2" x14ac:dyDescent="0.25">
      <c r="A69" s="44" t="s">
        <v>88</v>
      </c>
      <c r="B69" s="46"/>
    </row>
    <row r="70" spans="1:2" x14ac:dyDescent="0.25">
      <c r="A70" s="44" t="s">
        <v>89</v>
      </c>
      <c r="B70" s="45">
        <v>32192529</v>
      </c>
    </row>
    <row r="71" spans="1:2" x14ac:dyDescent="0.25">
      <c r="A71" s="44" t="s">
        <v>90</v>
      </c>
      <c r="B71" s="45">
        <v>159778</v>
      </c>
    </row>
    <row r="72" spans="1:2" x14ac:dyDescent="0.25">
      <c r="A72" s="44" t="s">
        <v>91</v>
      </c>
      <c r="B72" s="45">
        <v>30700407</v>
      </c>
    </row>
    <row r="73" spans="1:2" x14ac:dyDescent="0.25">
      <c r="A73" s="44" t="s">
        <v>92</v>
      </c>
      <c r="B73" s="46"/>
    </row>
    <row r="74" spans="1:2" x14ac:dyDescent="0.25">
      <c r="A74" s="44" t="s">
        <v>93</v>
      </c>
      <c r="B74" s="46"/>
    </row>
    <row r="75" spans="1:2" x14ac:dyDescent="0.25">
      <c r="A75" s="44" t="s">
        <v>94</v>
      </c>
      <c r="B75" s="45">
        <v>33665050</v>
      </c>
    </row>
    <row r="76" spans="1:2" x14ac:dyDescent="0.25">
      <c r="A76" s="44" t="s">
        <v>95</v>
      </c>
      <c r="B76" s="45">
        <v>120210333</v>
      </c>
    </row>
    <row r="77" spans="1:2" x14ac:dyDescent="0.25">
      <c r="A77" s="44" t="s">
        <v>96</v>
      </c>
      <c r="B77" s="45">
        <v>1300687743</v>
      </c>
    </row>
    <row r="78" spans="1:2" x14ac:dyDescent="0.25">
      <c r="A78" s="44" t="s">
        <v>97</v>
      </c>
      <c r="B78" s="45">
        <v>12620706</v>
      </c>
    </row>
    <row r="79" spans="1:2" x14ac:dyDescent="0.25">
      <c r="A79" s="44" t="s">
        <v>98</v>
      </c>
      <c r="B79" s="45">
        <v>2866440965</v>
      </c>
    </row>
    <row r="80" spans="1:2" x14ac:dyDescent="0.25">
      <c r="A80" s="44" t="s">
        <v>99</v>
      </c>
      <c r="B80" s="45">
        <v>83864527.349999994</v>
      </c>
    </row>
    <row r="81" spans="1:2" x14ac:dyDescent="0.25">
      <c r="A81" s="44" t="s">
        <v>100</v>
      </c>
      <c r="B81" s="45">
        <v>165470084.96000001</v>
      </c>
    </row>
    <row r="82" spans="1:2" x14ac:dyDescent="0.25">
      <c r="A82" s="44" t="s">
        <v>101</v>
      </c>
      <c r="B82" s="45">
        <v>564949738.08999991</v>
      </c>
    </row>
    <row r="83" spans="1:2" x14ac:dyDescent="0.25">
      <c r="A83" s="44" t="s">
        <v>102</v>
      </c>
      <c r="B83" s="45">
        <v>418299322.36000001</v>
      </c>
    </row>
    <row r="84" spans="1:2" x14ac:dyDescent="0.25">
      <c r="A84" s="44" t="s">
        <v>103</v>
      </c>
      <c r="B84" s="45">
        <v>24777007.559999999</v>
      </c>
    </row>
    <row r="85" spans="1:2" x14ac:dyDescent="0.25">
      <c r="A85" s="44" t="s">
        <v>104</v>
      </c>
      <c r="B85" s="45">
        <v>67780954.950000003</v>
      </c>
    </row>
    <row r="86" spans="1:2" x14ac:dyDescent="0.25">
      <c r="A86" s="44" t="s">
        <v>105</v>
      </c>
      <c r="B86" s="45">
        <v>204494786.87</v>
      </c>
    </row>
    <row r="87" spans="1:2" x14ac:dyDescent="0.25">
      <c r="A87" s="44" t="s">
        <v>106</v>
      </c>
      <c r="B87" s="45">
        <v>203583223.75</v>
      </c>
    </row>
    <row r="88" spans="1:2" x14ac:dyDescent="0.25">
      <c r="A88" s="44" t="s">
        <v>107</v>
      </c>
      <c r="B88" s="45">
        <v>247179415.20999998</v>
      </c>
    </row>
    <row r="89" spans="1:2" x14ac:dyDescent="0.25">
      <c r="A89" s="44" t="s">
        <v>108</v>
      </c>
      <c r="B89" s="45">
        <v>70207550.420000002</v>
      </c>
    </row>
    <row r="90" spans="1:2" x14ac:dyDescent="0.25">
      <c r="A90" s="44" t="s">
        <v>109</v>
      </c>
      <c r="B90" s="45">
        <v>252267728.13</v>
      </c>
    </row>
    <row r="91" spans="1:2" x14ac:dyDescent="0.25">
      <c r="A91" s="44" t="s">
        <v>110</v>
      </c>
      <c r="B91" s="45">
        <v>430898001.22999996</v>
      </c>
    </row>
    <row r="92" spans="1:2" x14ac:dyDescent="0.25">
      <c r="A92" s="44" t="s">
        <v>111</v>
      </c>
      <c r="B92" s="45">
        <v>260045341.11000001</v>
      </c>
    </row>
    <row r="93" spans="1:2" x14ac:dyDescent="0.25">
      <c r="A93" s="44" t="s">
        <v>112</v>
      </c>
      <c r="B93" s="45">
        <v>311869456.99000001</v>
      </c>
    </row>
    <row r="94" spans="1:2" x14ac:dyDescent="0.25">
      <c r="A94" s="44" t="s">
        <v>113</v>
      </c>
      <c r="B94" s="45">
        <v>119704694.3</v>
      </c>
    </row>
    <row r="95" spans="1:2" x14ac:dyDescent="0.25">
      <c r="A95" s="44" t="s">
        <v>114</v>
      </c>
      <c r="B95" s="45">
        <v>29696539.5</v>
      </c>
    </row>
    <row r="96" spans="1:2" x14ac:dyDescent="0.25">
      <c r="A96" s="44" t="s">
        <v>115</v>
      </c>
      <c r="B96" s="45">
        <v>33546304.020000003</v>
      </c>
    </row>
    <row r="97" spans="1:2" x14ac:dyDescent="0.25">
      <c r="A97" s="44" t="s">
        <v>116</v>
      </c>
      <c r="B97" s="45">
        <v>458558783.70999998</v>
      </c>
    </row>
    <row r="98" spans="1:2" x14ac:dyDescent="0.25">
      <c r="A98" s="44" t="s">
        <v>117</v>
      </c>
      <c r="B98" s="45">
        <v>21920515.560000002</v>
      </c>
    </row>
    <row r="99" spans="1:2" x14ac:dyDescent="0.25">
      <c r="A99" s="44" t="s">
        <v>118</v>
      </c>
      <c r="B99" s="45">
        <v>34119069.050000004</v>
      </c>
    </row>
    <row r="100" spans="1:2" x14ac:dyDescent="0.25">
      <c r="A100" s="44" t="s">
        <v>120</v>
      </c>
      <c r="B100" s="45">
        <v>66840700.32</v>
      </c>
    </row>
    <row r="101" spans="1:2" x14ac:dyDescent="0.25">
      <c r="A101" s="44" t="s">
        <v>122</v>
      </c>
      <c r="B101" s="45">
        <v>221745400.54000002</v>
      </c>
    </row>
    <row r="102" spans="1:2" x14ac:dyDescent="0.25">
      <c r="A102" s="44" t="s">
        <v>125</v>
      </c>
      <c r="B102" s="45">
        <v>7753958815</v>
      </c>
    </row>
    <row r="103" spans="1:2" x14ac:dyDescent="0.25">
      <c r="A103" s="44" t="s">
        <v>139</v>
      </c>
      <c r="B103" s="45">
        <v>205735726.06999999</v>
      </c>
    </row>
    <row r="104" spans="1:2" x14ac:dyDescent="0.25">
      <c r="A104" s="44" t="s">
        <v>140</v>
      </c>
      <c r="B104" s="45">
        <v>89079163</v>
      </c>
    </row>
    <row r="105" spans="1:2" x14ac:dyDescent="0.25">
      <c r="A105" s="44" t="s">
        <v>141</v>
      </c>
      <c r="B105" s="45">
        <v>178831053</v>
      </c>
    </row>
    <row r="106" spans="1:2" x14ac:dyDescent="0.25">
      <c r="A106" s="44" t="s">
        <v>129</v>
      </c>
      <c r="B106" s="45">
        <v>172132845.98399198</v>
      </c>
    </row>
    <row r="107" spans="1:2" x14ac:dyDescent="0.25">
      <c r="A107" s="44" t="s">
        <v>123</v>
      </c>
      <c r="B107" s="45">
        <v>243338102.22999999</v>
      </c>
    </row>
    <row r="108" spans="1:2" x14ac:dyDescent="0.25">
      <c r="A108" s="62" t="s">
        <v>243</v>
      </c>
      <c r="B108" s="62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6"/>
  <sheetViews>
    <sheetView workbookViewId="0">
      <selection sqref="A1:B106"/>
    </sheetView>
  </sheetViews>
  <sheetFormatPr defaultRowHeight="15" x14ac:dyDescent="0.25"/>
  <cols>
    <col min="2" max="2" width="11.7109375" bestFit="1" customWidth="1"/>
  </cols>
  <sheetData>
    <row r="1" spans="1:2" x14ac:dyDescent="0.25">
      <c r="A1" s="59" t="s">
        <v>48</v>
      </c>
      <c r="B1" s="60">
        <v>326770931</v>
      </c>
    </row>
    <row r="2" spans="1:2" x14ac:dyDescent="0.25">
      <c r="A2" s="59" t="s">
        <v>49</v>
      </c>
      <c r="B2" s="60">
        <v>69520810</v>
      </c>
    </row>
    <row r="3" spans="1:2" x14ac:dyDescent="0.25">
      <c r="A3" s="59" t="s">
        <v>50</v>
      </c>
      <c r="B3" s="60">
        <v>43162896</v>
      </c>
    </row>
    <row r="4" spans="1:2" x14ac:dyDescent="0.25">
      <c r="A4" s="59" t="s">
        <v>95</v>
      </c>
      <c r="B4" s="60">
        <v>120445202</v>
      </c>
    </row>
    <row r="5" spans="1:2" x14ac:dyDescent="0.25">
      <c r="A5" s="59" t="s">
        <v>2</v>
      </c>
      <c r="B5" s="60">
        <v>1450886</v>
      </c>
    </row>
    <row r="6" spans="1:2" x14ac:dyDescent="0.25">
      <c r="A6" s="59" t="s">
        <v>3</v>
      </c>
      <c r="B6" s="60">
        <v>204444</v>
      </c>
    </row>
    <row r="7" spans="1:2" x14ac:dyDescent="0.25">
      <c r="A7" s="59" t="s">
        <v>29</v>
      </c>
      <c r="B7" s="60">
        <v>555466390</v>
      </c>
    </row>
    <row r="8" spans="1:2" x14ac:dyDescent="0.25">
      <c r="A8" s="59" t="s">
        <v>140</v>
      </c>
      <c r="B8" s="60">
        <v>87230810</v>
      </c>
    </row>
    <row r="9" spans="1:2" x14ac:dyDescent="0.25">
      <c r="A9" s="59" t="s">
        <v>4</v>
      </c>
      <c r="B9" s="60">
        <v>2757</v>
      </c>
    </row>
    <row r="10" spans="1:2" x14ac:dyDescent="0.25">
      <c r="A10" s="59" t="s">
        <v>5</v>
      </c>
      <c r="B10" s="60">
        <v>254634</v>
      </c>
    </row>
    <row r="11" spans="1:2" x14ac:dyDescent="0.25">
      <c r="A11" s="59" t="s">
        <v>30</v>
      </c>
      <c r="B11" s="60">
        <v>1340341174</v>
      </c>
    </row>
    <row r="12" spans="1:2" x14ac:dyDescent="0.25">
      <c r="A12" s="59" t="s">
        <v>141</v>
      </c>
      <c r="B12" s="60">
        <v>175799020</v>
      </c>
    </row>
    <row r="13" spans="1:2" x14ac:dyDescent="0.25">
      <c r="A13" s="59" t="s">
        <v>6</v>
      </c>
      <c r="B13" s="60">
        <v>309441</v>
      </c>
    </row>
    <row r="14" spans="1:2" x14ac:dyDescent="0.25">
      <c r="A14" s="59" t="s">
        <v>7</v>
      </c>
      <c r="B14" s="60">
        <v>23366</v>
      </c>
    </row>
    <row r="15" spans="1:2" x14ac:dyDescent="0.25">
      <c r="A15" s="59" t="s">
        <v>55</v>
      </c>
      <c r="B15" s="60">
        <v>2714392</v>
      </c>
    </row>
    <row r="16" spans="1:2" x14ac:dyDescent="0.25">
      <c r="A16" s="59" t="s">
        <v>56</v>
      </c>
      <c r="B16" s="60">
        <v>23930686</v>
      </c>
    </row>
    <row r="17" spans="1:2" x14ac:dyDescent="0.25">
      <c r="A17" s="59" t="s">
        <v>57</v>
      </c>
      <c r="B17" s="60">
        <v>1123760</v>
      </c>
    </row>
    <row r="18" spans="1:2" x14ac:dyDescent="0.25">
      <c r="A18" s="59" t="s">
        <v>103</v>
      </c>
      <c r="B18" s="60">
        <v>24644899.449999999</v>
      </c>
    </row>
    <row r="19" spans="1:2" x14ac:dyDescent="0.25">
      <c r="A19" s="59" t="s">
        <v>104</v>
      </c>
      <c r="B19" s="60">
        <v>67243852.950000003</v>
      </c>
    </row>
    <row r="20" spans="1:2" x14ac:dyDescent="0.25">
      <c r="A20" s="59" t="s">
        <v>105</v>
      </c>
      <c r="B20" s="60">
        <v>203772489.59999999</v>
      </c>
    </row>
    <row r="21" spans="1:2" x14ac:dyDescent="0.25">
      <c r="A21" s="59" t="s">
        <v>106</v>
      </c>
      <c r="B21" s="60">
        <v>201767758.85999998</v>
      </c>
    </row>
    <row r="22" spans="1:2" x14ac:dyDescent="0.25">
      <c r="A22" s="59" t="s">
        <v>107</v>
      </c>
      <c r="B22" s="60">
        <v>245038657.31999999</v>
      </c>
    </row>
    <row r="23" spans="1:2" x14ac:dyDescent="0.25">
      <c r="A23" s="59" t="s">
        <v>108</v>
      </c>
      <c r="B23" s="60">
        <v>69246523.379999995</v>
      </c>
    </row>
    <row r="24" spans="1:2" x14ac:dyDescent="0.25">
      <c r="A24" s="59" t="s">
        <v>109</v>
      </c>
      <c r="B24" s="60">
        <v>251340992.03999999</v>
      </c>
    </row>
    <row r="25" spans="1:2" x14ac:dyDescent="0.25">
      <c r="A25" s="59" t="s">
        <v>99</v>
      </c>
      <c r="B25" s="60">
        <v>83873820.019999996</v>
      </c>
    </row>
    <row r="26" spans="1:2" x14ac:dyDescent="0.25">
      <c r="A26" s="59" t="s">
        <v>100</v>
      </c>
      <c r="B26" s="60">
        <v>183748400.22999999</v>
      </c>
    </row>
    <row r="27" spans="1:2" x14ac:dyDescent="0.25">
      <c r="A27" s="59" t="s">
        <v>101</v>
      </c>
      <c r="B27" s="60">
        <v>569371777.88</v>
      </c>
    </row>
    <row r="28" spans="1:2" x14ac:dyDescent="0.25">
      <c r="A28" s="59" t="s">
        <v>102</v>
      </c>
      <c r="B28" s="60">
        <v>417003715.47000003</v>
      </c>
    </row>
    <row r="29" spans="1:2" x14ac:dyDescent="0.25">
      <c r="A29" s="59" t="s">
        <v>125</v>
      </c>
      <c r="B29" s="60">
        <v>7685671186</v>
      </c>
    </row>
    <row r="30" spans="1:2" x14ac:dyDescent="0.25">
      <c r="A30" s="59" t="s">
        <v>31</v>
      </c>
      <c r="B30" s="60">
        <v>3324355</v>
      </c>
    </row>
    <row r="31" spans="1:2" x14ac:dyDescent="0.25">
      <c r="A31" s="59" t="s">
        <v>32</v>
      </c>
      <c r="B31" s="60">
        <v>368494</v>
      </c>
    </row>
    <row r="32" spans="1:2" x14ac:dyDescent="0.25">
      <c r="A32" s="59" t="s">
        <v>33</v>
      </c>
      <c r="B32" s="60">
        <v>6192323</v>
      </c>
    </row>
    <row r="33" spans="1:2" x14ac:dyDescent="0.25">
      <c r="A33" s="59" t="s">
        <v>34</v>
      </c>
      <c r="B33" s="60">
        <v>249530</v>
      </c>
    </row>
    <row r="34" spans="1:2" x14ac:dyDescent="0.25">
      <c r="A34" s="59" t="s">
        <v>35</v>
      </c>
      <c r="B34" s="60">
        <v>537054</v>
      </c>
    </row>
    <row r="35" spans="1:2" x14ac:dyDescent="0.25">
      <c r="A35" s="59" t="s">
        <v>36</v>
      </c>
      <c r="B35" s="60">
        <v>375082</v>
      </c>
    </row>
    <row r="36" spans="1:2" x14ac:dyDescent="0.25">
      <c r="A36" s="59" t="s">
        <v>37</v>
      </c>
      <c r="B36" s="60">
        <v>173719</v>
      </c>
    </row>
    <row r="37" spans="1:2" x14ac:dyDescent="0.25">
      <c r="A37" s="59" t="s">
        <v>38</v>
      </c>
      <c r="B37" s="60">
        <v>205663</v>
      </c>
    </row>
    <row r="38" spans="1:2" x14ac:dyDescent="0.25">
      <c r="A38" s="59" t="s">
        <v>39</v>
      </c>
      <c r="B38" s="60">
        <v>646960</v>
      </c>
    </row>
    <row r="39" spans="1:2" x14ac:dyDescent="0.25">
      <c r="A39" s="59" t="s">
        <v>41</v>
      </c>
      <c r="B39" s="60">
        <v>307091</v>
      </c>
    </row>
    <row r="40" spans="1:2" x14ac:dyDescent="0.25">
      <c r="A40" s="59" t="s">
        <v>42</v>
      </c>
      <c r="B40" s="60">
        <v>16455</v>
      </c>
    </row>
    <row r="41" spans="1:2" x14ac:dyDescent="0.25">
      <c r="A41" s="59" t="s">
        <v>43</v>
      </c>
      <c r="B41" s="60">
        <v>49459</v>
      </c>
    </row>
    <row r="42" spans="1:2" x14ac:dyDescent="0.25">
      <c r="A42" s="59" t="s">
        <v>44</v>
      </c>
      <c r="B42" s="60">
        <v>47639060</v>
      </c>
    </row>
    <row r="43" spans="1:2" x14ac:dyDescent="0.25">
      <c r="A43" s="59" t="s">
        <v>64</v>
      </c>
      <c r="B43" s="60">
        <v>422049</v>
      </c>
    </row>
    <row r="44" spans="1:2" x14ac:dyDescent="0.25">
      <c r="A44" s="59" t="s">
        <v>65</v>
      </c>
      <c r="B44" s="60">
        <v>15209696</v>
      </c>
    </row>
    <row r="45" spans="1:2" x14ac:dyDescent="0.25">
      <c r="A45" s="59" t="s">
        <v>66</v>
      </c>
      <c r="B45" s="60">
        <v>2090442</v>
      </c>
    </row>
    <row r="46" spans="1:2" x14ac:dyDescent="0.25">
      <c r="A46" s="59" t="s">
        <v>67</v>
      </c>
      <c r="B46" s="60">
        <v>100723201</v>
      </c>
    </row>
    <row r="47" spans="1:2" x14ac:dyDescent="0.25">
      <c r="A47" s="59" t="s">
        <v>68</v>
      </c>
      <c r="B47" s="60">
        <v>72180939</v>
      </c>
    </row>
    <row r="48" spans="1:2" x14ac:dyDescent="0.25">
      <c r="A48" s="59" t="s">
        <v>69</v>
      </c>
      <c r="B48" s="60">
        <v>128714995</v>
      </c>
    </row>
    <row r="49" spans="1:2" x14ac:dyDescent="0.25">
      <c r="A49" s="59" t="s">
        <v>124</v>
      </c>
      <c r="B49" s="61"/>
    </row>
    <row r="50" spans="1:2" x14ac:dyDescent="0.25">
      <c r="A50" s="59" t="s">
        <v>80</v>
      </c>
      <c r="B50" s="60">
        <v>200552912</v>
      </c>
    </row>
    <row r="51" spans="1:2" x14ac:dyDescent="0.25">
      <c r="A51" s="59" t="s">
        <v>26</v>
      </c>
      <c r="B51" s="60">
        <v>838193121</v>
      </c>
    </row>
    <row r="52" spans="1:2" x14ac:dyDescent="0.25">
      <c r="A52" s="59" t="s">
        <v>45</v>
      </c>
      <c r="B52" s="60">
        <v>75129079</v>
      </c>
    </row>
    <row r="53" spans="1:2" x14ac:dyDescent="0.25">
      <c r="A53" s="59" t="s">
        <v>27</v>
      </c>
      <c r="B53" s="60">
        <v>1158793072</v>
      </c>
    </row>
    <row r="54" spans="1:2" x14ac:dyDescent="0.25">
      <c r="A54" s="59" t="s">
        <v>97</v>
      </c>
      <c r="B54" s="60">
        <v>12440142</v>
      </c>
    </row>
    <row r="55" spans="1:2" x14ac:dyDescent="0.25">
      <c r="A55" s="59" t="s">
        <v>96</v>
      </c>
      <c r="B55" s="60">
        <v>1262990436</v>
      </c>
    </row>
    <row r="56" spans="1:2" x14ac:dyDescent="0.25">
      <c r="A56" s="59" t="s">
        <v>81</v>
      </c>
      <c r="B56" s="60">
        <v>442665</v>
      </c>
    </row>
    <row r="57" spans="1:2" x14ac:dyDescent="0.25">
      <c r="A57" s="59" t="s">
        <v>98</v>
      </c>
      <c r="B57" s="60">
        <v>2793691185</v>
      </c>
    </row>
    <row r="58" spans="1:2" x14ac:dyDescent="0.25">
      <c r="A58" s="59" t="s">
        <v>28</v>
      </c>
      <c r="B58" s="60">
        <v>1365819813</v>
      </c>
    </row>
    <row r="59" spans="1:2" x14ac:dyDescent="0.25">
      <c r="A59" s="59" t="s">
        <v>129</v>
      </c>
      <c r="B59" s="60">
        <v>171269825.98979542</v>
      </c>
    </row>
    <row r="60" spans="1:2" x14ac:dyDescent="0.25">
      <c r="A60" s="59" t="s">
        <v>110</v>
      </c>
      <c r="B60" s="60">
        <v>431986009.36000001</v>
      </c>
    </row>
    <row r="61" spans="1:2" x14ac:dyDescent="0.25">
      <c r="A61" s="59" t="s">
        <v>111</v>
      </c>
      <c r="B61" s="60">
        <v>259926217.52999997</v>
      </c>
    </row>
    <row r="62" spans="1:2" x14ac:dyDescent="0.25">
      <c r="A62" s="59" t="s">
        <v>112</v>
      </c>
      <c r="B62" s="60">
        <v>310808690.10999995</v>
      </c>
    </row>
    <row r="63" spans="1:2" x14ac:dyDescent="0.25">
      <c r="A63" s="59" t="s">
        <v>122</v>
      </c>
      <c r="B63" s="60">
        <v>220781695</v>
      </c>
    </row>
    <row r="64" spans="1:2" x14ac:dyDescent="0.25">
      <c r="A64" s="59" t="s">
        <v>123</v>
      </c>
      <c r="B64" s="60">
        <v>243466248.06999999</v>
      </c>
    </row>
    <row r="65" spans="1:2" x14ac:dyDescent="0.25">
      <c r="A65" s="59" t="s">
        <v>139</v>
      </c>
      <c r="B65" s="60">
        <v>205800542.01000002</v>
      </c>
    </row>
    <row r="66" spans="1:2" x14ac:dyDescent="0.25">
      <c r="A66" s="59" t="s">
        <v>8</v>
      </c>
      <c r="B66" s="60">
        <v>50512665</v>
      </c>
    </row>
    <row r="67" spans="1:2" x14ac:dyDescent="0.25">
      <c r="A67" s="59" t="s">
        <v>40</v>
      </c>
      <c r="B67" s="60">
        <v>98059</v>
      </c>
    </row>
    <row r="68" spans="1:2" x14ac:dyDescent="0.25">
      <c r="A68" s="59" t="s">
        <v>9</v>
      </c>
      <c r="B68" s="60">
        <v>170274137</v>
      </c>
    </row>
    <row r="69" spans="1:2" x14ac:dyDescent="0.25">
      <c r="A69" s="59" t="s">
        <v>10</v>
      </c>
      <c r="B69" s="60">
        <v>200613238</v>
      </c>
    </row>
    <row r="70" spans="1:2" x14ac:dyDescent="0.25">
      <c r="A70" s="59" t="s">
        <v>113</v>
      </c>
      <c r="B70" s="60">
        <v>119704694.3</v>
      </c>
    </row>
    <row r="71" spans="1:2" x14ac:dyDescent="0.25">
      <c r="A71" s="59" t="s">
        <v>114</v>
      </c>
      <c r="B71" s="60">
        <v>29539970.48</v>
      </c>
    </row>
    <row r="72" spans="1:2" x14ac:dyDescent="0.25">
      <c r="A72" s="59" t="s">
        <v>11</v>
      </c>
      <c r="B72" s="60">
        <v>12751074</v>
      </c>
    </row>
    <row r="73" spans="1:2" x14ac:dyDescent="0.25">
      <c r="A73" s="59" t="s">
        <v>12</v>
      </c>
      <c r="B73" s="60">
        <v>7422319</v>
      </c>
    </row>
    <row r="74" spans="1:2" x14ac:dyDescent="0.25">
      <c r="A74" s="59" t="s">
        <v>13</v>
      </c>
      <c r="B74" s="60">
        <v>7088315</v>
      </c>
    </row>
    <row r="75" spans="1:2" x14ac:dyDescent="0.25">
      <c r="A75" s="59" t="s">
        <v>14</v>
      </c>
      <c r="B75" s="60">
        <v>10539283</v>
      </c>
    </row>
    <row r="76" spans="1:2" x14ac:dyDescent="0.25">
      <c r="A76" s="59" t="s">
        <v>15</v>
      </c>
      <c r="B76" s="60">
        <v>10017974</v>
      </c>
    </row>
    <row r="77" spans="1:2" x14ac:dyDescent="0.25">
      <c r="A77" s="59" t="s">
        <v>82</v>
      </c>
      <c r="B77" s="60">
        <v>26720300</v>
      </c>
    </row>
    <row r="78" spans="1:2" x14ac:dyDescent="0.25">
      <c r="A78" s="59" t="s">
        <v>83</v>
      </c>
      <c r="B78" s="60">
        <v>4031174</v>
      </c>
    </row>
    <row r="79" spans="1:2" x14ac:dyDescent="0.25">
      <c r="A79" s="59" t="s">
        <v>22</v>
      </c>
      <c r="B79" s="60">
        <v>1946344</v>
      </c>
    </row>
    <row r="80" spans="1:2" x14ac:dyDescent="0.25">
      <c r="A80" s="59" t="s">
        <v>23</v>
      </c>
      <c r="B80" s="60">
        <v>1</v>
      </c>
    </row>
    <row r="81" spans="1:2" x14ac:dyDescent="0.25">
      <c r="A81" s="59" t="s">
        <v>24</v>
      </c>
      <c r="B81" s="60">
        <v>1</v>
      </c>
    </row>
    <row r="82" spans="1:2" x14ac:dyDescent="0.25">
      <c r="A82" s="59" t="s">
        <v>46</v>
      </c>
      <c r="B82" s="60">
        <v>73534</v>
      </c>
    </row>
    <row r="83" spans="1:2" x14ac:dyDescent="0.25">
      <c r="A83" s="59" t="s">
        <v>16</v>
      </c>
      <c r="B83" s="60">
        <v>82310</v>
      </c>
    </row>
    <row r="84" spans="1:2" x14ac:dyDescent="0.25">
      <c r="A84" s="59" t="s">
        <v>115</v>
      </c>
      <c r="B84" s="60">
        <v>33724600.280000001</v>
      </c>
    </row>
    <row r="85" spans="1:2" x14ac:dyDescent="0.25">
      <c r="A85" s="59" t="s">
        <v>116</v>
      </c>
      <c r="B85" s="60">
        <v>459575523.19</v>
      </c>
    </row>
    <row r="86" spans="1:2" x14ac:dyDescent="0.25">
      <c r="A86" s="59" t="s">
        <v>117</v>
      </c>
      <c r="B86" s="60">
        <v>22146343.550000001</v>
      </c>
    </row>
    <row r="87" spans="1:2" x14ac:dyDescent="0.25">
      <c r="A87" s="59" t="s">
        <v>118</v>
      </c>
      <c r="B87" s="60">
        <v>34475942.549999997</v>
      </c>
    </row>
    <row r="88" spans="1:2" x14ac:dyDescent="0.25">
      <c r="A88" s="59" t="s">
        <v>120</v>
      </c>
      <c r="B88" s="60">
        <v>67043804.839999996</v>
      </c>
    </row>
    <row r="89" spans="1:2" x14ac:dyDescent="0.25">
      <c r="A89" s="59" t="s">
        <v>17</v>
      </c>
      <c r="B89" s="60">
        <v>113532331</v>
      </c>
    </row>
    <row r="90" spans="1:2" x14ac:dyDescent="0.25">
      <c r="A90" s="59" t="s">
        <v>18</v>
      </c>
      <c r="B90" s="60">
        <v>607056843</v>
      </c>
    </row>
    <row r="91" spans="1:2" x14ac:dyDescent="0.25">
      <c r="A91" s="59" t="s">
        <v>19</v>
      </c>
      <c r="B91" s="60">
        <v>93537101</v>
      </c>
    </row>
    <row r="92" spans="1:2" x14ac:dyDescent="0.25">
      <c r="A92" s="59" t="s">
        <v>20</v>
      </c>
      <c r="B92" s="60">
        <v>1724246166</v>
      </c>
    </row>
    <row r="93" spans="1:2" x14ac:dyDescent="0.25">
      <c r="A93" s="59" t="s">
        <v>21</v>
      </c>
      <c r="B93" s="60">
        <v>796097893</v>
      </c>
    </row>
    <row r="94" spans="1:2" x14ac:dyDescent="0.25">
      <c r="A94" s="59" t="s">
        <v>47</v>
      </c>
      <c r="B94" s="60">
        <v>30207426</v>
      </c>
    </row>
    <row r="95" spans="1:2" x14ac:dyDescent="0.25">
      <c r="A95" s="59" t="s">
        <v>84</v>
      </c>
      <c r="B95" s="61"/>
    </row>
    <row r="96" spans="1:2" x14ac:dyDescent="0.25">
      <c r="A96" s="59" t="s">
        <v>85</v>
      </c>
      <c r="B96" s="60">
        <v>22699998</v>
      </c>
    </row>
    <row r="97" spans="1:2" x14ac:dyDescent="0.25">
      <c r="A97" s="59" t="s">
        <v>86</v>
      </c>
      <c r="B97" s="60">
        <v>30983920</v>
      </c>
    </row>
    <row r="98" spans="1:2" x14ac:dyDescent="0.25">
      <c r="A98" s="59" t="s">
        <v>87</v>
      </c>
      <c r="B98" s="60">
        <v>48410201</v>
      </c>
    </row>
    <row r="99" spans="1:2" x14ac:dyDescent="0.25">
      <c r="A99" s="59" t="s">
        <v>88</v>
      </c>
      <c r="B99" s="61"/>
    </row>
    <row r="100" spans="1:2" x14ac:dyDescent="0.25">
      <c r="A100" s="59" t="s">
        <v>25</v>
      </c>
      <c r="B100" s="61"/>
    </row>
    <row r="101" spans="1:2" x14ac:dyDescent="0.25">
      <c r="A101" s="59" t="s">
        <v>89</v>
      </c>
      <c r="B101" s="60">
        <v>31013968</v>
      </c>
    </row>
    <row r="102" spans="1:2" x14ac:dyDescent="0.25">
      <c r="A102" s="59" t="s">
        <v>90</v>
      </c>
      <c r="B102" s="60">
        <v>154634</v>
      </c>
    </row>
    <row r="103" spans="1:2" x14ac:dyDescent="0.25">
      <c r="A103" s="59" t="s">
        <v>91</v>
      </c>
      <c r="B103" s="60">
        <v>30347793</v>
      </c>
    </row>
    <row r="104" spans="1:2" x14ac:dyDescent="0.25">
      <c r="A104" s="59" t="s">
        <v>93</v>
      </c>
      <c r="B104" s="61"/>
    </row>
    <row r="105" spans="1:2" x14ac:dyDescent="0.25">
      <c r="A105" s="59" t="s">
        <v>92</v>
      </c>
      <c r="B105" s="61"/>
    </row>
    <row r="106" spans="1:2" x14ac:dyDescent="0.25">
      <c r="A106" s="59" t="s">
        <v>94</v>
      </c>
      <c r="B106" s="60">
        <v>33247707</v>
      </c>
    </row>
  </sheetData>
  <sortState xmlns:xlrd2="http://schemas.microsoft.com/office/spreadsheetml/2017/richdata2" ref="A1:B106">
    <sortCondition ref="A1"/>
  </sortState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12"/>
  <sheetViews>
    <sheetView topLeftCell="A64" workbookViewId="0">
      <selection activeCell="B91" sqref="B91:B95"/>
    </sheetView>
  </sheetViews>
  <sheetFormatPr defaultRowHeight="15" x14ac:dyDescent="0.25"/>
  <cols>
    <col min="1" max="1" width="15.7109375" style="7" bestFit="1" customWidth="1"/>
    <col min="2" max="2" width="16.85546875" style="7" bestFit="1" customWidth="1"/>
  </cols>
  <sheetData>
    <row r="1" spans="1:2" x14ac:dyDescent="0.25">
      <c r="A1" s="33" t="s">
        <v>0</v>
      </c>
      <c r="B1" s="33" t="s">
        <v>1</v>
      </c>
    </row>
    <row r="2" spans="1:2" x14ac:dyDescent="0.25">
      <c r="A2" s="33"/>
      <c r="B2" s="33"/>
    </row>
    <row r="3" spans="1:2" x14ac:dyDescent="0.25">
      <c r="A3" s="7" t="s">
        <v>48</v>
      </c>
      <c r="B3" s="7">
        <v>322648417</v>
      </c>
    </row>
    <row r="4" spans="1:2" x14ac:dyDescent="0.25">
      <c r="A4" s="41" t="s">
        <v>49</v>
      </c>
      <c r="B4" s="35">
        <v>69674294</v>
      </c>
    </row>
    <row r="5" spans="1:2" x14ac:dyDescent="0.25">
      <c r="A5" s="41" t="s">
        <v>50</v>
      </c>
      <c r="B5" s="35">
        <v>43010085</v>
      </c>
    </row>
    <row r="6" spans="1:2" x14ac:dyDescent="0.25">
      <c r="A6" s="41" t="s">
        <v>95</v>
      </c>
      <c r="B6" s="35">
        <v>116935163</v>
      </c>
    </row>
    <row r="7" spans="1:2" x14ac:dyDescent="0.25">
      <c r="A7" s="41" t="s">
        <v>2</v>
      </c>
      <c r="B7" s="35">
        <v>1413917</v>
      </c>
    </row>
    <row r="8" spans="1:2" x14ac:dyDescent="0.25">
      <c r="A8" s="41" t="s">
        <v>3</v>
      </c>
      <c r="B8" s="35">
        <v>201465</v>
      </c>
    </row>
    <row r="9" spans="1:2" x14ac:dyDescent="0.25">
      <c r="A9" s="41" t="s">
        <v>29</v>
      </c>
      <c r="B9" s="35">
        <v>568736991</v>
      </c>
    </row>
    <row r="10" spans="1:2" x14ac:dyDescent="0.25">
      <c r="A10" s="41" t="s">
        <v>140</v>
      </c>
      <c r="B10" s="35">
        <v>78297527</v>
      </c>
    </row>
    <row r="11" spans="1:2" x14ac:dyDescent="0.25">
      <c r="A11" s="41" t="s">
        <v>4</v>
      </c>
      <c r="B11" s="35">
        <v>2738</v>
      </c>
    </row>
    <row r="12" spans="1:2" x14ac:dyDescent="0.25">
      <c r="A12" s="41" t="s">
        <v>5</v>
      </c>
      <c r="B12" s="35">
        <v>251826</v>
      </c>
    </row>
    <row r="13" spans="1:2" x14ac:dyDescent="0.25">
      <c r="A13" s="41" t="s">
        <v>30</v>
      </c>
      <c r="B13" s="35">
        <v>1400156964</v>
      </c>
    </row>
    <row r="14" spans="1:2" x14ac:dyDescent="0.25">
      <c r="A14" s="41" t="s">
        <v>141</v>
      </c>
      <c r="B14" s="35">
        <v>159912226</v>
      </c>
    </row>
    <row r="15" spans="1:2" x14ac:dyDescent="0.25">
      <c r="A15" s="41" t="s">
        <v>6</v>
      </c>
      <c r="B15" s="35">
        <v>294488</v>
      </c>
    </row>
    <row r="16" spans="1:2" x14ac:dyDescent="0.25">
      <c r="A16" s="41" t="s">
        <v>7</v>
      </c>
      <c r="B16" s="35">
        <v>23142</v>
      </c>
    </row>
    <row r="17" spans="1:2" x14ac:dyDescent="0.25">
      <c r="A17" s="41" t="s">
        <v>55</v>
      </c>
      <c r="B17" s="35">
        <v>2744832</v>
      </c>
    </row>
    <row r="18" spans="1:2" x14ac:dyDescent="0.25">
      <c r="A18" s="41" t="s">
        <v>56</v>
      </c>
      <c r="B18" s="35">
        <v>23544488</v>
      </c>
    </row>
    <row r="19" spans="1:2" x14ac:dyDescent="0.25">
      <c r="A19" s="41" t="s">
        <v>57</v>
      </c>
      <c r="B19" s="35">
        <v>1105827</v>
      </c>
    </row>
    <row r="20" spans="1:2" x14ac:dyDescent="0.25">
      <c r="A20" s="41" t="s">
        <v>103</v>
      </c>
      <c r="B20" s="35">
        <v>25112032.080000002</v>
      </c>
    </row>
    <row r="21" spans="1:2" x14ac:dyDescent="0.25">
      <c r="A21" s="41" t="s">
        <v>104</v>
      </c>
      <c r="B21" s="35">
        <v>67242062.200000003</v>
      </c>
    </row>
    <row r="22" spans="1:2" x14ac:dyDescent="0.25">
      <c r="A22" s="41" t="s">
        <v>105</v>
      </c>
      <c r="B22" s="35">
        <v>206108889.18000001</v>
      </c>
    </row>
    <row r="23" spans="1:2" x14ac:dyDescent="0.25">
      <c r="A23" s="41" t="s">
        <v>106</v>
      </c>
      <c r="B23" s="35">
        <v>193181493.27000001</v>
      </c>
    </row>
    <row r="24" spans="1:2" x14ac:dyDescent="0.25">
      <c r="A24" s="41" t="s">
        <v>107</v>
      </c>
      <c r="B24" s="35">
        <v>237630669.97</v>
      </c>
    </row>
    <row r="25" spans="1:2" x14ac:dyDescent="0.25">
      <c r="A25" s="41" t="s">
        <v>108</v>
      </c>
      <c r="B25" s="35">
        <v>66794494.479999997</v>
      </c>
    </row>
    <row r="26" spans="1:2" x14ac:dyDescent="0.25">
      <c r="A26" s="41" t="s">
        <v>109</v>
      </c>
      <c r="B26" s="35">
        <v>254075116.78</v>
      </c>
    </row>
    <row r="27" spans="1:2" x14ac:dyDescent="0.25">
      <c r="A27" s="41" t="s">
        <v>99</v>
      </c>
      <c r="B27" s="35">
        <v>86286923.75999999</v>
      </c>
    </row>
    <row r="28" spans="1:2" x14ac:dyDescent="0.25">
      <c r="A28" s="41" t="s">
        <v>100</v>
      </c>
      <c r="B28" s="35">
        <v>191371984.07999998</v>
      </c>
    </row>
    <row r="29" spans="1:2" x14ac:dyDescent="0.25">
      <c r="A29" s="41" t="s">
        <v>101</v>
      </c>
      <c r="B29" s="35">
        <v>593189284.18000007</v>
      </c>
    </row>
    <row r="30" spans="1:2" x14ac:dyDescent="0.25">
      <c r="A30" s="41" t="s">
        <v>102</v>
      </c>
      <c r="B30" s="37">
        <v>438555295.33999997</v>
      </c>
    </row>
    <row r="31" spans="1:2" x14ac:dyDescent="0.25">
      <c r="A31" s="41" t="s">
        <v>125</v>
      </c>
      <c r="B31" s="37">
        <v>7701648967</v>
      </c>
    </row>
    <row r="32" spans="1:2" x14ac:dyDescent="0.25">
      <c r="A32" s="41" t="s">
        <v>31</v>
      </c>
      <c r="B32" s="35">
        <v>3382908</v>
      </c>
    </row>
    <row r="33" spans="1:2" x14ac:dyDescent="0.25">
      <c r="A33" s="42" t="s">
        <v>32</v>
      </c>
      <c r="B33" s="7">
        <v>368482</v>
      </c>
    </row>
    <row r="34" spans="1:2" x14ac:dyDescent="0.25">
      <c r="A34" s="41" t="s">
        <v>33</v>
      </c>
      <c r="B34" s="35">
        <v>6264472</v>
      </c>
    </row>
    <row r="35" spans="1:2" x14ac:dyDescent="0.25">
      <c r="A35" s="41" t="s">
        <v>34</v>
      </c>
      <c r="B35" s="35">
        <v>249369</v>
      </c>
    </row>
    <row r="36" spans="1:2" x14ac:dyDescent="0.25">
      <c r="A36" s="41" t="s">
        <v>35</v>
      </c>
      <c r="B36" s="35">
        <v>537452</v>
      </c>
    </row>
    <row r="37" spans="1:2" x14ac:dyDescent="0.25">
      <c r="A37" s="41" t="s">
        <v>36</v>
      </c>
      <c r="B37" s="35">
        <v>374834</v>
      </c>
    </row>
    <row r="38" spans="1:2" x14ac:dyDescent="0.25">
      <c r="A38" s="41" t="s">
        <v>37</v>
      </c>
      <c r="B38" s="35">
        <v>173670</v>
      </c>
    </row>
    <row r="39" spans="1:2" x14ac:dyDescent="0.25">
      <c r="A39" s="41" t="s">
        <v>38</v>
      </c>
      <c r="B39" s="35">
        <v>205527</v>
      </c>
    </row>
    <row r="40" spans="1:2" x14ac:dyDescent="0.25">
      <c r="A40" s="41" t="s">
        <v>39</v>
      </c>
      <c r="B40" s="35">
        <v>646883</v>
      </c>
    </row>
    <row r="41" spans="1:2" x14ac:dyDescent="0.25">
      <c r="A41" s="41" t="s">
        <v>41</v>
      </c>
      <c r="B41" s="35">
        <v>306874</v>
      </c>
    </row>
    <row r="42" spans="1:2" x14ac:dyDescent="0.25">
      <c r="A42" s="41" t="s">
        <v>42</v>
      </c>
      <c r="B42" s="35">
        <v>14938</v>
      </c>
    </row>
    <row r="43" spans="1:2" x14ac:dyDescent="0.25">
      <c r="A43" s="41" t="s">
        <v>43</v>
      </c>
      <c r="B43" s="35">
        <v>47594</v>
      </c>
    </row>
    <row r="44" spans="1:2" x14ac:dyDescent="0.25">
      <c r="A44" s="41" t="s">
        <v>44</v>
      </c>
      <c r="B44" s="35">
        <v>48440669</v>
      </c>
    </row>
    <row r="45" spans="1:2" x14ac:dyDescent="0.25">
      <c r="A45" s="41" t="s">
        <v>64</v>
      </c>
      <c r="B45" s="35">
        <v>412402</v>
      </c>
    </row>
    <row r="46" spans="1:2" x14ac:dyDescent="0.25">
      <c r="A46" s="41" t="s">
        <v>65</v>
      </c>
      <c r="B46" s="35">
        <v>15593101</v>
      </c>
    </row>
    <row r="47" spans="1:2" x14ac:dyDescent="0.25">
      <c r="A47" s="41" t="s">
        <v>66</v>
      </c>
      <c r="B47" s="35">
        <v>2078048</v>
      </c>
    </row>
    <row r="48" spans="1:2" x14ac:dyDescent="0.25">
      <c r="A48" s="41" t="s">
        <v>67</v>
      </c>
      <c r="B48" s="35">
        <v>100761153</v>
      </c>
    </row>
    <row r="49" spans="1:2" x14ac:dyDescent="0.25">
      <c r="A49" s="41" t="s">
        <v>68</v>
      </c>
      <c r="B49" s="35">
        <v>72161185</v>
      </c>
    </row>
    <row r="50" spans="1:2" x14ac:dyDescent="0.25">
      <c r="A50" s="41" t="s">
        <v>69</v>
      </c>
      <c r="B50" s="35">
        <v>127490862</v>
      </c>
    </row>
    <row r="51" spans="1:2" x14ac:dyDescent="0.25">
      <c r="A51" s="41" t="s">
        <v>124</v>
      </c>
      <c r="B51" s="35"/>
    </row>
    <row r="52" spans="1:2" x14ac:dyDescent="0.25">
      <c r="A52" s="41" t="s">
        <v>80</v>
      </c>
      <c r="B52" s="35">
        <v>198828884</v>
      </c>
    </row>
    <row r="53" spans="1:2" x14ac:dyDescent="0.25">
      <c r="A53" s="41" t="s">
        <v>26</v>
      </c>
      <c r="B53" s="35">
        <v>860522652</v>
      </c>
    </row>
    <row r="54" spans="1:2" x14ac:dyDescent="0.25">
      <c r="A54" s="41" t="s">
        <v>45</v>
      </c>
      <c r="B54" s="35">
        <v>78783190</v>
      </c>
    </row>
    <row r="55" spans="1:2" x14ac:dyDescent="0.25">
      <c r="A55" s="41" t="s">
        <v>27</v>
      </c>
      <c r="B55" s="35">
        <v>1214326294</v>
      </c>
    </row>
    <row r="56" spans="1:2" x14ac:dyDescent="0.25">
      <c r="A56" s="41" t="s">
        <v>97</v>
      </c>
      <c r="B56" s="35">
        <v>12118511</v>
      </c>
    </row>
    <row r="57" spans="1:2" x14ac:dyDescent="0.25">
      <c r="A57" s="41" t="s">
        <v>96</v>
      </c>
      <c r="B57" s="35">
        <v>1192454077</v>
      </c>
    </row>
    <row r="58" spans="1:2" x14ac:dyDescent="0.25">
      <c r="A58" s="41" t="s">
        <v>81</v>
      </c>
      <c r="B58" s="35">
        <v>400036</v>
      </c>
    </row>
    <row r="59" spans="1:2" x14ac:dyDescent="0.25">
      <c r="A59" s="41" t="s">
        <v>98</v>
      </c>
      <c r="B59" s="35">
        <v>2620199836</v>
      </c>
    </row>
    <row r="60" spans="1:2" x14ac:dyDescent="0.25">
      <c r="A60" s="41" t="s">
        <v>28</v>
      </c>
      <c r="B60" s="35">
        <v>1403136665</v>
      </c>
    </row>
    <row r="61" spans="1:2" x14ac:dyDescent="0.25">
      <c r="A61" s="41" t="s">
        <v>129</v>
      </c>
      <c r="B61" s="35">
        <v>173461662.27848268</v>
      </c>
    </row>
    <row r="62" spans="1:2" x14ac:dyDescent="0.25">
      <c r="A62" s="41" t="s">
        <v>110</v>
      </c>
      <c r="B62" s="35">
        <v>439045528.47000003</v>
      </c>
    </row>
    <row r="63" spans="1:2" x14ac:dyDescent="0.25">
      <c r="A63" s="41" t="s">
        <v>111</v>
      </c>
      <c r="B63" s="35">
        <v>263769860.93000001</v>
      </c>
    </row>
    <row r="64" spans="1:2" x14ac:dyDescent="0.25">
      <c r="A64" s="41" t="s">
        <v>112</v>
      </c>
      <c r="B64" s="35">
        <v>314467818.06</v>
      </c>
    </row>
    <row r="65" spans="1:2" x14ac:dyDescent="0.25">
      <c r="A65" s="41" t="s">
        <v>122</v>
      </c>
      <c r="B65" s="35">
        <v>221590776.42000002</v>
      </c>
    </row>
    <row r="66" spans="1:2" x14ac:dyDescent="0.25">
      <c r="A66" s="41" t="s">
        <v>123</v>
      </c>
      <c r="B66" s="35">
        <v>243376780.42000002</v>
      </c>
    </row>
    <row r="67" spans="1:2" x14ac:dyDescent="0.25">
      <c r="A67" s="41" t="s">
        <v>139</v>
      </c>
      <c r="B67" s="35">
        <v>206559749.23000002</v>
      </c>
    </row>
    <row r="68" spans="1:2" x14ac:dyDescent="0.25">
      <c r="A68" s="41" t="s">
        <v>8</v>
      </c>
      <c r="B68" s="35">
        <v>51504011</v>
      </c>
    </row>
    <row r="69" spans="1:2" x14ac:dyDescent="0.25">
      <c r="A69" s="41" t="s">
        <v>40</v>
      </c>
      <c r="B69" s="35">
        <v>98058</v>
      </c>
    </row>
    <row r="70" spans="1:2" x14ac:dyDescent="0.25">
      <c r="A70" s="41" t="s">
        <v>9</v>
      </c>
      <c r="B70" s="35">
        <v>174730726</v>
      </c>
    </row>
    <row r="71" spans="1:2" x14ac:dyDescent="0.25">
      <c r="A71" s="41" t="s">
        <v>10</v>
      </c>
      <c r="B71" s="35">
        <v>200506083</v>
      </c>
    </row>
    <row r="72" spans="1:2" x14ac:dyDescent="0.25">
      <c r="A72" s="41" t="s">
        <v>113</v>
      </c>
      <c r="B72" s="35">
        <v>119704694.30000001</v>
      </c>
    </row>
    <row r="73" spans="1:2" x14ac:dyDescent="0.25">
      <c r="A73" s="41" t="s">
        <v>114</v>
      </c>
      <c r="B73" s="35">
        <v>30551826.050000001</v>
      </c>
    </row>
    <row r="74" spans="1:2" x14ac:dyDescent="0.25">
      <c r="A74" s="41" t="s">
        <v>11</v>
      </c>
      <c r="B74" s="35">
        <v>13493075</v>
      </c>
    </row>
    <row r="75" spans="1:2" x14ac:dyDescent="0.25">
      <c r="A75" s="41" t="s">
        <v>12</v>
      </c>
      <c r="B75" s="35">
        <v>7542861</v>
      </c>
    </row>
    <row r="76" spans="1:2" x14ac:dyDescent="0.25">
      <c r="A76" s="41" t="s">
        <v>13</v>
      </c>
      <c r="B76" s="35">
        <v>7337229</v>
      </c>
    </row>
    <row r="77" spans="1:2" x14ac:dyDescent="0.25">
      <c r="A77" s="41" t="s">
        <v>14</v>
      </c>
      <c r="B77" s="35">
        <v>10689431</v>
      </c>
    </row>
    <row r="78" spans="1:2" x14ac:dyDescent="0.25">
      <c r="A78" s="41" t="s">
        <v>15</v>
      </c>
      <c r="B78" s="35">
        <v>10266197</v>
      </c>
    </row>
    <row r="79" spans="1:2" x14ac:dyDescent="0.25">
      <c r="A79" s="41" t="s">
        <v>82</v>
      </c>
      <c r="B79" s="35">
        <v>26594148</v>
      </c>
    </row>
    <row r="80" spans="1:2" x14ac:dyDescent="0.25">
      <c r="A80" s="41" t="s">
        <v>83</v>
      </c>
      <c r="B80" s="35">
        <v>4117118</v>
      </c>
    </row>
    <row r="81" spans="1:2" x14ac:dyDescent="0.25">
      <c r="A81" s="41" t="s">
        <v>22</v>
      </c>
      <c r="B81" s="35">
        <v>1947314</v>
      </c>
    </row>
    <row r="82" spans="1:2" x14ac:dyDescent="0.25">
      <c r="A82" s="41" t="s">
        <v>23</v>
      </c>
      <c r="B82" s="35">
        <v>1</v>
      </c>
    </row>
    <row r="83" spans="1:2" x14ac:dyDescent="0.25">
      <c r="A83" s="41" t="s">
        <v>24</v>
      </c>
      <c r="B83" s="35">
        <v>1</v>
      </c>
    </row>
    <row r="84" spans="1:2" x14ac:dyDescent="0.25">
      <c r="A84" s="41" t="s">
        <v>46</v>
      </c>
      <c r="B84" s="35">
        <v>73053</v>
      </c>
    </row>
    <row r="85" spans="1:2" x14ac:dyDescent="0.25">
      <c r="A85" s="41" t="s">
        <v>16</v>
      </c>
      <c r="B85" s="35">
        <v>82038</v>
      </c>
    </row>
    <row r="86" spans="1:2" x14ac:dyDescent="0.25">
      <c r="A86" s="41" t="s">
        <v>115</v>
      </c>
      <c r="B86" s="35">
        <v>35169490.759999998</v>
      </c>
    </row>
    <row r="87" spans="1:2" x14ac:dyDescent="0.25">
      <c r="A87" s="41" t="s">
        <v>116</v>
      </c>
      <c r="B87" s="35">
        <v>481103750.90999997</v>
      </c>
    </row>
    <row r="88" spans="1:2" x14ac:dyDescent="0.25">
      <c r="A88" s="41" t="s">
        <v>117</v>
      </c>
      <c r="B88" s="35">
        <v>22981040.27</v>
      </c>
    </row>
    <row r="89" spans="1:2" x14ac:dyDescent="0.25">
      <c r="A89" s="41" t="s">
        <v>118</v>
      </c>
      <c r="B89" s="35">
        <v>36176466.390000001</v>
      </c>
    </row>
    <row r="90" spans="1:2" x14ac:dyDescent="0.25">
      <c r="A90" s="41" t="s">
        <v>120</v>
      </c>
      <c r="B90" s="35">
        <v>69875054.210000008</v>
      </c>
    </row>
    <row r="91" spans="1:2" x14ac:dyDescent="0.25">
      <c r="A91" s="41" t="s">
        <v>17</v>
      </c>
      <c r="B91" s="35">
        <v>116071240</v>
      </c>
    </row>
    <row r="92" spans="1:2" x14ac:dyDescent="0.25">
      <c r="A92" s="41" t="s">
        <v>18</v>
      </c>
      <c r="B92" s="35">
        <v>603921030</v>
      </c>
    </row>
    <row r="93" spans="1:2" x14ac:dyDescent="0.25">
      <c r="A93" s="41" t="s">
        <v>19</v>
      </c>
      <c r="B93" s="35">
        <v>97418087</v>
      </c>
    </row>
    <row r="94" spans="1:2" x14ac:dyDescent="0.25">
      <c r="A94" s="41" t="s">
        <v>20</v>
      </c>
      <c r="B94" s="35">
        <v>1731245062</v>
      </c>
    </row>
    <row r="95" spans="1:2" x14ac:dyDescent="0.25">
      <c r="A95" s="41" t="s">
        <v>21</v>
      </c>
      <c r="B95" s="35">
        <v>784732185</v>
      </c>
    </row>
    <row r="96" spans="1:2" x14ac:dyDescent="0.25">
      <c r="A96" s="41" t="s">
        <v>47</v>
      </c>
      <c r="B96" s="35">
        <v>31634267</v>
      </c>
    </row>
    <row r="97" spans="1:2" x14ac:dyDescent="0.25">
      <c r="A97" s="41" t="s">
        <v>84</v>
      </c>
      <c r="B97" s="35"/>
    </row>
    <row r="98" spans="1:2" x14ac:dyDescent="0.25">
      <c r="A98" s="41" t="s">
        <v>85</v>
      </c>
      <c r="B98" s="35">
        <v>22702822</v>
      </c>
    </row>
    <row r="99" spans="1:2" x14ac:dyDescent="0.25">
      <c r="A99" s="41" t="s">
        <v>86</v>
      </c>
      <c r="B99" s="35">
        <v>30982960</v>
      </c>
    </row>
    <row r="100" spans="1:2" x14ac:dyDescent="0.25">
      <c r="A100" s="41" t="s">
        <v>87</v>
      </c>
      <c r="B100" s="35">
        <v>48684532</v>
      </c>
    </row>
    <row r="101" spans="1:2" x14ac:dyDescent="0.25">
      <c r="A101" s="41" t="s">
        <v>88</v>
      </c>
      <c r="B101" s="35"/>
    </row>
    <row r="102" spans="1:2" x14ac:dyDescent="0.25">
      <c r="A102" s="41" t="s">
        <v>25</v>
      </c>
      <c r="B102" s="35"/>
    </row>
    <row r="103" spans="1:2" x14ac:dyDescent="0.25">
      <c r="A103" s="41" t="s">
        <v>89</v>
      </c>
      <c r="B103" s="35">
        <v>31819565</v>
      </c>
    </row>
    <row r="104" spans="1:2" x14ac:dyDescent="0.25">
      <c r="A104" s="41" t="s">
        <v>90</v>
      </c>
      <c r="B104" s="35">
        <v>151510</v>
      </c>
    </row>
    <row r="105" spans="1:2" x14ac:dyDescent="0.25">
      <c r="A105" s="41" t="s">
        <v>91</v>
      </c>
      <c r="B105" s="35">
        <v>30375116</v>
      </c>
    </row>
    <row r="106" spans="1:2" x14ac:dyDescent="0.25">
      <c r="A106" s="41" t="s">
        <v>93</v>
      </c>
      <c r="B106" s="35"/>
    </row>
    <row r="107" spans="1:2" x14ac:dyDescent="0.25">
      <c r="A107" s="41" t="s">
        <v>92</v>
      </c>
      <c r="B107" s="35"/>
    </row>
    <row r="108" spans="1:2" x14ac:dyDescent="0.25">
      <c r="A108" s="41" t="s">
        <v>94</v>
      </c>
      <c r="B108" s="35">
        <v>33695382</v>
      </c>
    </row>
    <row r="109" spans="1:2" x14ac:dyDescent="0.25">
      <c r="A109" s="41" t="s">
        <v>94</v>
      </c>
      <c r="B109" s="35">
        <v>33674082</v>
      </c>
    </row>
    <row r="110" spans="1:2" x14ac:dyDescent="0.25">
      <c r="A110" s="41"/>
      <c r="B110" s="35"/>
    </row>
    <row r="111" spans="1:2" x14ac:dyDescent="0.25">
      <c r="A111" s="41"/>
      <c r="B111" s="35"/>
    </row>
    <row r="112" spans="1:2" x14ac:dyDescent="0.25">
      <c r="A112" s="41"/>
      <c r="B112" s="35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07"/>
  <sheetViews>
    <sheetView workbookViewId="0">
      <selection activeCell="F28" sqref="F28"/>
    </sheetView>
  </sheetViews>
  <sheetFormatPr defaultRowHeight="15" x14ac:dyDescent="0.25"/>
  <cols>
    <col min="2" max="2" width="11.7109375" bestFit="1" customWidth="1"/>
  </cols>
  <sheetData>
    <row r="1" spans="1:3" x14ac:dyDescent="0.25">
      <c r="A1" s="48" t="s">
        <v>0</v>
      </c>
      <c r="B1" s="48" t="s">
        <v>1</v>
      </c>
      <c r="C1" s="48" t="s">
        <v>142</v>
      </c>
    </row>
    <row r="2" spans="1:3" x14ac:dyDescent="0.25">
      <c r="A2" s="49" t="s">
        <v>48</v>
      </c>
      <c r="B2" s="50">
        <v>335729025</v>
      </c>
      <c r="C2" s="51">
        <v>43200</v>
      </c>
    </row>
    <row r="3" spans="1:3" x14ac:dyDescent="0.25">
      <c r="A3" s="49" t="s">
        <v>49</v>
      </c>
      <c r="B3" s="50">
        <v>70969130</v>
      </c>
      <c r="C3" s="51">
        <v>43200</v>
      </c>
    </row>
    <row r="4" spans="1:3" x14ac:dyDescent="0.25">
      <c r="A4" s="49" t="s">
        <v>50</v>
      </c>
      <c r="B4" s="50">
        <v>43391402</v>
      </c>
      <c r="C4" s="51">
        <v>43200</v>
      </c>
    </row>
    <row r="5" spans="1:3" x14ac:dyDescent="0.25">
      <c r="A5" s="49" t="s">
        <v>95</v>
      </c>
      <c r="B5" s="50">
        <v>120096190</v>
      </c>
      <c r="C5" s="51"/>
    </row>
    <row r="6" spans="1:3" x14ac:dyDescent="0.25">
      <c r="A6" s="49" t="s">
        <v>2</v>
      </c>
      <c r="B6" s="50">
        <v>1471378</v>
      </c>
      <c r="C6" s="51">
        <v>43278</v>
      </c>
    </row>
    <row r="7" spans="1:3" x14ac:dyDescent="0.25">
      <c r="A7" s="49" t="s">
        <v>3</v>
      </c>
      <c r="B7" s="50">
        <v>204265</v>
      </c>
      <c r="C7" s="51">
        <v>43278</v>
      </c>
    </row>
    <row r="8" spans="1:3" x14ac:dyDescent="0.25">
      <c r="A8" s="49" t="s">
        <v>29</v>
      </c>
      <c r="B8" s="50">
        <v>567379505</v>
      </c>
      <c r="C8" s="51">
        <v>43278</v>
      </c>
    </row>
    <row r="9" spans="1:3" x14ac:dyDescent="0.25">
      <c r="A9" s="49" t="s">
        <v>140</v>
      </c>
      <c r="B9" s="50">
        <v>82492171</v>
      </c>
      <c r="C9" s="51">
        <v>43663</v>
      </c>
    </row>
    <row r="10" spans="1:3" x14ac:dyDescent="0.25">
      <c r="A10" s="49" t="s">
        <v>4</v>
      </c>
      <c r="B10" s="50">
        <v>2749</v>
      </c>
      <c r="C10" s="51">
        <v>43278</v>
      </c>
    </row>
    <row r="11" spans="1:3" x14ac:dyDescent="0.25">
      <c r="A11" s="49" t="s">
        <v>5</v>
      </c>
      <c r="B11" s="50">
        <v>254207</v>
      </c>
      <c r="C11" s="51">
        <v>43278</v>
      </c>
    </row>
    <row r="12" spans="1:3" x14ac:dyDescent="0.25">
      <c r="A12" s="49" t="s">
        <v>30</v>
      </c>
      <c r="B12" s="50">
        <v>1392220822</v>
      </c>
      <c r="C12" s="51">
        <v>43278</v>
      </c>
    </row>
    <row r="13" spans="1:3" x14ac:dyDescent="0.25">
      <c r="A13" s="49" t="s">
        <v>141</v>
      </c>
      <c r="B13" s="50">
        <v>165661097</v>
      </c>
      <c r="C13" s="51">
        <v>43663</v>
      </c>
    </row>
    <row r="14" spans="1:3" x14ac:dyDescent="0.25">
      <c r="A14" s="49" t="s">
        <v>6</v>
      </c>
      <c r="B14" s="50">
        <v>309299</v>
      </c>
      <c r="C14" s="51">
        <v>43278</v>
      </c>
    </row>
    <row r="15" spans="1:3" x14ac:dyDescent="0.25">
      <c r="A15" s="49" t="s">
        <v>7</v>
      </c>
      <c r="B15" s="50">
        <v>23375</v>
      </c>
      <c r="C15" s="51">
        <v>43278</v>
      </c>
    </row>
    <row r="16" spans="1:3" x14ac:dyDescent="0.25">
      <c r="A16" s="49" t="s">
        <v>55</v>
      </c>
      <c r="B16" s="50">
        <v>2769960</v>
      </c>
      <c r="C16" s="51">
        <v>43200</v>
      </c>
    </row>
    <row r="17" spans="1:3" x14ac:dyDescent="0.25">
      <c r="A17" s="49" t="s">
        <v>56</v>
      </c>
      <c r="B17" s="50">
        <v>24074627</v>
      </c>
      <c r="C17" s="51">
        <v>43200</v>
      </c>
    </row>
    <row r="18" spans="1:3" x14ac:dyDescent="0.25">
      <c r="A18" s="49" t="s">
        <v>57</v>
      </c>
      <c r="B18" s="50">
        <v>1125884</v>
      </c>
      <c r="C18" s="51">
        <v>43200</v>
      </c>
    </row>
    <row r="19" spans="1:3" x14ac:dyDescent="0.25">
      <c r="A19" s="49" t="s">
        <v>103</v>
      </c>
      <c r="B19" s="50">
        <v>25007365.059999999</v>
      </c>
      <c r="C19" s="51">
        <v>44117</v>
      </c>
    </row>
    <row r="20" spans="1:3" x14ac:dyDescent="0.25">
      <c r="A20" s="49" t="s">
        <v>104</v>
      </c>
      <c r="B20" s="50">
        <v>68600618.890000001</v>
      </c>
      <c r="C20" s="51">
        <v>44117</v>
      </c>
    </row>
    <row r="21" spans="1:3" x14ac:dyDescent="0.25">
      <c r="A21" s="49" t="s">
        <v>105</v>
      </c>
      <c r="B21" s="50">
        <v>207152286.09999999</v>
      </c>
      <c r="C21" s="51">
        <v>44117</v>
      </c>
    </row>
    <row r="22" spans="1:3" x14ac:dyDescent="0.25">
      <c r="A22" s="49" t="s">
        <v>106</v>
      </c>
      <c r="B22" s="50">
        <v>197689793.52000001</v>
      </c>
      <c r="C22" s="51">
        <v>44117</v>
      </c>
    </row>
    <row r="23" spans="1:3" x14ac:dyDescent="0.25">
      <c r="A23" s="49" t="s">
        <v>107</v>
      </c>
      <c r="B23" s="50">
        <v>241089788.46000001</v>
      </c>
      <c r="C23" s="51">
        <v>44117</v>
      </c>
    </row>
    <row r="24" spans="1:3" x14ac:dyDescent="0.25">
      <c r="A24" s="49" t="s">
        <v>108</v>
      </c>
      <c r="B24" s="50">
        <v>69381167.63000001</v>
      </c>
      <c r="C24" s="51">
        <v>44117</v>
      </c>
    </row>
    <row r="25" spans="1:3" x14ac:dyDescent="0.25">
      <c r="A25" s="49" t="s">
        <v>109</v>
      </c>
      <c r="B25" s="50">
        <v>255236455.62</v>
      </c>
      <c r="C25" s="51">
        <v>44117</v>
      </c>
    </row>
    <row r="26" spans="1:3" x14ac:dyDescent="0.25">
      <c r="A26" s="49" t="s">
        <v>99</v>
      </c>
      <c r="B26" s="50">
        <v>87240744.700000003</v>
      </c>
      <c r="C26" s="51">
        <v>44118</v>
      </c>
    </row>
    <row r="27" spans="1:3" x14ac:dyDescent="0.25">
      <c r="A27" s="49" t="s">
        <v>100</v>
      </c>
      <c r="B27" s="50">
        <v>202794592.75</v>
      </c>
      <c r="C27" s="51">
        <v>44118</v>
      </c>
    </row>
    <row r="28" spans="1:3" x14ac:dyDescent="0.25">
      <c r="A28" s="49" t="s">
        <v>101</v>
      </c>
      <c r="B28" s="50">
        <v>588663806.17999995</v>
      </c>
      <c r="C28" s="51">
        <v>44118</v>
      </c>
    </row>
    <row r="29" spans="1:3" x14ac:dyDescent="0.25">
      <c r="A29" s="49" t="s">
        <v>102</v>
      </c>
      <c r="B29" s="50">
        <v>435948179.32999998</v>
      </c>
      <c r="C29" s="51">
        <v>44118</v>
      </c>
    </row>
    <row r="30" spans="1:3" x14ac:dyDescent="0.25">
      <c r="A30" s="49" t="s">
        <v>125</v>
      </c>
      <c r="B30" s="50">
        <v>7709736504</v>
      </c>
      <c r="C30" s="51">
        <v>44110</v>
      </c>
    </row>
    <row r="31" spans="1:3" x14ac:dyDescent="0.25">
      <c r="A31" s="49" t="s">
        <v>31</v>
      </c>
      <c r="B31" s="50">
        <v>3405915</v>
      </c>
      <c r="C31" s="51">
        <v>43278</v>
      </c>
    </row>
    <row r="32" spans="1:3" x14ac:dyDescent="0.25">
      <c r="A32" s="49" t="s">
        <v>32</v>
      </c>
      <c r="B32" s="50">
        <v>368473</v>
      </c>
      <c r="C32" s="51">
        <v>43278</v>
      </c>
    </row>
    <row r="33" spans="1:3" x14ac:dyDescent="0.25">
      <c r="A33" s="49" t="s">
        <v>33</v>
      </c>
      <c r="B33" s="50">
        <v>6210663</v>
      </c>
      <c r="C33" s="51">
        <v>43278</v>
      </c>
    </row>
    <row r="34" spans="1:3" x14ac:dyDescent="0.25">
      <c r="A34" s="49" t="s">
        <v>34</v>
      </c>
      <c r="B34" s="50">
        <v>249467</v>
      </c>
      <c r="C34" s="51">
        <v>43278</v>
      </c>
    </row>
    <row r="35" spans="1:3" x14ac:dyDescent="0.25">
      <c r="A35" s="49" t="s">
        <v>35</v>
      </c>
      <c r="B35" s="50">
        <v>537206</v>
      </c>
      <c r="C35" s="51">
        <v>43278</v>
      </c>
    </row>
    <row r="36" spans="1:3" x14ac:dyDescent="0.25">
      <c r="A36" s="49" t="s">
        <v>36</v>
      </c>
      <c r="B36" s="50">
        <v>374981</v>
      </c>
      <c r="C36" s="51">
        <v>43278</v>
      </c>
    </row>
    <row r="37" spans="1:3" x14ac:dyDescent="0.25">
      <c r="A37" s="49" t="s">
        <v>37</v>
      </c>
      <c r="B37" s="50">
        <v>173690</v>
      </c>
      <c r="C37" s="51">
        <v>43278</v>
      </c>
    </row>
    <row r="38" spans="1:3" x14ac:dyDescent="0.25">
      <c r="A38" s="49" t="s">
        <v>38</v>
      </c>
      <c r="B38" s="50">
        <v>205604</v>
      </c>
      <c r="C38" s="51">
        <v>43278</v>
      </c>
    </row>
    <row r="39" spans="1:3" x14ac:dyDescent="0.25">
      <c r="A39" s="49" t="s">
        <v>39</v>
      </c>
      <c r="B39" s="50">
        <v>647123</v>
      </c>
      <c r="C39" s="51">
        <v>43278</v>
      </c>
    </row>
    <row r="40" spans="1:3" x14ac:dyDescent="0.25">
      <c r="A40" s="49" t="s">
        <v>41</v>
      </c>
      <c r="B40" s="50">
        <v>307033</v>
      </c>
      <c r="C40" s="51">
        <v>43278</v>
      </c>
    </row>
    <row r="41" spans="1:3" x14ac:dyDescent="0.25">
      <c r="A41" s="49" t="s">
        <v>42</v>
      </c>
      <c r="B41" s="50">
        <v>16454</v>
      </c>
      <c r="C41" s="51">
        <v>43278</v>
      </c>
    </row>
    <row r="42" spans="1:3" x14ac:dyDescent="0.25">
      <c r="A42" s="49" t="s">
        <v>43</v>
      </c>
      <c r="B42" s="50">
        <v>47600</v>
      </c>
      <c r="C42" s="51">
        <v>43278</v>
      </c>
    </row>
    <row r="43" spans="1:3" x14ac:dyDescent="0.25">
      <c r="A43" s="49" t="s">
        <v>44</v>
      </c>
      <c r="B43" s="50">
        <v>48221657</v>
      </c>
      <c r="C43" s="51">
        <v>43278</v>
      </c>
    </row>
    <row r="44" spans="1:3" x14ac:dyDescent="0.25">
      <c r="A44" s="49" t="s">
        <v>64</v>
      </c>
      <c r="B44" s="50">
        <v>423999</v>
      </c>
      <c r="C44" s="51">
        <v>43200</v>
      </c>
    </row>
    <row r="45" spans="1:3" x14ac:dyDescent="0.25">
      <c r="A45" s="49" t="s">
        <v>65</v>
      </c>
      <c r="B45" s="50">
        <v>15562823</v>
      </c>
      <c r="C45" s="51">
        <v>43200</v>
      </c>
    </row>
    <row r="46" spans="1:3" x14ac:dyDescent="0.25">
      <c r="A46" s="49" t="s">
        <v>66</v>
      </c>
      <c r="B46" s="50">
        <v>2097809</v>
      </c>
      <c r="C46" s="51">
        <v>43278</v>
      </c>
    </row>
    <row r="47" spans="1:3" x14ac:dyDescent="0.25">
      <c r="A47" s="49" t="s">
        <v>67</v>
      </c>
      <c r="B47" s="50">
        <v>101796114</v>
      </c>
      <c r="C47" s="51">
        <v>43200</v>
      </c>
    </row>
    <row r="48" spans="1:3" x14ac:dyDescent="0.25">
      <c r="A48" s="49" t="s">
        <v>68</v>
      </c>
      <c r="B48" s="50">
        <v>73093850</v>
      </c>
      <c r="C48" s="51">
        <v>43200</v>
      </c>
    </row>
    <row r="49" spans="1:3" x14ac:dyDescent="0.25">
      <c r="A49" s="49" t="s">
        <v>69</v>
      </c>
      <c r="B49" s="50">
        <v>131014929</v>
      </c>
      <c r="C49" s="51">
        <v>43200</v>
      </c>
    </row>
    <row r="50" spans="1:3" x14ac:dyDescent="0.25">
      <c r="A50" s="49" t="s">
        <v>124</v>
      </c>
      <c r="B50" s="52"/>
      <c r="C50" s="51"/>
    </row>
    <row r="51" spans="1:3" x14ac:dyDescent="0.25">
      <c r="A51" s="49" t="s">
        <v>80</v>
      </c>
      <c r="B51" s="50">
        <v>199256047</v>
      </c>
      <c r="C51" s="51">
        <v>43278</v>
      </c>
    </row>
    <row r="52" spans="1:3" x14ac:dyDescent="0.25">
      <c r="A52" s="49" t="s">
        <v>26</v>
      </c>
      <c r="B52" s="50">
        <v>861307732</v>
      </c>
      <c r="C52" s="51">
        <v>43278</v>
      </c>
    </row>
    <row r="53" spans="1:3" x14ac:dyDescent="0.25">
      <c r="A53" s="49" t="s">
        <v>45</v>
      </c>
      <c r="B53" s="50">
        <v>78887386</v>
      </c>
      <c r="C53" s="51">
        <v>43278</v>
      </c>
    </row>
    <row r="54" spans="1:3" x14ac:dyDescent="0.25">
      <c r="A54" s="49" t="s">
        <v>27</v>
      </c>
      <c r="B54" s="50">
        <v>1204933953</v>
      </c>
      <c r="C54" s="51">
        <v>43278</v>
      </c>
    </row>
    <row r="55" spans="1:3" x14ac:dyDescent="0.25">
      <c r="A55" s="49" t="s">
        <v>97</v>
      </c>
      <c r="B55" s="50">
        <v>12375566</v>
      </c>
      <c r="C55" s="51"/>
    </row>
    <row r="56" spans="1:3" x14ac:dyDescent="0.25">
      <c r="A56" s="49" t="s">
        <v>96</v>
      </c>
      <c r="B56" s="50">
        <v>1251533535</v>
      </c>
      <c r="C56" s="51">
        <v>43467</v>
      </c>
    </row>
    <row r="57" spans="1:3" x14ac:dyDescent="0.25">
      <c r="A57" s="49" t="s">
        <v>81</v>
      </c>
      <c r="B57" s="50">
        <v>444578</v>
      </c>
      <c r="C57" s="51">
        <v>43278</v>
      </c>
    </row>
    <row r="58" spans="1:3" x14ac:dyDescent="0.25">
      <c r="A58" s="49" t="s">
        <v>98</v>
      </c>
      <c r="B58" s="50">
        <v>2756372119</v>
      </c>
      <c r="C58" s="51">
        <v>43278</v>
      </c>
    </row>
    <row r="59" spans="1:3" x14ac:dyDescent="0.25">
      <c r="A59" s="49" t="s">
        <v>28</v>
      </c>
      <c r="B59" s="50">
        <v>1396476608</v>
      </c>
      <c r="C59" s="51">
        <v>43278</v>
      </c>
    </row>
    <row r="60" spans="1:3" x14ac:dyDescent="0.25">
      <c r="A60" s="49" t="s">
        <v>129</v>
      </c>
      <c r="B60" s="50">
        <v>173618237.17810485</v>
      </c>
      <c r="C60" s="51">
        <v>44117</v>
      </c>
    </row>
    <row r="61" spans="1:3" x14ac:dyDescent="0.25">
      <c r="A61" s="49" t="s">
        <v>110</v>
      </c>
      <c r="B61" s="50">
        <v>442412520.63999999</v>
      </c>
      <c r="C61" s="51">
        <v>44118</v>
      </c>
    </row>
    <row r="62" spans="1:3" x14ac:dyDescent="0.25">
      <c r="A62" s="49" t="s">
        <v>111</v>
      </c>
      <c r="B62" s="50">
        <v>265572371.95000002</v>
      </c>
      <c r="C62" s="51">
        <v>44118</v>
      </c>
    </row>
    <row r="63" spans="1:3" x14ac:dyDescent="0.25">
      <c r="A63" s="49" t="s">
        <v>112</v>
      </c>
      <c r="B63" s="50">
        <v>316917143.97999996</v>
      </c>
      <c r="C63" s="51">
        <v>44118</v>
      </c>
    </row>
    <row r="64" spans="1:3" x14ac:dyDescent="0.25">
      <c r="A64" s="49" t="s">
        <v>122</v>
      </c>
      <c r="B64" s="50">
        <v>223267074.09</v>
      </c>
      <c r="C64" s="51">
        <v>44118</v>
      </c>
    </row>
    <row r="65" spans="1:3" x14ac:dyDescent="0.25">
      <c r="A65" s="49" t="s">
        <v>123</v>
      </c>
      <c r="B65" s="50">
        <v>245456616.64000002</v>
      </c>
      <c r="C65" s="51">
        <v>44118</v>
      </c>
    </row>
    <row r="66" spans="1:3" x14ac:dyDescent="0.25">
      <c r="A66" s="49" t="s">
        <v>139</v>
      </c>
      <c r="B66" s="50">
        <v>207568903.51999998</v>
      </c>
      <c r="C66" s="51">
        <v>44118</v>
      </c>
    </row>
    <row r="67" spans="1:3" x14ac:dyDescent="0.25">
      <c r="A67" s="49" t="s">
        <v>8</v>
      </c>
      <c r="B67" s="50">
        <v>52067883</v>
      </c>
      <c r="C67" s="51">
        <v>43278</v>
      </c>
    </row>
    <row r="68" spans="1:3" x14ac:dyDescent="0.25">
      <c r="A68" s="49" t="s">
        <v>40</v>
      </c>
      <c r="B68" s="50">
        <v>98089</v>
      </c>
      <c r="C68" s="51">
        <v>43278</v>
      </c>
    </row>
    <row r="69" spans="1:3" x14ac:dyDescent="0.25">
      <c r="A69" s="49" t="s">
        <v>9</v>
      </c>
      <c r="B69" s="50">
        <v>173901065</v>
      </c>
      <c r="C69" s="51">
        <v>43278</v>
      </c>
    </row>
    <row r="70" spans="1:3" x14ac:dyDescent="0.25">
      <c r="A70" s="49" t="s">
        <v>10</v>
      </c>
      <c r="B70" s="50">
        <v>201008992</v>
      </c>
      <c r="C70" s="51">
        <v>43278</v>
      </c>
    </row>
    <row r="71" spans="1:3" x14ac:dyDescent="0.25">
      <c r="A71" s="49" t="s">
        <v>113</v>
      </c>
      <c r="B71" s="50">
        <v>119704694.3</v>
      </c>
      <c r="C71" s="51">
        <v>44043</v>
      </c>
    </row>
    <row r="72" spans="1:3" x14ac:dyDescent="0.25">
      <c r="A72" s="49" t="s">
        <v>114</v>
      </c>
      <c r="B72" s="50">
        <v>30757130.890000001</v>
      </c>
      <c r="C72" s="51">
        <v>44117</v>
      </c>
    </row>
    <row r="73" spans="1:3" x14ac:dyDescent="0.25">
      <c r="A73" s="49" t="s">
        <v>11</v>
      </c>
      <c r="B73" s="50">
        <v>13494642</v>
      </c>
      <c r="C73" s="51">
        <v>43278</v>
      </c>
    </row>
    <row r="74" spans="1:3" x14ac:dyDescent="0.25">
      <c r="A74" s="49" t="s">
        <v>12</v>
      </c>
      <c r="B74" s="50">
        <v>7562627</v>
      </c>
      <c r="C74" s="51">
        <v>43278</v>
      </c>
    </row>
    <row r="75" spans="1:3" x14ac:dyDescent="0.25">
      <c r="A75" s="49" t="s">
        <v>13</v>
      </c>
      <c r="B75" s="50">
        <v>7324588</v>
      </c>
      <c r="C75" s="51">
        <v>43278</v>
      </c>
    </row>
    <row r="76" spans="1:3" x14ac:dyDescent="0.25">
      <c r="A76" s="49" t="s">
        <v>14</v>
      </c>
      <c r="B76" s="50">
        <v>10857061</v>
      </c>
      <c r="C76" s="51">
        <v>43278</v>
      </c>
    </row>
    <row r="77" spans="1:3" x14ac:dyDescent="0.25">
      <c r="A77" s="49" t="s">
        <v>15</v>
      </c>
      <c r="B77" s="50">
        <v>10495961</v>
      </c>
      <c r="C77" s="51">
        <v>43278</v>
      </c>
    </row>
    <row r="78" spans="1:3" x14ac:dyDescent="0.25">
      <c r="A78" s="49" t="s">
        <v>82</v>
      </c>
      <c r="B78" s="50">
        <v>26977607</v>
      </c>
      <c r="C78" s="51">
        <v>43200</v>
      </c>
    </row>
    <row r="79" spans="1:3" x14ac:dyDescent="0.25">
      <c r="A79" s="49" t="s">
        <v>83</v>
      </c>
      <c r="B79" s="50">
        <v>4235098</v>
      </c>
      <c r="C79" s="51">
        <v>43200</v>
      </c>
    </row>
    <row r="80" spans="1:3" x14ac:dyDescent="0.25">
      <c r="A80" s="49" t="s">
        <v>22</v>
      </c>
      <c r="B80" s="50">
        <v>1946775</v>
      </c>
      <c r="C80" s="51">
        <v>43278</v>
      </c>
    </row>
    <row r="81" spans="1:3" x14ac:dyDescent="0.25">
      <c r="A81" s="49" t="s">
        <v>23</v>
      </c>
      <c r="B81" s="50">
        <v>1</v>
      </c>
      <c r="C81" s="51">
        <v>43299</v>
      </c>
    </row>
    <row r="82" spans="1:3" x14ac:dyDescent="0.25">
      <c r="A82" s="49" t="s">
        <v>24</v>
      </c>
      <c r="B82" s="50">
        <v>1</v>
      </c>
      <c r="C82" s="51">
        <v>43299</v>
      </c>
    </row>
    <row r="83" spans="1:3" x14ac:dyDescent="0.25">
      <c r="A83" s="49" t="s">
        <v>46</v>
      </c>
      <c r="B83" s="50">
        <v>73537</v>
      </c>
      <c r="C83" s="51">
        <v>43278</v>
      </c>
    </row>
    <row r="84" spans="1:3" x14ac:dyDescent="0.25">
      <c r="A84" s="49" t="s">
        <v>16</v>
      </c>
      <c r="B84" s="50">
        <v>82210</v>
      </c>
      <c r="C84" s="51">
        <v>43278</v>
      </c>
    </row>
    <row r="85" spans="1:3" x14ac:dyDescent="0.25">
      <c r="A85" s="49" t="s">
        <v>115</v>
      </c>
      <c r="B85" s="50">
        <v>34977226.049999997</v>
      </c>
      <c r="C85" s="51">
        <v>44117</v>
      </c>
    </row>
    <row r="86" spans="1:3" x14ac:dyDescent="0.25">
      <c r="A86" s="49" t="s">
        <v>116</v>
      </c>
      <c r="B86" s="50">
        <v>478138629.48000002</v>
      </c>
      <c r="C86" s="51">
        <v>44117</v>
      </c>
    </row>
    <row r="87" spans="1:3" x14ac:dyDescent="0.25">
      <c r="A87" s="49" t="s">
        <v>117</v>
      </c>
      <c r="B87" s="50">
        <v>22842476.899999999</v>
      </c>
      <c r="C87" s="51">
        <v>44117</v>
      </c>
    </row>
    <row r="88" spans="1:3" x14ac:dyDescent="0.25">
      <c r="A88" s="49" t="s">
        <v>118</v>
      </c>
      <c r="B88" s="50">
        <v>35755806.850000001</v>
      </c>
      <c r="C88" s="51">
        <v>44117</v>
      </c>
    </row>
    <row r="89" spans="1:3" x14ac:dyDescent="0.25">
      <c r="A89" s="49" t="s">
        <v>120</v>
      </c>
      <c r="B89" s="50">
        <v>69872535.560000002</v>
      </c>
      <c r="C89" s="51">
        <v>44117</v>
      </c>
    </row>
    <row r="90" spans="1:3" x14ac:dyDescent="0.25">
      <c r="A90" s="49" t="s">
        <v>17</v>
      </c>
      <c r="B90" s="50">
        <v>115907873</v>
      </c>
      <c r="C90" s="51">
        <v>43278</v>
      </c>
    </row>
    <row r="91" spans="1:3" x14ac:dyDescent="0.25">
      <c r="A91" s="49" t="s">
        <v>18</v>
      </c>
      <c r="B91" s="50">
        <v>609579925</v>
      </c>
      <c r="C91" s="51">
        <v>43278</v>
      </c>
    </row>
    <row r="92" spans="1:3" x14ac:dyDescent="0.25">
      <c r="A92" s="49" t="s">
        <v>19</v>
      </c>
      <c r="B92" s="50">
        <v>96966511</v>
      </c>
      <c r="C92" s="51">
        <v>43278</v>
      </c>
    </row>
    <row r="93" spans="1:3" x14ac:dyDescent="0.25">
      <c r="A93" s="49" t="s">
        <v>20</v>
      </c>
      <c r="B93" s="50">
        <v>1747789633</v>
      </c>
      <c r="C93" s="51">
        <v>43278</v>
      </c>
    </row>
    <row r="94" spans="1:3" x14ac:dyDescent="0.25">
      <c r="A94" s="49" t="s">
        <v>21</v>
      </c>
      <c r="B94" s="50">
        <v>801900894</v>
      </c>
      <c r="C94" s="51">
        <v>43278</v>
      </c>
    </row>
    <row r="95" spans="1:3" x14ac:dyDescent="0.25">
      <c r="A95" s="49" t="s">
        <v>47</v>
      </c>
      <c r="B95" s="50">
        <v>31688657</v>
      </c>
      <c r="C95" s="51">
        <v>43278</v>
      </c>
    </row>
    <row r="96" spans="1:3" x14ac:dyDescent="0.25">
      <c r="A96" s="49" t="s">
        <v>84</v>
      </c>
      <c r="B96" s="52"/>
      <c r="C96" s="51">
        <v>43278</v>
      </c>
    </row>
    <row r="97" spans="1:3" x14ac:dyDescent="0.25">
      <c r="A97" s="49" t="s">
        <v>85</v>
      </c>
      <c r="B97" s="50">
        <v>22973524</v>
      </c>
      <c r="C97" s="51">
        <v>43200</v>
      </c>
    </row>
    <row r="98" spans="1:3" x14ac:dyDescent="0.25">
      <c r="A98" s="49" t="s">
        <v>86</v>
      </c>
      <c r="B98" s="50">
        <v>31550271</v>
      </c>
      <c r="C98" s="51">
        <v>43200</v>
      </c>
    </row>
    <row r="99" spans="1:3" x14ac:dyDescent="0.25">
      <c r="A99" s="49" t="s">
        <v>87</v>
      </c>
      <c r="B99" s="50">
        <v>48669727</v>
      </c>
      <c r="C99" s="51">
        <v>43200</v>
      </c>
    </row>
    <row r="100" spans="1:3" x14ac:dyDescent="0.25">
      <c r="A100" s="49" t="s">
        <v>88</v>
      </c>
      <c r="B100" s="52"/>
      <c r="C100" s="51">
        <v>43278</v>
      </c>
    </row>
    <row r="101" spans="1:3" x14ac:dyDescent="0.25">
      <c r="A101" s="49" t="s">
        <v>25</v>
      </c>
      <c r="B101" s="52"/>
      <c r="C101" s="51">
        <v>43278</v>
      </c>
    </row>
    <row r="102" spans="1:3" x14ac:dyDescent="0.25">
      <c r="A102" s="49" t="s">
        <v>89</v>
      </c>
      <c r="B102" s="50">
        <v>31788887</v>
      </c>
      <c r="C102" s="51">
        <v>43200</v>
      </c>
    </row>
    <row r="103" spans="1:3" x14ac:dyDescent="0.25">
      <c r="A103" s="49" t="s">
        <v>90</v>
      </c>
      <c r="B103" s="50">
        <v>155030</v>
      </c>
      <c r="C103" s="51">
        <v>43200</v>
      </c>
    </row>
    <row r="104" spans="1:3" x14ac:dyDescent="0.25">
      <c r="A104" s="49" t="s">
        <v>91</v>
      </c>
      <c r="B104" s="50">
        <v>30589781</v>
      </c>
      <c r="C104" s="51">
        <v>43200</v>
      </c>
    </row>
    <row r="105" spans="1:3" x14ac:dyDescent="0.25">
      <c r="A105" s="49" t="s">
        <v>93</v>
      </c>
      <c r="B105" s="52"/>
      <c r="C105" s="51">
        <v>43278</v>
      </c>
    </row>
    <row r="106" spans="1:3" x14ac:dyDescent="0.25">
      <c r="A106" s="49" t="s">
        <v>92</v>
      </c>
      <c r="B106" s="52"/>
      <c r="C106" s="51">
        <v>43278</v>
      </c>
    </row>
    <row r="107" spans="1:3" x14ac:dyDescent="0.25">
      <c r="A107" s="56" t="s">
        <v>94</v>
      </c>
      <c r="B107" s="57">
        <v>34065603</v>
      </c>
      <c r="C107" s="58">
        <v>43200</v>
      </c>
    </row>
  </sheetData>
  <sortState xmlns:xlrd2="http://schemas.microsoft.com/office/spreadsheetml/2017/richdata2" ref="A2:C108">
    <sortCondition ref="A1"/>
  </sortState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07"/>
  <sheetViews>
    <sheetView workbookViewId="0">
      <selection activeCell="A2" sqref="A2:B107"/>
    </sheetView>
  </sheetViews>
  <sheetFormatPr defaultRowHeight="15" x14ac:dyDescent="0.25"/>
  <cols>
    <col min="1" max="1" width="13.28515625" bestFit="1" customWidth="1"/>
    <col min="2" max="2" width="11.7109375" bestFit="1" customWidth="1"/>
    <col min="3" max="3" width="8.7109375" bestFit="1" customWidth="1"/>
  </cols>
  <sheetData>
    <row r="1" spans="1:3" x14ac:dyDescent="0.25">
      <c r="A1" s="43" t="s">
        <v>0</v>
      </c>
      <c r="B1" s="43" t="s">
        <v>1</v>
      </c>
      <c r="C1" s="43" t="s">
        <v>142</v>
      </c>
    </row>
    <row r="2" spans="1:3" x14ac:dyDescent="0.25">
      <c r="A2" s="44" t="s">
        <v>48</v>
      </c>
      <c r="B2" s="45">
        <v>322648417</v>
      </c>
      <c r="C2" s="47">
        <v>43200</v>
      </c>
    </row>
    <row r="3" spans="1:3" x14ac:dyDescent="0.25">
      <c r="A3" s="44" t="s">
        <v>49</v>
      </c>
      <c r="B3" s="45">
        <v>69674294</v>
      </c>
      <c r="C3" s="47">
        <v>43200</v>
      </c>
    </row>
    <row r="4" spans="1:3" x14ac:dyDescent="0.25">
      <c r="A4" s="44" t="s">
        <v>50</v>
      </c>
      <c r="B4" s="45">
        <v>43010085</v>
      </c>
      <c r="C4" s="47">
        <v>43200</v>
      </c>
    </row>
    <row r="5" spans="1:3" x14ac:dyDescent="0.25">
      <c r="A5" s="44" t="s">
        <v>95</v>
      </c>
      <c r="B5" s="45">
        <v>116935163</v>
      </c>
      <c r="C5" s="47"/>
    </row>
    <row r="6" spans="1:3" x14ac:dyDescent="0.25">
      <c r="A6" s="44" t="s">
        <v>2</v>
      </c>
      <c r="B6" s="45">
        <v>1413917</v>
      </c>
      <c r="C6" s="47">
        <v>43278</v>
      </c>
    </row>
    <row r="7" spans="1:3" x14ac:dyDescent="0.25">
      <c r="A7" s="44" t="s">
        <v>3</v>
      </c>
      <c r="B7" s="45">
        <v>201465</v>
      </c>
      <c r="C7" s="47">
        <v>43278</v>
      </c>
    </row>
    <row r="8" spans="1:3" x14ac:dyDescent="0.25">
      <c r="A8" s="44" t="s">
        <v>29</v>
      </c>
      <c r="B8" s="45">
        <v>568736991</v>
      </c>
      <c r="C8" s="47">
        <v>43278</v>
      </c>
    </row>
    <row r="9" spans="1:3" x14ac:dyDescent="0.25">
      <c r="A9" s="44" t="s">
        <v>140</v>
      </c>
      <c r="B9" s="45">
        <v>78297527</v>
      </c>
      <c r="C9" s="47">
        <v>43663</v>
      </c>
    </row>
    <row r="10" spans="1:3" x14ac:dyDescent="0.25">
      <c r="A10" s="44" t="s">
        <v>4</v>
      </c>
      <c r="B10" s="45">
        <v>2738</v>
      </c>
      <c r="C10" s="47">
        <v>43278</v>
      </c>
    </row>
    <row r="11" spans="1:3" x14ac:dyDescent="0.25">
      <c r="A11" s="44" t="s">
        <v>5</v>
      </c>
      <c r="B11" s="45">
        <v>251826</v>
      </c>
      <c r="C11" s="47">
        <v>43278</v>
      </c>
    </row>
    <row r="12" spans="1:3" x14ac:dyDescent="0.25">
      <c r="A12" s="44" t="s">
        <v>30</v>
      </c>
      <c r="B12" s="45">
        <v>1400156964</v>
      </c>
      <c r="C12" s="47">
        <v>43278</v>
      </c>
    </row>
    <row r="13" spans="1:3" x14ac:dyDescent="0.25">
      <c r="A13" s="44" t="s">
        <v>141</v>
      </c>
      <c r="B13" s="45">
        <v>159912226</v>
      </c>
      <c r="C13" s="47">
        <v>43663</v>
      </c>
    </row>
    <row r="14" spans="1:3" x14ac:dyDescent="0.25">
      <c r="A14" s="44" t="s">
        <v>6</v>
      </c>
      <c r="B14" s="45">
        <v>294488</v>
      </c>
      <c r="C14" s="47">
        <v>43278</v>
      </c>
    </row>
    <row r="15" spans="1:3" x14ac:dyDescent="0.25">
      <c r="A15" s="44" t="s">
        <v>7</v>
      </c>
      <c r="B15" s="45">
        <v>23142</v>
      </c>
      <c r="C15" s="47">
        <v>43278</v>
      </c>
    </row>
    <row r="16" spans="1:3" x14ac:dyDescent="0.25">
      <c r="A16" s="44" t="s">
        <v>55</v>
      </c>
      <c r="B16" s="45">
        <v>2744832</v>
      </c>
      <c r="C16" s="47">
        <v>43200</v>
      </c>
    </row>
    <row r="17" spans="1:3" x14ac:dyDescent="0.25">
      <c r="A17" s="44" t="s">
        <v>56</v>
      </c>
      <c r="B17" s="45">
        <v>23544488</v>
      </c>
      <c r="C17" s="47">
        <v>43200</v>
      </c>
    </row>
    <row r="18" spans="1:3" x14ac:dyDescent="0.25">
      <c r="A18" s="44" t="s">
        <v>57</v>
      </c>
      <c r="B18" s="45">
        <v>1105827</v>
      </c>
      <c r="C18" s="47">
        <v>43200</v>
      </c>
    </row>
    <row r="19" spans="1:3" x14ac:dyDescent="0.25">
      <c r="A19" s="44" t="s">
        <v>103</v>
      </c>
      <c r="B19" s="45">
        <v>25112032.080000002</v>
      </c>
      <c r="C19" s="47">
        <v>44103</v>
      </c>
    </row>
    <row r="20" spans="1:3" x14ac:dyDescent="0.25">
      <c r="A20" s="44" t="s">
        <v>104</v>
      </c>
      <c r="B20" s="45">
        <v>67242062.200000003</v>
      </c>
      <c r="C20" s="47">
        <v>44103</v>
      </c>
    </row>
    <row r="21" spans="1:3" x14ac:dyDescent="0.25">
      <c r="A21" s="44" t="s">
        <v>105</v>
      </c>
      <c r="B21" s="45">
        <v>206108889.18000001</v>
      </c>
      <c r="C21" s="47">
        <v>44103</v>
      </c>
    </row>
    <row r="22" spans="1:3" x14ac:dyDescent="0.25">
      <c r="A22" s="44" t="s">
        <v>106</v>
      </c>
      <c r="B22" s="45">
        <v>193181493.27000001</v>
      </c>
      <c r="C22" s="47">
        <v>44103</v>
      </c>
    </row>
    <row r="23" spans="1:3" x14ac:dyDescent="0.25">
      <c r="A23" s="44" t="s">
        <v>107</v>
      </c>
      <c r="B23" s="45">
        <v>237630669.97</v>
      </c>
      <c r="C23" s="47">
        <v>44103</v>
      </c>
    </row>
    <row r="24" spans="1:3" x14ac:dyDescent="0.25">
      <c r="A24" s="44" t="s">
        <v>108</v>
      </c>
      <c r="B24" s="45">
        <v>66794494.479999997</v>
      </c>
      <c r="C24" s="47">
        <v>44103</v>
      </c>
    </row>
    <row r="25" spans="1:3" x14ac:dyDescent="0.25">
      <c r="A25" s="44" t="s">
        <v>109</v>
      </c>
      <c r="B25" s="45">
        <v>254075116.78</v>
      </c>
      <c r="C25" s="47">
        <v>44103</v>
      </c>
    </row>
    <row r="26" spans="1:3" x14ac:dyDescent="0.25">
      <c r="A26" s="44" t="s">
        <v>99</v>
      </c>
      <c r="B26" s="45">
        <v>86286923.75999999</v>
      </c>
      <c r="C26" s="47">
        <v>44104</v>
      </c>
    </row>
    <row r="27" spans="1:3" x14ac:dyDescent="0.25">
      <c r="A27" s="44" t="s">
        <v>100</v>
      </c>
      <c r="B27" s="45">
        <v>191371984.07999998</v>
      </c>
      <c r="C27" s="47">
        <v>44104</v>
      </c>
    </row>
    <row r="28" spans="1:3" x14ac:dyDescent="0.25">
      <c r="A28" s="44" t="s">
        <v>101</v>
      </c>
      <c r="B28" s="45">
        <v>593189284.18000007</v>
      </c>
      <c r="C28" s="47">
        <v>44104</v>
      </c>
    </row>
    <row r="29" spans="1:3" x14ac:dyDescent="0.25">
      <c r="A29" s="44" t="s">
        <v>102</v>
      </c>
      <c r="B29" s="45">
        <v>438555295.33999997</v>
      </c>
      <c r="C29" s="47">
        <v>44104</v>
      </c>
    </row>
    <row r="30" spans="1:3" x14ac:dyDescent="0.25">
      <c r="A30" s="44" t="s">
        <v>125</v>
      </c>
      <c r="B30" s="45">
        <v>7701648967</v>
      </c>
      <c r="C30" s="47">
        <v>44096</v>
      </c>
    </row>
    <row r="31" spans="1:3" x14ac:dyDescent="0.25">
      <c r="A31" s="44" t="s">
        <v>31</v>
      </c>
      <c r="B31" s="45">
        <v>3382908</v>
      </c>
      <c r="C31" s="47">
        <v>43278</v>
      </c>
    </row>
    <row r="32" spans="1:3" x14ac:dyDescent="0.25">
      <c r="A32" s="44" t="s">
        <v>32</v>
      </c>
      <c r="B32" s="45">
        <v>368482</v>
      </c>
      <c r="C32" s="47">
        <v>43278</v>
      </c>
    </row>
    <row r="33" spans="1:3" x14ac:dyDescent="0.25">
      <c r="A33" s="44" t="s">
        <v>33</v>
      </c>
      <c r="B33" s="45">
        <v>6264472</v>
      </c>
      <c r="C33" s="47">
        <v>43278</v>
      </c>
    </row>
    <row r="34" spans="1:3" x14ac:dyDescent="0.25">
      <c r="A34" s="44" t="s">
        <v>34</v>
      </c>
      <c r="B34" s="45">
        <v>249369</v>
      </c>
      <c r="C34" s="47">
        <v>43278</v>
      </c>
    </row>
    <row r="35" spans="1:3" x14ac:dyDescent="0.25">
      <c r="A35" s="44" t="s">
        <v>35</v>
      </c>
      <c r="B35" s="45">
        <v>537452</v>
      </c>
      <c r="C35" s="47">
        <v>43278</v>
      </c>
    </row>
    <row r="36" spans="1:3" x14ac:dyDescent="0.25">
      <c r="A36" s="44" t="s">
        <v>36</v>
      </c>
      <c r="B36" s="45">
        <v>374834</v>
      </c>
      <c r="C36" s="47">
        <v>43278</v>
      </c>
    </row>
    <row r="37" spans="1:3" x14ac:dyDescent="0.25">
      <c r="A37" s="44" t="s">
        <v>37</v>
      </c>
      <c r="B37" s="45">
        <v>173670</v>
      </c>
      <c r="C37" s="47">
        <v>43278</v>
      </c>
    </row>
    <row r="38" spans="1:3" x14ac:dyDescent="0.25">
      <c r="A38" s="44" t="s">
        <v>38</v>
      </c>
      <c r="B38" s="45">
        <v>205527</v>
      </c>
      <c r="C38" s="47">
        <v>43278</v>
      </c>
    </row>
    <row r="39" spans="1:3" x14ac:dyDescent="0.25">
      <c r="A39" s="44" t="s">
        <v>39</v>
      </c>
      <c r="B39" s="45">
        <v>646883</v>
      </c>
      <c r="C39" s="47">
        <v>43278</v>
      </c>
    </row>
    <row r="40" spans="1:3" x14ac:dyDescent="0.25">
      <c r="A40" s="44" t="s">
        <v>41</v>
      </c>
      <c r="B40" s="45">
        <v>306874</v>
      </c>
      <c r="C40" s="47">
        <v>43278</v>
      </c>
    </row>
    <row r="41" spans="1:3" x14ac:dyDescent="0.25">
      <c r="A41" s="44" t="s">
        <v>42</v>
      </c>
      <c r="B41" s="45">
        <v>14938</v>
      </c>
      <c r="C41" s="47">
        <v>43278</v>
      </c>
    </row>
    <row r="42" spans="1:3" x14ac:dyDescent="0.25">
      <c r="A42" s="44" t="s">
        <v>43</v>
      </c>
      <c r="B42" s="45">
        <v>47594</v>
      </c>
      <c r="C42" s="47">
        <v>43278</v>
      </c>
    </row>
    <row r="43" spans="1:3" x14ac:dyDescent="0.25">
      <c r="A43" s="44" t="s">
        <v>44</v>
      </c>
      <c r="B43" s="45">
        <v>48440669</v>
      </c>
      <c r="C43" s="47">
        <v>43278</v>
      </c>
    </row>
    <row r="44" spans="1:3" x14ac:dyDescent="0.25">
      <c r="A44" s="44" t="s">
        <v>64</v>
      </c>
      <c r="B44" s="45">
        <v>412402</v>
      </c>
      <c r="C44" s="47">
        <v>43200</v>
      </c>
    </row>
    <row r="45" spans="1:3" x14ac:dyDescent="0.25">
      <c r="A45" s="44" t="s">
        <v>65</v>
      </c>
      <c r="B45" s="45">
        <v>15593101</v>
      </c>
      <c r="C45" s="47">
        <v>43200</v>
      </c>
    </row>
    <row r="46" spans="1:3" x14ac:dyDescent="0.25">
      <c r="A46" s="44" t="s">
        <v>66</v>
      </c>
      <c r="B46" s="45">
        <v>2078048</v>
      </c>
      <c r="C46" s="47">
        <v>43278</v>
      </c>
    </row>
    <row r="47" spans="1:3" x14ac:dyDescent="0.25">
      <c r="A47" s="44" t="s">
        <v>67</v>
      </c>
      <c r="B47" s="45">
        <v>100761153</v>
      </c>
      <c r="C47" s="47">
        <v>43200</v>
      </c>
    </row>
    <row r="48" spans="1:3" x14ac:dyDescent="0.25">
      <c r="A48" s="44" t="s">
        <v>68</v>
      </c>
      <c r="B48" s="45">
        <v>72161185</v>
      </c>
      <c r="C48" s="47">
        <v>43200</v>
      </c>
    </row>
    <row r="49" spans="1:3" x14ac:dyDescent="0.25">
      <c r="A49" s="44" t="s">
        <v>69</v>
      </c>
      <c r="B49" s="45">
        <v>127490862</v>
      </c>
      <c r="C49" s="47">
        <v>43200</v>
      </c>
    </row>
    <row r="50" spans="1:3" x14ac:dyDescent="0.25">
      <c r="A50" s="44" t="s">
        <v>124</v>
      </c>
      <c r="B50" s="46"/>
      <c r="C50" s="47"/>
    </row>
    <row r="51" spans="1:3" x14ac:dyDescent="0.25">
      <c r="A51" s="44" t="s">
        <v>80</v>
      </c>
      <c r="B51" s="45">
        <v>198828884</v>
      </c>
      <c r="C51" s="47">
        <v>43278</v>
      </c>
    </row>
    <row r="52" spans="1:3" x14ac:dyDescent="0.25">
      <c r="A52" s="44" t="s">
        <v>26</v>
      </c>
      <c r="B52" s="45">
        <v>860522652</v>
      </c>
      <c r="C52" s="47">
        <v>43278</v>
      </c>
    </row>
    <row r="53" spans="1:3" x14ac:dyDescent="0.25">
      <c r="A53" s="44" t="s">
        <v>45</v>
      </c>
      <c r="B53" s="45">
        <v>78783190</v>
      </c>
      <c r="C53" s="47">
        <v>43278</v>
      </c>
    </row>
    <row r="54" spans="1:3" x14ac:dyDescent="0.25">
      <c r="A54" s="44" t="s">
        <v>27</v>
      </c>
      <c r="B54" s="45">
        <v>1214326294</v>
      </c>
      <c r="C54" s="47">
        <v>43278</v>
      </c>
    </row>
    <row r="55" spans="1:3" x14ac:dyDescent="0.25">
      <c r="A55" s="44" t="s">
        <v>97</v>
      </c>
      <c r="B55" s="45">
        <v>12118511</v>
      </c>
      <c r="C55" s="47"/>
    </row>
    <row r="56" spans="1:3" x14ac:dyDescent="0.25">
      <c r="A56" s="44" t="s">
        <v>96</v>
      </c>
      <c r="B56" s="45">
        <v>1192454077</v>
      </c>
      <c r="C56" s="47">
        <v>43467</v>
      </c>
    </row>
    <row r="57" spans="1:3" x14ac:dyDescent="0.25">
      <c r="A57" s="44" t="s">
        <v>81</v>
      </c>
      <c r="B57" s="45">
        <v>400036</v>
      </c>
      <c r="C57" s="47">
        <v>43278</v>
      </c>
    </row>
    <row r="58" spans="1:3" x14ac:dyDescent="0.25">
      <c r="A58" s="44" t="s">
        <v>98</v>
      </c>
      <c r="B58" s="45">
        <v>2620199836</v>
      </c>
      <c r="C58" s="47">
        <v>43278</v>
      </c>
    </row>
    <row r="59" spans="1:3" x14ac:dyDescent="0.25">
      <c r="A59" s="44" t="s">
        <v>28</v>
      </c>
      <c r="B59" s="45">
        <v>1403136665</v>
      </c>
      <c r="C59" s="47">
        <v>43278</v>
      </c>
    </row>
    <row r="60" spans="1:3" x14ac:dyDescent="0.25">
      <c r="A60" s="44" t="s">
        <v>129</v>
      </c>
      <c r="B60" s="45">
        <v>173461662.27848268</v>
      </c>
      <c r="C60" s="47">
        <v>44105</v>
      </c>
    </row>
    <row r="61" spans="1:3" x14ac:dyDescent="0.25">
      <c r="A61" s="44" t="s">
        <v>110</v>
      </c>
      <c r="B61" s="45">
        <v>439045528.47000003</v>
      </c>
      <c r="C61" s="47">
        <v>44104</v>
      </c>
    </row>
    <row r="62" spans="1:3" x14ac:dyDescent="0.25">
      <c r="A62" s="44" t="s">
        <v>111</v>
      </c>
      <c r="B62" s="45">
        <v>263769860.93000001</v>
      </c>
      <c r="C62" s="47">
        <v>44104</v>
      </c>
    </row>
    <row r="63" spans="1:3" x14ac:dyDescent="0.25">
      <c r="A63" s="44" t="s">
        <v>112</v>
      </c>
      <c r="B63" s="45">
        <v>314467818.06</v>
      </c>
      <c r="C63" s="47">
        <v>44104</v>
      </c>
    </row>
    <row r="64" spans="1:3" x14ac:dyDescent="0.25">
      <c r="A64" s="44" t="s">
        <v>122</v>
      </c>
      <c r="B64" s="45">
        <v>221590776.42000002</v>
      </c>
      <c r="C64" s="47">
        <v>44104</v>
      </c>
    </row>
    <row r="65" spans="1:3" x14ac:dyDescent="0.25">
      <c r="A65" s="44" t="s">
        <v>123</v>
      </c>
      <c r="B65" s="45">
        <v>243376780.42000002</v>
      </c>
      <c r="C65" s="47">
        <v>44104</v>
      </c>
    </row>
    <row r="66" spans="1:3" x14ac:dyDescent="0.25">
      <c r="A66" s="44" t="s">
        <v>139</v>
      </c>
      <c r="B66" s="45">
        <v>206559749.23000002</v>
      </c>
      <c r="C66" s="47">
        <v>44104</v>
      </c>
    </row>
    <row r="67" spans="1:3" x14ac:dyDescent="0.25">
      <c r="A67" s="44" t="s">
        <v>8</v>
      </c>
      <c r="B67" s="45">
        <v>51504011</v>
      </c>
      <c r="C67" s="47">
        <v>43278</v>
      </c>
    </row>
    <row r="68" spans="1:3" x14ac:dyDescent="0.25">
      <c r="A68" s="44" t="s">
        <v>40</v>
      </c>
      <c r="B68" s="45">
        <v>98058</v>
      </c>
      <c r="C68" s="47">
        <v>43278</v>
      </c>
    </row>
    <row r="69" spans="1:3" x14ac:dyDescent="0.25">
      <c r="A69" s="44" t="s">
        <v>9</v>
      </c>
      <c r="B69" s="45">
        <v>174730726</v>
      </c>
      <c r="C69" s="47">
        <v>43278</v>
      </c>
    </row>
    <row r="70" spans="1:3" x14ac:dyDescent="0.25">
      <c r="A70" s="44" t="s">
        <v>10</v>
      </c>
      <c r="B70" s="45">
        <v>200506083</v>
      </c>
      <c r="C70" s="47">
        <v>43278</v>
      </c>
    </row>
    <row r="71" spans="1:3" x14ac:dyDescent="0.25">
      <c r="A71" s="44" t="s">
        <v>113</v>
      </c>
      <c r="B71" s="45">
        <v>119704694.30000001</v>
      </c>
      <c r="C71" s="47">
        <v>44043</v>
      </c>
    </row>
    <row r="72" spans="1:3" x14ac:dyDescent="0.25">
      <c r="A72" s="44" t="s">
        <v>114</v>
      </c>
      <c r="B72" s="45">
        <v>30551826.050000001</v>
      </c>
      <c r="C72" s="47">
        <v>44103</v>
      </c>
    </row>
    <row r="73" spans="1:3" x14ac:dyDescent="0.25">
      <c r="A73" s="44" t="s">
        <v>11</v>
      </c>
      <c r="B73" s="45">
        <v>13493075</v>
      </c>
      <c r="C73" s="47">
        <v>43278</v>
      </c>
    </row>
    <row r="74" spans="1:3" x14ac:dyDescent="0.25">
      <c r="A74" s="44" t="s">
        <v>12</v>
      </c>
      <c r="B74" s="45">
        <v>7542861</v>
      </c>
      <c r="C74" s="47">
        <v>43278</v>
      </c>
    </row>
    <row r="75" spans="1:3" x14ac:dyDescent="0.25">
      <c r="A75" s="44" t="s">
        <v>13</v>
      </c>
      <c r="B75" s="45">
        <v>7337229</v>
      </c>
      <c r="C75" s="47">
        <v>43278</v>
      </c>
    </row>
    <row r="76" spans="1:3" x14ac:dyDescent="0.25">
      <c r="A76" s="44" t="s">
        <v>14</v>
      </c>
      <c r="B76" s="45">
        <v>10689431</v>
      </c>
      <c r="C76" s="47">
        <v>43278</v>
      </c>
    </row>
    <row r="77" spans="1:3" x14ac:dyDescent="0.25">
      <c r="A77" s="44" t="s">
        <v>15</v>
      </c>
      <c r="B77" s="45">
        <v>10266197</v>
      </c>
      <c r="C77" s="47">
        <v>43278</v>
      </c>
    </row>
    <row r="78" spans="1:3" x14ac:dyDescent="0.25">
      <c r="A78" s="44" t="s">
        <v>82</v>
      </c>
      <c r="B78" s="45">
        <v>26594148</v>
      </c>
      <c r="C78" s="47">
        <v>43200</v>
      </c>
    </row>
    <row r="79" spans="1:3" x14ac:dyDescent="0.25">
      <c r="A79" s="44" t="s">
        <v>83</v>
      </c>
      <c r="B79" s="45">
        <v>4117118</v>
      </c>
      <c r="C79" s="47">
        <v>43200</v>
      </c>
    </row>
    <row r="80" spans="1:3" x14ac:dyDescent="0.25">
      <c r="A80" s="44" t="s">
        <v>22</v>
      </c>
      <c r="B80" s="45">
        <v>1947314</v>
      </c>
      <c r="C80" s="47">
        <v>43278</v>
      </c>
    </row>
    <row r="81" spans="1:3" x14ac:dyDescent="0.25">
      <c r="A81" s="44" t="s">
        <v>23</v>
      </c>
      <c r="B81" s="45">
        <v>1</v>
      </c>
      <c r="C81" s="47">
        <v>43299</v>
      </c>
    </row>
    <row r="82" spans="1:3" x14ac:dyDescent="0.25">
      <c r="A82" s="44" t="s">
        <v>24</v>
      </c>
      <c r="B82" s="45">
        <v>1</v>
      </c>
      <c r="C82" s="47">
        <v>43299</v>
      </c>
    </row>
    <row r="83" spans="1:3" x14ac:dyDescent="0.25">
      <c r="A83" s="44" t="s">
        <v>46</v>
      </c>
      <c r="B83" s="45">
        <v>73053</v>
      </c>
      <c r="C83" s="47">
        <v>43278</v>
      </c>
    </row>
    <row r="84" spans="1:3" x14ac:dyDescent="0.25">
      <c r="A84" s="44" t="s">
        <v>16</v>
      </c>
      <c r="B84" s="45">
        <v>82038</v>
      </c>
      <c r="C84" s="47">
        <v>43278</v>
      </c>
    </row>
    <row r="85" spans="1:3" x14ac:dyDescent="0.25">
      <c r="A85" s="44" t="s">
        <v>115</v>
      </c>
      <c r="B85" s="45">
        <v>35169490.759999998</v>
      </c>
      <c r="C85" s="47">
        <v>44103</v>
      </c>
    </row>
    <row r="86" spans="1:3" x14ac:dyDescent="0.25">
      <c r="A86" s="44" t="s">
        <v>116</v>
      </c>
      <c r="B86" s="45">
        <v>481103750.90999997</v>
      </c>
      <c r="C86" s="47">
        <v>44103</v>
      </c>
    </row>
    <row r="87" spans="1:3" x14ac:dyDescent="0.25">
      <c r="A87" s="44" t="s">
        <v>117</v>
      </c>
      <c r="B87" s="45">
        <v>22981040.27</v>
      </c>
      <c r="C87" s="47">
        <v>44103</v>
      </c>
    </row>
    <row r="88" spans="1:3" x14ac:dyDescent="0.25">
      <c r="A88" s="44" t="s">
        <v>118</v>
      </c>
      <c r="B88" s="45">
        <v>36176466.390000001</v>
      </c>
      <c r="C88" s="47">
        <v>44103</v>
      </c>
    </row>
    <row r="89" spans="1:3" x14ac:dyDescent="0.25">
      <c r="A89" s="44" t="s">
        <v>120</v>
      </c>
      <c r="B89" s="45">
        <v>69875054.210000008</v>
      </c>
      <c r="C89" s="47">
        <v>44103</v>
      </c>
    </row>
    <row r="90" spans="1:3" x14ac:dyDescent="0.25">
      <c r="A90" s="44" t="s">
        <v>17</v>
      </c>
      <c r="B90" s="45">
        <v>116071240</v>
      </c>
      <c r="C90" s="47">
        <v>43278</v>
      </c>
    </row>
    <row r="91" spans="1:3" x14ac:dyDescent="0.25">
      <c r="A91" s="44" t="s">
        <v>18</v>
      </c>
      <c r="B91" s="45">
        <v>603921030</v>
      </c>
      <c r="C91" s="47">
        <v>43278</v>
      </c>
    </row>
    <row r="92" spans="1:3" x14ac:dyDescent="0.25">
      <c r="A92" s="44" t="s">
        <v>19</v>
      </c>
      <c r="B92" s="45">
        <v>97418087</v>
      </c>
      <c r="C92" s="47">
        <v>43278</v>
      </c>
    </row>
    <row r="93" spans="1:3" x14ac:dyDescent="0.25">
      <c r="A93" s="44" t="s">
        <v>20</v>
      </c>
      <c r="B93" s="45">
        <v>1731245062</v>
      </c>
      <c r="C93" s="47">
        <v>43278</v>
      </c>
    </row>
    <row r="94" spans="1:3" x14ac:dyDescent="0.25">
      <c r="A94" s="44" t="s">
        <v>21</v>
      </c>
      <c r="B94" s="45">
        <v>784732185</v>
      </c>
      <c r="C94" s="47">
        <v>43278</v>
      </c>
    </row>
    <row r="95" spans="1:3" x14ac:dyDescent="0.25">
      <c r="A95" s="44" t="s">
        <v>47</v>
      </c>
      <c r="B95" s="45">
        <v>31634267</v>
      </c>
      <c r="C95" s="47">
        <v>43278</v>
      </c>
    </row>
    <row r="96" spans="1:3" x14ac:dyDescent="0.25">
      <c r="A96" s="44" t="s">
        <v>84</v>
      </c>
      <c r="B96" s="46"/>
      <c r="C96" s="47">
        <v>43278</v>
      </c>
    </row>
    <row r="97" spans="1:3" x14ac:dyDescent="0.25">
      <c r="A97" s="44" t="s">
        <v>85</v>
      </c>
      <c r="B97" s="45">
        <v>22702822</v>
      </c>
      <c r="C97" s="47">
        <v>43200</v>
      </c>
    </row>
    <row r="98" spans="1:3" x14ac:dyDescent="0.25">
      <c r="A98" s="44" t="s">
        <v>86</v>
      </c>
      <c r="B98" s="45">
        <v>30982960</v>
      </c>
      <c r="C98" s="47">
        <v>43200</v>
      </c>
    </row>
    <row r="99" spans="1:3" x14ac:dyDescent="0.25">
      <c r="A99" s="44" t="s">
        <v>87</v>
      </c>
      <c r="B99" s="45">
        <v>48684532</v>
      </c>
      <c r="C99" s="47">
        <v>43200</v>
      </c>
    </row>
    <row r="100" spans="1:3" x14ac:dyDescent="0.25">
      <c r="A100" s="44" t="s">
        <v>88</v>
      </c>
      <c r="B100" s="46"/>
      <c r="C100" s="47">
        <v>43278</v>
      </c>
    </row>
    <row r="101" spans="1:3" x14ac:dyDescent="0.25">
      <c r="A101" s="44" t="s">
        <v>25</v>
      </c>
      <c r="B101" s="46"/>
      <c r="C101" s="47">
        <v>43278</v>
      </c>
    </row>
    <row r="102" spans="1:3" x14ac:dyDescent="0.25">
      <c r="A102" s="44" t="s">
        <v>89</v>
      </c>
      <c r="B102" s="45">
        <v>31819565</v>
      </c>
      <c r="C102" s="47">
        <v>43200</v>
      </c>
    </row>
    <row r="103" spans="1:3" x14ac:dyDescent="0.25">
      <c r="A103" s="44" t="s">
        <v>90</v>
      </c>
      <c r="B103" s="45">
        <v>151510</v>
      </c>
      <c r="C103" s="47">
        <v>43200</v>
      </c>
    </row>
    <row r="104" spans="1:3" x14ac:dyDescent="0.25">
      <c r="A104" s="44" t="s">
        <v>91</v>
      </c>
      <c r="B104" s="45">
        <v>30375116</v>
      </c>
      <c r="C104" s="47">
        <v>43200</v>
      </c>
    </row>
    <row r="105" spans="1:3" x14ac:dyDescent="0.25">
      <c r="A105" s="44" t="s">
        <v>93</v>
      </c>
      <c r="B105" s="46"/>
      <c r="C105" s="47">
        <v>43278</v>
      </c>
    </row>
    <row r="106" spans="1:3" x14ac:dyDescent="0.25">
      <c r="A106" s="44" t="s">
        <v>92</v>
      </c>
      <c r="B106" s="46"/>
      <c r="C106" s="47">
        <v>43278</v>
      </c>
    </row>
    <row r="107" spans="1:3" x14ac:dyDescent="0.25">
      <c r="A107" s="53" t="s">
        <v>94</v>
      </c>
      <c r="B107" s="54">
        <v>33695382</v>
      </c>
      <c r="C107" s="55">
        <v>43200</v>
      </c>
    </row>
  </sheetData>
  <sortState xmlns:xlrd2="http://schemas.microsoft.com/office/spreadsheetml/2017/richdata2" ref="A2:C108">
    <sortCondition ref="A1"/>
  </sortState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8"/>
  <sheetViews>
    <sheetView topLeftCell="A58" workbookViewId="0">
      <selection activeCell="B71" sqref="B71"/>
    </sheetView>
  </sheetViews>
  <sheetFormatPr defaultRowHeight="15" x14ac:dyDescent="0.25"/>
  <cols>
    <col min="1" max="1" width="13.28515625" bestFit="1" customWidth="1"/>
    <col min="2" max="2" width="11.7109375" bestFit="1" customWidth="1"/>
  </cols>
  <sheetData>
    <row r="1" spans="1:2" x14ac:dyDescent="0.25">
      <c r="A1" s="43" t="s">
        <v>0</v>
      </c>
      <c r="B1" s="43" t="s">
        <v>1</v>
      </c>
    </row>
    <row r="2" spans="1:2" x14ac:dyDescent="0.25">
      <c r="A2" s="44" t="s">
        <v>48</v>
      </c>
      <c r="B2" s="45">
        <v>329291613</v>
      </c>
    </row>
    <row r="3" spans="1:2" x14ac:dyDescent="0.25">
      <c r="A3" s="44" t="s">
        <v>49</v>
      </c>
      <c r="B3" s="45">
        <v>70532551</v>
      </c>
    </row>
    <row r="4" spans="1:2" x14ac:dyDescent="0.25">
      <c r="A4" s="44" t="s">
        <v>50</v>
      </c>
      <c r="B4" s="45">
        <v>43051337</v>
      </c>
    </row>
    <row r="5" spans="1:2" x14ac:dyDescent="0.25">
      <c r="A5" s="44" t="s">
        <v>95</v>
      </c>
      <c r="B5" s="45">
        <v>113842683</v>
      </c>
    </row>
    <row r="6" spans="1:2" x14ac:dyDescent="0.25">
      <c r="A6" s="44" t="s">
        <v>2</v>
      </c>
      <c r="B6" s="45">
        <v>1456604</v>
      </c>
    </row>
    <row r="7" spans="1:2" x14ac:dyDescent="0.25">
      <c r="A7" s="44" t="s">
        <v>3</v>
      </c>
      <c r="B7" s="45">
        <v>200953</v>
      </c>
    </row>
    <row r="8" spans="1:2" x14ac:dyDescent="0.25">
      <c r="A8" s="44" t="s">
        <v>29</v>
      </c>
      <c r="B8" s="45">
        <v>578276795</v>
      </c>
    </row>
    <row r="9" spans="1:2" x14ac:dyDescent="0.25">
      <c r="A9" s="44" t="s">
        <v>140</v>
      </c>
      <c r="B9" s="45">
        <v>74256438</v>
      </c>
    </row>
    <row r="10" spans="1:2" x14ac:dyDescent="0.25">
      <c r="A10" s="44" t="s">
        <v>4</v>
      </c>
      <c r="B10" s="45">
        <v>2725</v>
      </c>
    </row>
    <row r="11" spans="1:2" x14ac:dyDescent="0.25">
      <c r="A11" s="44" t="s">
        <v>5</v>
      </c>
      <c r="B11" s="45">
        <v>251256</v>
      </c>
    </row>
    <row r="12" spans="1:2" x14ac:dyDescent="0.25">
      <c r="A12" s="44" t="s">
        <v>30</v>
      </c>
      <c r="B12" s="45">
        <v>1431674708</v>
      </c>
    </row>
    <row r="13" spans="1:2" x14ac:dyDescent="0.25">
      <c r="A13" s="44" t="s">
        <v>141</v>
      </c>
      <c r="B13" s="45">
        <v>152900617</v>
      </c>
    </row>
    <row r="14" spans="1:2" x14ac:dyDescent="0.25">
      <c r="A14" s="44" t="s">
        <v>6</v>
      </c>
      <c r="B14" s="45">
        <v>299029</v>
      </c>
    </row>
    <row r="15" spans="1:2" x14ac:dyDescent="0.25">
      <c r="A15" s="44" t="s">
        <v>7</v>
      </c>
      <c r="B15" s="45">
        <v>23266</v>
      </c>
    </row>
    <row r="16" spans="1:2" x14ac:dyDescent="0.25">
      <c r="A16" s="44" t="s">
        <v>55</v>
      </c>
      <c r="B16" s="45">
        <v>2738246</v>
      </c>
    </row>
    <row r="17" spans="1:2" x14ac:dyDescent="0.25">
      <c r="A17" s="44" t="s">
        <v>56</v>
      </c>
      <c r="B17" s="45">
        <v>23481641</v>
      </c>
    </row>
    <row r="18" spans="1:2" x14ac:dyDescent="0.25">
      <c r="A18" s="44" t="s">
        <v>57</v>
      </c>
      <c r="B18" s="45">
        <v>1110582</v>
      </c>
    </row>
    <row r="19" spans="1:2" x14ac:dyDescent="0.25">
      <c r="A19" s="44" t="s">
        <v>103</v>
      </c>
      <c r="B19" s="45">
        <v>25148480.59</v>
      </c>
    </row>
    <row r="20" spans="1:2" x14ac:dyDescent="0.25">
      <c r="A20" s="44" t="s">
        <v>104</v>
      </c>
      <c r="B20" s="45">
        <v>68800781.150000006</v>
      </c>
    </row>
    <row r="21" spans="1:2" x14ac:dyDescent="0.25">
      <c r="A21" s="44" t="s">
        <v>105</v>
      </c>
      <c r="B21" s="45">
        <v>210011739.99000001</v>
      </c>
    </row>
    <row r="22" spans="1:2" x14ac:dyDescent="0.25">
      <c r="A22" s="44" t="s">
        <v>106</v>
      </c>
      <c r="B22" s="45">
        <v>193958591.19999999</v>
      </c>
    </row>
    <row r="23" spans="1:2" x14ac:dyDescent="0.25">
      <c r="A23" s="44" t="s">
        <v>107</v>
      </c>
      <c r="B23" s="45">
        <v>238117486.73999998</v>
      </c>
    </row>
    <row r="24" spans="1:2" x14ac:dyDescent="0.25">
      <c r="A24" s="44" t="s">
        <v>108</v>
      </c>
      <c r="B24" s="45">
        <v>66925517.240000002</v>
      </c>
    </row>
    <row r="25" spans="1:2" x14ac:dyDescent="0.25">
      <c r="A25" s="44" t="s">
        <v>109</v>
      </c>
      <c r="B25" s="45">
        <v>257930091.77000001</v>
      </c>
    </row>
    <row r="26" spans="1:2" x14ac:dyDescent="0.25">
      <c r="A26" s="44" t="s">
        <v>99</v>
      </c>
      <c r="B26" s="45">
        <v>87586861.689999998</v>
      </c>
    </row>
    <row r="27" spans="1:2" x14ac:dyDescent="0.25">
      <c r="A27" s="44" t="s">
        <v>100</v>
      </c>
      <c r="B27" s="45">
        <v>203748545.96000001</v>
      </c>
    </row>
    <row r="28" spans="1:2" x14ac:dyDescent="0.25">
      <c r="A28" s="44" t="s">
        <v>101</v>
      </c>
      <c r="B28" s="45">
        <v>591678098.43999994</v>
      </c>
    </row>
    <row r="29" spans="1:2" x14ac:dyDescent="0.25">
      <c r="A29" s="44" t="s">
        <v>102</v>
      </c>
      <c r="B29" s="45">
        <v>447508601.07999998</v>
      </c>
    </row>
    <row r="30" spans="1:2" x14ac:dyDescent="0.25">
      <c r="A30" s="44" t="s">
        <v>125</v>
      </c>
      <c r="B30" s="45">
        <v>7703391721</v>
      </c>
    </row>
    <row r="31" spans="1:2" x14ac:dyDescent="0.25">
      <c r="A31" s="44" t="s">
        <v>31</v>
      </c>
      <c r="B31" s="45">
        <v>3405805</v>
      </c>
    </row>
    <row r="32" spans="1:2" x14ac:dyDescent="0.25">
      <c r="A32" s="44" t="s">
        <v>32</v>
      </c>
      <c r="B32" s="45">
        <v>374308</v>
      </c>
    </row>
    <row r="33" spans="1:2" x14ac:dyDescent="0.25">
      <c r="A33" s="44" t="s">
        <v>33</v>
      </c>
      <c r="B33" s="45">
        <v>6320692</v>
      </c>
    </row>
    <row r="34" spans="1:2" x14ac:dyDescent="0.25">
      <c r="A34" s="44" t="s">
        <v>34</v>
      </c>
      <c r="B34" s="45">
        <v>249792</v>
      </c>
    </row>
    <row r="35" spans="1:2" x14ac:dyDescent="0.25">
      <c r="A35" s="44" t="s">
        <v>35</v>
      </c>
      <c r="B35" s="45">
        <v>542465</v>
      </c>
    </row>
    <row r="36" spans="1:2" x14ac:dyDescent="0.25">
      <c r="A36" s="44" t="s">
        <v>36</v>
      </c>
      <c r="B36" s="45">
        <v>394532</v>
      </c>
    </row>
    <row r="37" spans="1:2" x14ac:dyDescent="0.25">
      <c r="A37" s="44" t="s">
        <v>37</v>
      </c>
      <c r="B37" s="45">
        <v>173905</v>
      </c>
    </row>
    <row r="38" spans="1:2" x14ac:dyDescent="0.25">
      <c r="A38" s="44" t="s">
        <v>38</v>
      </c>
      <c r="B38" s="45">
        <v>205806</v>
      </c>
    </row>
    <row r="39" spans="1:2" x14ac:dyDescent="0.25">
      <c r="A39" s="44" t="s">
        <v>39</v>
      </c>
      <c r="B39" s="45">
        <v>647324</v>
      </c>
    </row>
    <row r="40" spans="1:2" x14ac:dyDescent="0.25">
      <c r="A40" s="44" t="s">
        <v>41</v>
      </c>
      <c r="B40" s="45">
        <v>307090</v>
      </c>
    </row>
    <row r="41" spans="1:2" x14ac:dyDescent="0.25">
      <c r="A41" s="44" t="s">
        <v>42</v>
      </c>
      <c r="B41" s="45">
        <v>14954</v>
      </c>
    </row>
    <row r="42" spans="1:2" x14ac:dyDescent="0.25">
      <c r="A42" s="44" t="s">
        <v>43</v>
      </c>
      <c r="B42" s="45">
        <v>47678</v>
      </c>
    </row>
    <row r="43" spans="1:2" x14ac:dyDescent="0.25">
      <c r="A43" s="44" t="s">
        <v>44</v>
      </c>
      <c r="B43" s="45">
        <v>49683133</v>
      </c>
    </row>
    <row r="44" spans="1:2" x14ac:dyDescent="0.25">
      <c r="A44" s="44" t="s">
        <v>64</v>
      </c>
      <c r="B44" s="45">
        <v>416351</v>
      </c>
    </row>
    <row r="45" spans="1:2" x14ac:dyDescent="0.25">
      <c r="A45" s="44" t="s">
        <v>65</v>
      </c>
      <c r="B45" s="45">
        <v>15621072</v>
      </c>
    </row>
    <row r="46" spans="1:2" x14ac:dyDescent="0.25">
      <c r="A46" s="44" t="s">
        <v>66</v>
      </c>
      <c r="B46" s="45">
        <v>2081560</v>
      </c>
    </row>
    <row r="47" spans="1:2" x14ac:dyDescent="0.25">
      <c r="A47" s="44" t="s">
        <v>67</v>
      </c>
      <c r="B47" s="45">
        <v>101357488</v>
      </c>
    </row>
    <row r="48" spans="1:2" x14ac:dyDescent="0.25">
      <c r="A48" s="44" t="s">
        <v>68</v>
      </c>
      <c r="B48" s="45">
        <v>73007234</v>
      </c>
    </row>
    <row r="49" spans="1:2" x14ac:dyDescent="0.25">
      <c r="A49" s="44" t="s">
        <v>69</v>
      </c>
      <c r="B49" s="45">
        <v>129947256</v>
      </c>
    </row>
    <row r="50" spans="1:2" x14ac:dyDescent="0.25">
      <c r="A50" s="44" t="s">
        <v>124</v>
      </c>
      <c r="B50" s="46"/>
    </row>
    <row r="51" spans="1:2" x14ac:dyDescent="0.25">
      <c r="A51" s="44" t="s">
        <v>80</v>
      </c>
      <c r="B51" s="45">
        <v>198744414</v>
      </c>
    </row>
    <row r="52" spans="1:2" x14ac:dyDescent="0.25">
      <c r="A52" s="44" t="s">
        <v>26</v>
      </c>
      <c r="B52" s="45">
        <v>880478939</v>
      </c>
    </row>
    <row r="53" spans="1:2" x14ac:dyDescent="0.25">
      <c r="A53" s="44" t="s">
        <v>45</v>
      </c>
      <c r="B53" s="45">
        <v>79588610</v>
      </c>
    </row>
    <row r="54" spans="1:2" x14ac:dyDescent="0.25">
      <c r="A54" s="44" t="s">
        <v>27</v>
      </c>
      <c r="B54" s="45">
        <v>1258806148</v>
      </c>
    </row>
    <row r="55" spans="1:2" x14ac:dyDescent="0.25">
      <c r="A55" s="44" t="s">
        <v>97</v>
      </c>
      <c r="B55" s="45">
        <v>12108925</v>
      </c>
    </row>
    <row r="56" spans="1:2" x14ac:dyDescent="0.25">
      <c r="A56" s="44" t="s">
        <v>96</v>
      </c>
      <c r="B56" s="45">
        <v>1183599254</v>
      </c>
    </row>
    <row r="57" spans="1:2" x14ac:dyDescent="0.25">
      <c r="A57" s="44" t="s">
        <v>81</v>
      </c>
      <c r="B57" s="45">
        <v>398913</v>
      </c>
    </row>
    <row r="58" spans="1:2" x14ac:dyDescent="0.25">
      <c r="A58" s="44" t="s">
        <v>98</v>
      </c>
      <c r="B58" s="45">
        <v>2630121256</v>
      </c>
    </row>
    <row r="59" spans="1:2" x14ac:dyDescent="0.25">
      <c r="A59" s="44" t="s">
        <v>28</v>
      </c>
      <c r="B59" s="45">
        <v>1432785915</v>
      </c>
    </row>
    <row r="60" spans="1:2" x14ac:dyDescent="0.25">
      <c r="A60" s="44" t="s">
        <v>129</v>
      </c>
      <c r="B60" s="45">
        <v>173476694.43256566</v>
      </c>
    </row>
    <row r="61" spans="1:2" x14ac:dyDescent="0.25">
      <c r="A61" s="44" t="s">
        <v>110</v>
      </c>
      <c r="B61" s="45">
        <v>443296758.84000003</v>
      </c>
    </row>
    <row r="62" spans="1:2" x14ac:dyDescent="0.25">
      <c r="A62" s="44" t="s">
        <v>111</v>
      </c>
      <c r="B62" s="45">
        <v>267237547.87</v>
      </c>
    </row>
    <row r="63" spans="1:2" x14ac:dyDescent="0.25">
      <c r="A63" s="44" t="s">
        <v>112</v>
      </c>
      <c r="B63" s="45">
        <v>318222358.90999997</v>
      </c>
    </row>
    <row r="64" spans="1:2" x14ac:dyDescent="0.25">
      <c r="A64" s="44" t="s">
        <v>122</v>
      </c>
      <c r="B64" s="45">
        <v>222413979.70000002</v>
      </c>
    </row>
    <row r="65" spans="1:2" x14ac:dyDescent="0.25">
      <c r="A65" s="44" t="s">
        <v>123</v>
      </c>
      <c r="B65" s="45">
        <v>244076401.82000002</v>
      </c>
    </row>
    <row r="66" spans="1:2" x14ac:dyDescent="0.25">
      <c r="A66" s="44" t="s">
        <v>139</v>
      </c>
      <c r="B66" s="45">
        <v>208029869.44999999</v>
      </c>
    </row>
    <row r="67" spans="1:2" x14ac:dyDescent="0.25">
      <c r="A67" s="44" t="s">
        <v>8</v>
      </c>
      <c r="B67" s="45">
        <v>53155070</v>
      </c>
    </row>
    <row r="68" spans="1:2" x14ac:dyDescent="0.25">
      <c r="A68" s="44" t="s">
        <v>40</v>
      </c>
      <c r="B68" s="45">
        <v>98119</v>
      </c>
    </row>
    <row r="69" spans="1:2" x14ac:dyDescent="0.25">
      <c r="A69" s="44" t="s">
        <v>9</v>
      </c>
      <c r="B69" s="45">
        <v>176396977</v>
      </c>
    </row>
    <row r="70" spans="1:2" x14ac:dyDescent="0.25">
      <c r="A70" s="44" t="s">
        <v>10</v>
      </c>
      <c r="B70" s="45">
        <v>198120273</v>
      </c>
    </row>
    <row r="71" spans="1:2" x14ac:dyDescent="0.25">
      <c r="A71" s="44" t="s">
        <v>113</v>
      </c>
      <c r="B71" s="45">
        <v>119704694.3</v>
      </c>
    </row>
    <row r="72" spans="1:2" x14ac:dyDescent="0.25">
      <c r="A72" s="44" t="s">
        <v>114</v>
      </c>
      <c r="B72" s="45">
        <v>31987168.210000001</v>
      </c>
    </row>
    <row r="73" spans="1:2" x14ac:dyDescent="0.25">
      <c r="A73" s="44" t="s">
        <v>11</v>
      </c>
      <c r="B73" s="45">
        <v>14155414</v>
      </c>
    </row>
    <row r="74" spans="1:2" x14ac:dyDescent="0.25">
      <c r="A74" s="44" t="s">
        <v>12</v>
      </c>
      <c r="B74" s="45">
        <v>7712059</v>
      </c>
    </row>
    <row r="75" spans="1:2" x14ac:dyDescent="0.25">
      <c r="A75" s="44" t="s">
        <v>13</v>
      </c>
      <c r="B75" s="45">
        <v>7586322</v>
      </c>
    </row>
    <row r="76" spans="1:2" x14ac:dyDescent="0.25">
      <c r="A76" s="44" t="s">
        <v>14</v>
      </c>
      <c r="B76" s="45">
        <v>11387092</v>
      </c>
    </row>
    <row r="77" spans="1:2" x14ac:dyDescent="0.25">
      <c r="A77" s="44" t="s">
        <v>15</v>
      </c>
      <c r="B77" s="45">
        <v>10688126</v>
      </c>
    </row>
    <row r="78" spans="1:2" x14ac:dyDescent="0.25">
      <c r="A78" s="44" t="s">
        <v>82</v>
      </c>
      <c r="B78" s="45">
        <v>26892402</v>
      </c>
    </row>
    <row r="79" spans="1:2" x14ac:dyDescent="0.25">
      <c r="A79" s="44" t="s">
        <v>83</v>
      </c>
      <c r="B79" s="45">
        <v>4176942</v>
      </c>
    </row>
    <row r="80" spans="1:2" x14ac:dyDescent="0.25">
      <c r="A80" s="44" t="s">
        <v>22</v>
      </c>
      <c r="B80" s="45">
        <v>1994140</v>
      </c>
    </row>
    <row r="81" spans="1:2" x14ac:dyDescent="0.25">
      <c r="A81" s="44" t="s">
        <v>23</v>
      </c>
      <c r="B81" s="45">
        <v>1</v>
      </c>
    </row>
    <row r="82" spans="1:2" x14ac:dyDescent="0.25">
      <c r="A82" s="44" t="s">
        <v>24</v>
      </c>
      <c r="B82" s="45">
        <v>1</v>
      </c>
    </row>
    <row r="83" spans="1:2" x14ac:dyDescent="0.25">
      <c r="A83" s="44" t="s">
        <v>46</v>
      </c>
      <c r="B83" s="45">
        <v>73234</v>
      </c>
    </row>
    <row r="84" spans="1:2" x14ac:dyDescent="0.25">
      <c r="A84" s="44" t="s">
        <v>16</v>
      </c>
      <c r="B84" s="45">
        <v>81983</v>
      </c>
    </row>
    <row r="85" spans="1:2" x14ac:dyDescent="0.25">
      <c r="A85" s="44" t="s">
        <v>115</v>
      </c>
      <c r="B85" s="45">
        <v>35971965.130000003</v>
      </c>
    </row>
    <row r="86" spans="1:2" x14ac:dyDescent="0.25">
      <c r="A86" s="44" t="s">
        <v>116</v>
      </c>
      <c r="B86" s="45">
        <v>496643546.17000002</v>
      </c>
    </row>
    <row r="87" spans="1:2" x14ac:dyDescent="0.25">
      <c r="A87" s="44" t="s">
        <v>117</v>
      </c>
      <c r="B87" s="45">
        <v>24221554.469999999</v>
      </c>
    </row>
    <row r="88" spans="1:2" x14ac:dyDescent="0.25">
      <c r="A88" s="44" t="s">
        <v>118</v>
      </c>
      <c r="B88" s="45">
        <v>37610446.189999998</v>
      </c>
    </row>
    <row r="89" spans="1:2" x14ac:dyDescent="0.25">
      <c r="A89" s="44" t="s">
        <v>120</v>
      </c>
      <c r="B89" s="45">
        <v>72394887.060000002</v>
      </c>
    </row>
    <row r="90" spans="1:2" x14ac:dyDescent="0.25">
      <c r="A90" s="44" t="s">
        <v>121</v>
      </c>
      <c r="B90" s="45">
        <v>4362313.34</v>
      </c>
    </row>
    <row r="91" spans="1:2" x14ac:dyDescent="0.25">
      <c r="A91" s="44" t="s">
        <v>17</v>
      </c>
      <c r="B91" s="45">
        <v>117309012</v>
      </c>
    </row>
    <row r="92" spans="1:2" x14ac:dyDescent="0.25">
      <c r="A92" s="44" t="s">
        <v>18</v>
      </c>
      <c r="B92" s="45">
        <v>604589900</v>
      </c>
    </row>
    <row r="93" spans="1:2" x14ac:dyDescent="0.25">
      <c r="A93" s="44" t="s">
        <v>19</v>
      </c>
      <c r="B93" s="45">
        <v>99945637</v>
      </c>
    </row>
    <row r="94" spans="1:2" x14ac:dyDescent="0.25">
      <c r="A94" s="44" t="s">
        <v>20</v>
      </c>
      <c r="B94" s="45">
        <v>1750821045</v>
      </c>
    </row>
    <row r="95" spans="1:2" x14ac:dyDescent="0.25">
      <c r="A95" s="44" t="s">
        <v>21</v>
      </c>
      <c r="B95" s="45">
        <v>790131263</v>
      </c>
    </row>
    <row r="96" spans="1:2" x14ac:dyDescent="0.25">
      <c r="A96" s="44" t="s">
        <v>47</v>
      </c>
      <c r="B96" s="45">
        <v>32907931</v>
      </c>
    </row>
    <row r="97" spans="1:2" x14ac:dyDescent="0.25">
      <c r="A97" s="44" t="s">
        <v>84</v>
      </c>
      <c r="B97" s="46"/>
    </row>
    <row r="98" spans="1:2" x14ac:dyDescent="0.25">
      <c r="A98" s="44" t="s">
        <v>85</v>
      </c>
      <c r="B98" s="45">
        <v>23163655</v>
      </c>
    </row>
    <row r="99" spans="1:2" x14ac:dyDescent="0.25">
      <c r="A99" s="44" t="s">
        <v>86</v>
      </c>
      <c r="B99" s="45">
        <v>31410322</v>
      </c>
    </row>
    <row r="100" spans="1:2" x14ac:dyDescent="0.25">
      <c r="A100" s="44" t="s">
        <v>87</v>
      </c>
      <c r="B100" s="45">
        <v>48727843</v>
      </c>
    </row>
    <row r="101" spans="1:2" x14ac:dyDescent="0.25">
      <c r="A101" s="44" t="s">
        <v>88</v>
      </c>
      <c r="B101" s="46"/>
    </row>
    <row r="102" spans="1:2" x14ac:dyDescent="0.25">
      <c r="A102" s="44" t="s">
        <v>25</v>
      </c>
      <c r="B102" s="46"/>
    </row>
    <row r="103" spans="1:2" x14ac:dyDescent="0.25">
      <c r="A103" s="44" t="s">
        <v>89</v>
      </c>
      <c r="B103" s="45">
        <v>32451736</v>
      </c>
    </row>
    <row r="104" spans="1:2" x14ac:dyDescent="0.25">
      <c r="A104" s="44" t="s">
        <v>90</v>
      </c>
      <c r="B104" s="45">
        <v>152264</v>
      </c>
    </row>
    <row r="105" spans="1:2" x14ac:dyDescent="0.25">
      <c r="A105" s="44" t="s">
        <v>91</v>
      </c>
      <c r="B105" s="45">
        <v>30556365</v>
      </c>
    </row>
    <row r="106" spans="1:2" x14ac:dyDescent="0.25">
      <c r="A106" s="44" t="s">
        <v>93</v>
      </c>
      <c r="B106" s="46"/>
    </row>
    <row r="107" spans="1:2" x14ac:dyDescent="0.25">
      <c r="A107" s="44" t="s">
        <v>92</v>
      </c>
      <c r="B107" s="46"/>
    </row>
    <row r="108" spans="1:2" x14ac:dyDescent="0.25">
      <c r="A108" s="44" t="s">
        <v>94</v>
      </c>
      <c r="B108" s="45">
        <v>33872613</v>
      </c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11"/>
  <sheetViews>
    <sheetView workbookViewId="0">
      <selection activeCell="A3" sqref="A3:B109"/>
    </sheetView>
  </sheetViews>
  <sheetFormatPr defaultRowHeight="15" x14ac:dyDescent="0.25"/>
  <cols>
    <col min="1" max="1" width="12.85546875" bestFit="1" customWidth="1"/>
    <col min="2" max="2" width="16.85546875" style="7" bestFit="1" customWidth="1"/>
  </cols>
  <sheetData>
    <row r="1" spans="1:2" x14ac:dyDescent="0.25">
      <c r="A1" s="26" t="s">
        <v>0</v>
      </c>
      <c r="B1" s="33" t="s">
        <v>1</v>
      </c>
    </row>
    <row r="2" spans="1:2" x14ac:dyDescent="0.25">
      <c r="B2"/>
    </row>
    <row r="3" spans="1:2" x14ac:dyDescent="0.25">
      <c r="A3" s="27" t="s">
        <v>48</v>
      </c>
      <c r="B3" s="39">
        <v>319125009</v>
      </c>
    </row>
    <row r="4" spans="1:2" x14ac:dyDescent="0.25">
      <c r="A4" s="27" t="s">
        <v>49</v>
      </c>
      <c r="B4" s="39">
        <v>70281124</v>
      </c>
    </row>
    <row r="5" spans="1:2" x14ac:dyDescent="0.25">
      <c r="A5" s="27" t="s">
        <v>50</v>
      </c>
      <c r="B5" s="39">
        <v>43504982</v>
      </c>
    </row>
    <row r="6" spans="1:2" x14ac:dyDescent="0.25">
      <c r="A6" s="27" t="s">
        <v>95</v>
      </c>
      <c r="B6" s="39">
        <v>106323248</v>
      </c>
    </row>
    <row r="7" spans="1:2" x14ac:dyDescent="0.25">
      <c r="A7" s="27" t="s">
        <v>2</v>
      </c>
      <c r="B7" s="39">
        <v>1403710</v>
      </c>
    </row>
    <row r="8" spans="1:2" x14ac:dyDescent="0.25">
      <c r="A8" s="27" t="s">
        <v>3</v>
      </c>
      <c r="B8" s="39">
        <v>197531</v>
      </c>
    </row>
    <row r="9" spans="1:2" x14ac:dyDescent="0.25">
      <c r="A9" s="27" t="s">
        <v>29</v>
      </c>
      <c r="B9" s="39">
        <v>584292171</v>
      </c>
    </row>
    <row r="10" spans="1:2" x14ac:dyDescent="0.25">
      <c r="A10" s="27" t="s">
        <v>140</v>
      </c>
      <c r="B10" s="35">
        <v>58888435</v>
      </c>
    </row>
    <row r="11" spans="1:2" x14ac:dyDescent="0.25">
      <c r="A11" s="27" t="s">
        <v>4</v>
      </c>
      <c r="B11" s="39">
        <v>2691</v>
      </c>
    </row>
    <row r="12" spans="1:2" x14ac:dyDescent="0.25">
      <c r="A12" s="27" t="s">
        <v>5</v>
      </c>
      <c r="B12" s="39">
        <v>247542</v>
      </c>
    </row>
    <row r="13" spans="1:2" x14ac:dyDescent="0.25">
      <c r="A13" s="27" t="s">
        <v>30</v>
      </c>
      <c r="B13" s="39">
        <v>1481502061</v>
      </c>
    </row>
    <row r="14" spans="1:2" x14ac:dyDescent="0.25">
      <c r="A14" s="27" t="s">
        <v>141</v>
      </c>
      <c r="B14" s="39">
        <v>115475100</v>
      </c>
    </row>
    <row r="15" spans="1:2" x14ac:dyDescent="0.25">
      <c r="A15" s="27" t="s">
        <v>6</v>
      </c>
      <c r="B15" s="39">
        <v>278557</v>
      </c>
    </row>
    <row r="16" spans="1:2" x14ac:dyDescent="0.25">
      <c r="A16" s="27" t="s">
        <v>7</v>
      </c>
      <c r="B16" s="39">
        <v>23002</v>
      </c>
    </row>
    <row r="17" spans="1:2" x14ac:dyDescent="0.25">
      <c r="A17" s="27" t="s">
        <v>55</v>
      </c>
      <c r="B17" s="39">
        <v>2761126</v>
      </c>
    </row>
    <row r="18" spans="1:2" x14ac:dyDescent="0.25">
      <c r="A18" s="27" t="s">
        <v>56</v>
      </c>
      <c r="B18" s="39">
        <v>23827483</v>
      </c>
    </row>
    <row r="19" spans="1:2" x14ac:dyDescent="0.25">
      <c r="A19" s="27" t="s">
        <v>57</v>
      </c>
      <c r="B19" s="39">
        <v>1160133</v>
      </c>
    </row>
    <row r="20" spans="1:2" x14ac:dyDescent="0.25">
      <c r="A20" s="27" t="s">
        <v>103</v>
      </c>
      <c r="B20" s="39">
        <v>26020441.600000001</v>
      </c>
    </row>
    <row r="21" spans="1:2" x14ac:dyDescent="0.25">
      <c r="A21" s="27" t="s">
        <v>104</v>
      </c>
      <c r="B21" s="39">
        <v>68028867.449999988</v>
      </c>
    </row>
    <row r="22" spans="1:2" x14ac:dyDescent="0.25">
      <c r="A22" s="27" t="s">
        <v>105</v>
      </c>
      <c r="B22" s="39">
        <v>213704287.50999999</v>
      </c>
    </row>
    <row r="23" spans="1:2" x14ac:dyDescent="0.25">
      <c r="A23" s="27" t="s">
        <v>106</v>
      </c>
      <c r="B23" s="39">
        <v>184152326.67999998</v>
      </c>
    </row>
    <row r="24" spans="1:2" x14ac:dyDescent="0.25">
      <c r="A24" s="27" t="s">
        <v>107</v>
      </c>
      <c r="B24" s="39">
        <v>222586279.25</v>
      </c>
    </row>
    <row r="25" spans="1:2" x14ac:dyDescent="0.25">
      <c r="A25" s="27" t="s">
        <v>108</v>
      </c>
      <c r="B25" s="39">
        <v>64876079.730000004</v>
      </c>
    </row>
    <row r="26" spans="1:2" x14ac:dyDescent="0.25">
      <c r="A26" s="27" t="s">
        <v>109</v>
      </c>
      <c r="B26" s="39">
        <v>267492803.5</v>
      </c>
    </row>
    <row r="27" spans="1:2" x14ac:dyDescent="0.25">
      <c r="A27" s="27" t="s">
        <v>99</v>
      </c>
      <c r="B27" s="39">
        <v>89394681.890000001</v>
      </c>
    </row>
    <row r="28" spans="1:2" x14ac:dyDescent="0.25">
      <c r="A28" s="27" t="s">
        <v>100</v>
      </c>
      <c r="B28" s="39">
        <v>200267704.36999997</v>
      </c>
    </row>
    <row r="29" spans="1:2" x14ac:dyDescent="0.25">
      <c r="A29" s="27" t="s">
        <v>101</v>
      </c>
      <c r="B29" s="40">
        <v>581465855.59000003</v>
      </c>
    </row>
    <row r="30" spans="1:2" x14ac:dyDescent="0.25">
      <c r="A30" s="27" t="s">
        <v>102</v>
      </c>
      <c r="B30" s="40">
        <v>465043459</v>
      </c>
    </row>
    <row r="31" spans="1:2" x14ac:dyDescent="0.25">
      <c r="A31" s="27" t="s">
        <v>125</v>
      </c>
      <c r="B31" s="35">
        <v>7647463583</v>
      </c>
    </row>
    <row r="32" spans="1:2" x14ac:dyDescent="0.25">
      <c r="A32" s="38" t="s">
        <v>31</v>
      </c>
      <c r="B32" s="7">
        <v>3429595</v>
      </c>
    </row>
    <row r="33" spans="1:2" x14ac:dyDescent="0.25">
      <c r="A33" s="27" t="s">
        <v>32</v>
      </c>
      <c r="B33" s="35">
        <v>375258</v>
      </c>
    </row>
    <row r="34" spans="1:2" x14ac:dyDescent="0.25">
      <c r="A34" s="27" t="s">
        <v>33</v>
      </c>
      <c r="B34" s="35">
        <v>6365931</v>
      </c>
    </row>
    <row r="35" spans="1:2" x14ac:dyDescent="0.25">
      <c r="A35" s="27" t="s">
        <v>34</v>
      </c>
      <c r="B35" s="35">
        <v>250554</v>
      </c>
    </row>
    <row r="36" spans="1:2" x14ac:dyDescent="0.25">
      <c r="A36" s="27" t="s">
        <v>35</v>
      </c>
      <c r="B36" s="35">
        <v>544146</v>
      </c>
    </row>
    <row r="37" spans="1:2" x14ac:dyDescent="0.25">
      <c r="A37" s="27" t="s">
        <v>36</v>
      </c>
      <c r="B37" s="35">
        <v>395003</v>
      </c>
    </row>
    <row r="38" spans="1:2" x14ac:dyDescent="0.25">
      <c r="A38" s="27" t="s">
        <v>37</v>
      </c>
      <c r="B38" s="35">
        <v>174985</v>
      </c>
    </row>
    <row r="39" spans="1:2" x14ac:dyDescent="0.25">
      <c r="A39" s="27" t="s">
        <v>38</v>
      </c>
      <c r="B39" s="35">
        <v>206660</v>
      </c>
    </row>
    <row r="40" spans="1:2" x14ac:dyDescent="0.25">
      <c r="A40" s="27" t="s">
        <v>39</v>
      </c>
      <c r="B40" s="35">
        <v>643652</v>
      </c>
    </row>
    <row r="41" spans="1:2" x14ac:dyDescent="0.25">
      <c r="A41" s="27" t="s">
        <v>41</v>
      </c>
      <c r="B41" s="35">
        <v>302582</v>
      </c>
    </row>
    <row r="42" spans="1:2" x14ac:dyDescent="0.25">
      <c r="A42" s="27" t="s">
        <v>42</v>
      </c>
      <c r="B42" s="35">
        <v>16215</v>
      </c>
    </row>
    <row r="43" spans="1:2" x14ac:dyDescent="0.25">
      <c r="A43" s="27" t="s">
        <v>43</v>
      </c>
      <c r="B43" s="35">
        <v>48879</v>
      </c>
    </row>
    <row r="44" spans="1:2" x14ac:dyDescent="0.25">
      <c r="A44" s="27" t="s">
        <v>44</v>
      </c>
      <c r="B44" s="35">
        <v>50937702</v>
      </c>
    </row>
    <row r="45" spans="1:2" x14ac:dyDescent="0.25">
      <c r="A45" s="27" t="s">
        <v>64</v>
      </c>
      <c r="B45" s="35">
        <v>415254</v>
      </c>
    </row>
    <row r="46" spans="1:2" x14ac:dyDescent="0.25">
      <c r="A46" s="27" t="s">
        <v>65</v>
      </c>
      <c r="B46" s="35">
        <v>15717383</v>
      </c>
    </row>
    <row r="47" spans="1:2" x14ac:dyDescent="0.25">
      <c r="A47" s="27" t="s">
        <v>66</v>
      </c>
      <c r="B47" s="35">
        <v>2135708</v>
      </c>
    </row>
    <row r="48" spans="1:2" x14ac:dyDescent="0.25">
      <c r="A48" s="27" t="s">
        <v>67</v>
      </c>
      <c r="B48" s="35">
        <v>100717387</v>
      </c>
    </row>
    <row r="49" spans="1:2" x14ac:dyDescent="0.25">
      <c r="A49" s="27" t="s">
        <v>68</v>
      </c>
      <c r="B49" s="35">
        <v>72607920</v>
      </c>
    </row>
    <row r="50" spans="1:2" x14ac:dyDescent="0.25">
      <c r="A50" s="27" t="s">
        <v>69</v>
      </c>
      <c r="B50" s="35">
        <v>127678965</v>
      </c>
    </row>
    <row r="51" spans="1:2" x14ac:dyDescent="0.25">
      <c r="A51" s="27" t="s">
        <v>124</v>
      </c>
      <c r="B51" s="35"/>
    </row>
    <row r="52" spans="1:2" x14ac:dyDescent="0.25">
      <c r="A52" s="27" t="s">
        <v>80</v>
      </c>
      <c r="B52" s="35">
        <v>196777896</v>
      </c>
    </row>
    <row r="53" spans="1:2" x14ac:dyDescent="0.25">
      <c r="A53" s="27" t="s">
        <v>26</v>
      </c>
      <c r="B53" s="35">
        <v>916245230</v>
      </c>
    </row>
    <row r="54" spans="1:2" x14ac:dyDescent="0.25">
      <c r="A54" s="27" t="s">
        <v>45</v>
      </c>
      <c r="B54" s="35">
        <v>82009588</v>
      </c>
    </row>
    <row r="55" spans="1:2" x14ac:dyDescent="0.25">
      <c r="A55" s="27" t="s">
        <v>27</v>
      </c>
      <c r="B55" s="35">
        <v>1325365615</v>
      </c>
    </row>
    <row r="56" spans="1:2" x14ac:dyDescent="0.25">
      <c r="A56" s="27" t="s">
        <v>97</v>
      </c>
      <c r="B56" s="35">
        <v>11910595</v>
      </c>
    </row>
    <row r="57" spans="1:2" x14ac:dyDescent="0.25">
      <c r="A57" s="27" t="s">
        <v>96</v>
      </c>
      <c r="B57" s="35">
        <v>1084561346</v>
      </c>
    </row>
    <row r="58" spans="1:2" x14ac:dyDescent="0.25">
      <c r="A58" s="27" t="s">
        <v>81</v>
      </c>
      <c r="B58" s="35">
        <v>420176</v>
      </c>
    </row>
    <row r="59" spans="1:2" x14ac:dyDescent="0.25">
      <c r="A59" s="27" t="s">
        <v>98</v>
      </c>
      <c r="B59" s="35">
        <v>2467895434</v>
      </c>
    </row>
    <row r="60" spans="1:2" x14ac:dyDescent="0.25">
      <c r="A60" s="27" t="s">
        <v>28</v>
      </c>
      <c r="B60" s="35">
        <v>1482691684</v>
      </c>
    </row>
    <row r="61" spans="1:2" x14ac:dyDescent="0.25">
      <c r="A61" s="27" t="s">
        <v>129</v>
      </c>
      <c r="B61" s="35">
        <v>171731000.89147258</v>
      </c>
    </row>
    <row r="62" spans="1:2" x14ac:dyDescent="0.25">
      <c r="A62" s="27" t="s">
        <v>110</v>
      </c>
      <c r="B62" s="35">
        <v>448160577.39000005</v>
      </c>
    </row>
    <row r="63" spans="1:2" x14ac:dyDescent="0.25">
      <c r="A63" s="27" t="s">
        <v>111</v>
      </c>
      <c r="B63" s="35">
        <v>269763677.92000002</v>
      </c>
    </row>
    <row r="64" spans="1:2" x14ac:dyDescent="0.25">
      <c r="A64" s="27" t="s">
        <v>112</v>
      </c>
      <c r="B64" s="35">
        <v>319339583.22000003</v>
      </c>
    </row>
    <row r="65" spans="1:2" x14ac:dyDescent="0.25">
      <c r="A65" s="27" t="s">
        <v>122</v>
      </c>
      <c r="B65" s="35">
        <v>221605980.63</v>
      </c>
    </row>
    <row r="66" spans="1:2" x14ac:dyDescent="0.25">
      <c r="A66" s="27" t="s">
        <v>123</v>
      </c>
      <c r="B66" s="35">
        <v>242841702.40000001</v>
      </c>
    </row>
    <row r="67" spans="1:2" x14ac:dyDescent="0.25">
      <c r="A67" s="27" t="s">
        <v>139</v>
      </c>
      <c r="B67" s="35">
        <v>209299483.72999999</v>
      </c>
    </row>
    <row r="68" spans="1:2" x14ac:dyDescent="0.25">
      <c r="A68" s="27" t="s">
        <v>8</v>
      </c>
      <c r="B68" s="35">
        <v>53697902</v>
      </c>
    </row>
    <row r="69" spans="1:2" x14ac:dyDescent="0.25">
      <c r="A69" s="27" t="s">
        <v>40</v>
      </c>
      <c r="B69" s="35">
        <v>101922</v>
      </c>
    </row>
    <row r="70" spans="1:2" x14ac:dyDescent="0.25">
      <c r="A70" s="27" t="s">
        <v>9</v>
      </c>
      <c r="B70" s="35">
        <v>180400220</v>
      </c>
    </row>
    <row r="71" spans="1:2" x14ac:dyDescent="0.25">
      <c r="A71" s="27" t="s">
        <v>10</v>
      </c>
      <c r="B71" s="35">
        <v>201427977</v>
      </c>
    </row>
    <row r="72" spans="1:2" x14ac:dyDescent="0.25">
      <c r="A72" s="27" t="s">
        <v>113</v>
      </c>
      <c r="B72" s="35">
        <v>110011431.98</v>
      </c>
    </row>
    <row r="73" spans="1:2" x14ac:dyDescent="0.25">
      <c r="A73" s="27" t="s">
        <v>114</v>
      </c>
      <c r="B73" s="35">
        <v>32627953.670000002</v>
      </c>
    </row>
    <row r="74" spans="1:2" x14ac:dyDescent="0.25">
      <c r="A74" s="27" t="s">
        <v>11</v>
      </c>
      <c r="B74" s="35">
        <v>14833128</v>
      </c>
    </row>
    <row r="75" spans="1:2" x14ac:dyDescent="0.25">
      <c r="A75" s="27" t="s">
        <v>12</v>
      </c>
      <c r="B75" s="35">
        <v>8001784</v>
      </c>
    </row>
    <row r="76" spans="1:2" x14ac:dyDescent="0.25">
      <c r="A76" s="27" t="s">
        <v>13</v>
      </c>
      <c r="B76" s="35">
        <v>7805418</v>
      </c>
    </row>
    <row r="77" spans="1:2" x14ac:dyDescent="0.25">
      <c r="A77" s="27" t="s">
        <v>14</v>
      </c>
      <c r="B77" s="35">
        <v>11547836</v>
      </c>
    </row>
    <row r="78" spans="1:2" x14ac:dyDescent="0.25">
      <c r="A78" s="27" t="s">
        <v>15</v>
      </c>
      <c r="B78" s="35">
        <v>10779892</v>
      </c>
    </row>
    <row r="79" spans="1:2" x14ac:dyDescent="0.25">
      <c r="A79" s="27" t="s">
        <v>82</v>
      </c>
      <c r="B79" s="35">
        <v>26411077</v>
      </c>
    </row>
    <row r="80" spans="1:2" x14ac:dyDescent="0.25">
      <c r="A80" s="27" t="s">
        <v>83</v>
      </c>
      <c r="B80" s="35">
        <v>4027024</v>
      </c>
    </row>
    <row r="81" spans="1:2" x14ac:dyDescent="0.25">
      <c r="A81" s="27" t="s">
        <v>22</v>
      </c>
      <c r="B81" s="35">
        <v>2043501</v>
      </c>
    </row>
    <row r="82" spans="1:2" x14ac:dyDescent="0.25">
      <c r="A82" s="27" t="s">
        <v>23</v>
      </c>
      <c r="B82" s="35">
        <v>1</v>
      </c>
    </row>
    <row r="83" spans="1:2" x14ac:dyDescent="0.25">
      <c r="A83" s="27" t="s">
        <v>24</v>
      </c>
      <c r="B83" s="35">
        <v>1</v>
      </c>
    </row>
    <row r="84" spans="1:2" x14ac:dyDescent="0.25">
      <c r="A84" s="27" t="s">
        <v>46</v>
      </c>
      <c r="B84" s="35">
        <v>72226</v>
      </c>
    </row>
    <row r="85" spans="1:2" x14ac:dyDescent="0.25">
      <c r="A85" s="27" t="s">
        <v>16</v>
      </c>
      <c r="B85" s="35">
        <v>81763</v>
      </c>
    </row>
    <row r="86" spans="1:2" x14ac:dyDescent="0.25">
      <c r="A86" s="27" t="s">
        <v>115</v>
      </c>
      <c r="B86" s="35">
        <v>37979169.439999998</v>
      </c>
    </row>
    <row r="87" spans="1:2" x14ac:dyDescent="0.25">
      <c r="A87" s="27" t="s">
        <v>116</v>
      </c>
      <c r="B87" s="35">
        <v>519270456.25</v>
      </c>
    </row>
    <row r="88" spans="1:2" x14ac:dyDescent="0.25">
      <c r="A88" s="27" t="s">
        <v>117</v>
      </c>
      <c r="B88" s="35">
        <v>25245647.760000002</v>
      </c>
    </row>
    <row r="89" spans="1:2" x14ac:dyDescent="0.25">
      <c r="A89" s="27" t="s">
        <v>118</v>
      </c>
      <c r="B89" s="35">
        <v>40729957.760000005</v>
      </c>
    </row>
    <row r="90" spans="1:2" x14ac:dyDescent="0.25">
      <c r="A90" s="27" t="s">
        <v>120</v>
      </c>
      <c r="B90" s="35">
        <v>75498601.140000001</v>
      </c>
    </row>
    <row r="91" spans="1:2" x14ac:dyDescent="0.25">
      <c r="A91" s="27" t="s">
        <v>121</v>
      </c>
      <c r="B91" s="35">
        <v>4364987.17</v>
      </c>
    </row>
    <row r="92" spans="1:2" x14ac:dyDescent="0.25">
      <c r="A92" s="27" t="s">
        <v>17</v>
      </c>
      <c r="B92" s="35">
        <v>120387781</v>
      </c>
    </row>
    <row r="93" spans="1:2" x14ac:dyDescent="0.25">
      <c r="A93" s="27" t="s">
        <v>18</v>
      </c>
      <c r="B93" s="35">
        <v>588368007</v>
      </c>
    </row>
    <row r="94" spans="1:2" x14ac:dyDescent="0.25">
      <c r="A94" s="27" t="s">
        <v>19</v>
      </c>
      <c r="B94" s="35">
        <v>102445352</v>
      </c>
    </row>
    <row r="95" spans="1:2" x14ac:dyDescent="0.25">
      <c r="A95" s="27" t="s">
        <v>20</v>
      </c>
      <c r="B95" s="35">
        <v>1715583448</v>
      </c>
    </row>
    <row r="96" spans="1:2" x14ac:dyDescent="0.25">
      <c r="A96" s="27" t="s">
        <v>21</v>
      </c>
      <c r="B96" s="35">
        <v>749828106</v>
      </c>
    </row>
    <row r="97" spans="1:2" x14ac:dyDescent="0.25">
      <c r="A97" s="27" t="s">
        <v>47</v>
      </c>
      <c r="B97" s="35">
        <v>34403712</v>
      </c>
    </row>
    <row r="98" spans="1:2" x14ac:dyDescent="0.25">
      <c r="A98" s="27" t="s">
        <v>84</v>
      </c>
      <c r="B98" s="35"/>
    </row>
    <row r="99" spans="1:2" x14ac:dyDescent="0.25">
      <c r="A99" s="27" t="s">
        <v>85</v>
      </c>
      <c r="B99" s="35">
        <v>23747464</v>
      </c>
    </row>
    <row r="100" spans="1:2" x14ac:dyDescent="0.25">
      <c r="A100" s="27" t="s">
        <v>86</v>
      </c>
      <c r="B100" s="35">
        <v>31266681</v>
      </c>
    </row>
    <row r="101" spans="1:2" x14ac:dyDescent="0.25">
      <c r="A101" s="27" t="s">
        <v>87</v>
      </c>
      <c r="B101" s="35">
        <v>48533658</v>
      </c>
    </row>
    <row r="102" spans="1:2" x14ac:dyDescent="0.25">
      <c r="A102" s="27" t="s">
        <v>88</v>
      </c>
      <c r="B102" s="35"/>
    </row>
    <row r="103" spans="1:2" x14ac:dyDescent="0.25">
      <c r="A103" s="27" t="s">
        <v>25</v>
      </c>
      <c r="B103" s="35"/>
    </row>
    <row r="104" spans="1:2" x14ac:dyDescent="0.25">
      <c r="A104" s="27" t="s">
        <v>89</v>
      </c>
      <c r="B104" s="35">
        <v>32389095</v>
      </c>
    </row>
    <row r="105" spans="1:2" x14ac:dyDescent="0.25">
      <c r="A105" s="27" t="s">
        <v>90</v>
      </c>
      <c r="B105" s="35">
        <v>163208</v>
      </c>
    </row>
    <row r="106" spans="1:2" x14ac:dyDescent="0.25">
      <c r="A106" s="27" t="s">
        <v>91</v>
      </c>
      <c r="B106" s="35">
        <v>30978416</v>
      </c>
    </row>
    <row r="107" spans="1:2" x14ac:dyDescent="0.25">
      <c r="A107" s="27" t="s">
        <v>93</v>
      </c>
      <c r="B107" s="35"/>
    </row>
    <row r="108" spans="1:2" x14ac:dyDescent="0.25">
      <c r="A108" s="27" t="s">
        <v>92</v>
      </c>
      <c r="B108" s="35"/>
    </row>
    <row r="109" spans="1:2" x14ac:dyDescent="0.25">
      <c r="A109" s="27" t="s">
        <v>94</v>
      </c>
      <c r="B109" s="35">
        <v>35281289</v>
      </c>
    </row>
    <row r="110" spans="1:2" x14ac:dyDescent="0.25">
      <c r="A110" s="27"/>
      <c r="B110" s="35"/>
    </row>
    <row r="111" spans="1:2" x14ac:dyDescent="0.25">
      <c r="A111" s="27"/>
      <c r="B111" s="35"/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11"/>
  <sheetViews>
    <sheetView workbookViewId="0">
      <selection activeCell="D4" sqref="D4"/>
    </sheetView>
  </sheetViews>
  <sheetFormatPr defaultRowHeight="15" x14ac:dyDescent="0.25"/>
  <cols>
    <col min="1" max="1" width="12.85546875" bestFit="1" customWidth="1"/>
    <col min="2" max="2" width="16.85546875" style="7" bestFit="1" customWidth="1"/>
  </cols>
  <sheetData>
    <row r="1" spans="1:4" x14ac:dyDescent="0.25">
      <c r="A1" s="26" t="s">
        <v>0</v>
      </c>
      <c r="B1" s="33" t="s">
        <v>1</v>
      </c>
    </row>
    <row r="2" spans="1:4" x14ac:dyDescent="0.25">
      <c r="B2"/>
    </row>
    <row r="3" spans="1:4" x14ac:dyDescent="0.25">
      <c r="A3" s="27" t="s">
        <v>48</v>
      </c>
      <c r="B3" s="39">
        <v>313907884</v>
      </c>
    </row>
    <row r="4" spans="1:4" x14ac:dyDescent="0.25">
      <c r="A4" s="27" t="s">
        <v>49</v>
      </c>
      <c r="B4" s="39">
        <v>69565861</v>
      </c>
      <c r="D4" t="s">
        <v>242</v>
      </c>
    </row>
    <row r="5" spans="1:4" x14ac:dyDescent="0.25">
      <c r="A5" s="27" t="s">
        <v>50</v>
      </c>
      <c r="B5" s="39">
        <v>43243210</v>
      </c>
    </row>
    <row r="6" spans="1:4" x14ac:dyDescent="0.25">
      <c r="A6" s="27" t="s">
        <v>95</v>
      </c>
      <c r="B6" s="39">
        <v>106340511</v>
      </c>
    </row>
    <row r="7" spans="1:4" x14ac:dyDescent="0.25">
      <c r="A7" s="27" t="s">
        <v>2</v>
      </c>
      <c r="B7" s="39">
        <v>1368657</v>
      </c>
    </row>
    <row r="8" spans="1:4" x14ac:dyDescent="0.25">
      <c r="A8" s="27" t="s">
        <v>3</v>
      </c>
      <c r="B8" s="39">
        <v>195278</v>
      </c>
    </row>
    <row r="9" spans="1:4" x14ac:dyDescent="0.25">
      <c r="A9" s="27" t="s">
        <v>29</v>
      </c>
      <c r="B9" s="39">
        <v>584491487</v>
      </c>
    </row>
    <row r="10" spans="1:4" x14ac:dyDescent="0.25">
      <c r="A10" s="27" t="s">
        <v>140</v>
      </c>
      <c r="B10" s="35">
        <v>94406488.318242401</v>
      </c>
    </row>
    <row r="11" spans="1:4" x14ac:dyDescent="0.25">
      <c r="A11" s="27" t="s">
        <v>4</v>
      </c>
      <c r="B11" s="39">
        <v>2674</v>
      </c>
    </row>
    <row r="12" spans="1:4" x14ac:dyDescent="0.25">
      <c r="A12" s="27" t="s">
        <v>5</v>
      </c>
      <c r="B12" s="39">
        <v>245305</v>
      </c>
    </row>
    <row r="13" spans="1:4" x14ac:dyDescent="0.25">
      <c r="A13" s="27" t="s">
        <v>30</v>
      </c>
      <c r="B13" s="39">
        <v>1490268658</v>
      </c>
    </row>
    <row r="14" spans="1:4" x14ac:dyDescent="0.25">
      <c r="A14" s="27" t="s">
        <v>141</v>
      </c>
      <c r="B14" s="39">
        <v>94406484.268671945</v>
      </c>
    </row>
    <row r="15" spans="1:4" x14ac:dyDescent="0.25">
      <c r="A15" s="27" t="s">
        <v>6</v>
      </c>
      <c r="B15" s="39">
        <v>272719</v>
      </c>
    </row>
    <row r="16" spans="1:4" x14ac:dyDescent="0.25">
      <c r="A16" s="27" t="s">
        <v>7</v>
      </c>
      <c r="B16" s="39">
        <v>23032</v>
      </c>
    </row>
    <row r="17" spans="1:2" x14ac:dyDescent="0.25">
      <c r="A17" s="27" t="s">
        <v>55</v>
      </c>
      <c r="B17" s="39">
        <v>2740429</v>
      </c>
    </row>
    <row r="18" spans="1:2" x14ac:dyDescent="0.25">
      <c r="A18" s="27" t="s">
        <v>56</v>
      </c>
      <c r="B18" s="39">
        <v>23477777</v>
      </c>
    </row>
    <row r="19" spans="1:2" x14ac:dyDescent="0.25">
      <c r="A19" s="27" t="s">
        <v>57</v>
      </c>
      <c r="B19" s="39">
        <v>1141578</v>
      </c>
    </row>
    <row r="20" spans="1:2" x14ac:dyDescent="0.25">
      <c r="A20" s="27" t="s">
        <v>103</v>
      </c>
      <c r="B20" s="39">
        <v>25872431.079999998</v>
      </c>
    </row>
    <row r="21" spans="1:2" x14ac:dyDescent="0.25">
      <c r="A21" s="27" t="s">
        <v>104</v>
      </c>
      <c r="B21" s="39">
        <v>68313634.899999991</v>
      </c>
    </row>
    <row r="22" spans="1:2" x14ac:dyDescent="0.25">
      <c r="A22" s="27" t="s">
        <v>105</v>
      </c>
      <c r="B22" s="39">
        <v>215409915.84999999</v>
      </c>
    </row>
    <row r="23" spans="1:2" x14ac:dyDescent="0.25">
      <c r="A23" s="27" t="s">
        <v>106</v>
      </c>
      <c r="B23" s="39">
        <v>181453540.13999999</v>
      </c>
    </row>
    <row r="24" spans="1:2" x14ac:dyDescent="0.25">
      <c r="A24" s="27" t="s">
        <v>107</v>
      </c>
      <c r="B24" s="39">
        <v>220846706.94999999</v>
      </c>
    </row>
    <row r="25" spans="1:2" x14ac:dyDescent="0.25">
      <c r="A25" s="27" t="s">
        <v>108</v>
      </c>
      <c r="B25" s="39">
        <v>64096048.57</v>
      </c>
    </row>
    <row r="26" spans="1:2" x14ac:dyDescent="0.25">
      <c r="A26" s="27" t="s">
        <v>109</v>
      </c>
      <c r="B26" s="39">
        <v>266610250.54000002</v>
      </c>
    </row>
    <row r="27" spans="1:2" x14ac:dyDescent="0.25">
      <c r="A27" s="27" t="s">
        <v>99</v>
      </c>
      <c r="B27" s="39">
        <v>88633694.409999996</v>
      </c>
    </row>
    <row r="28" spans="1:2" x14ac:dyDescent="0.25">
      <c r="A28" s="27" t="s">
        <v>100</v>
      </c>
      <c r="B28" s="39">
        <v>199953486.59</v>
      </c>
    </row>
    <row r="29" spans="1:2" x14ac:dyDescent="0.25">
      <c r="A29" s="27" t="s">
        <v>101</v>
      </c>
      <c r="B29" s="40">
        <v>581994418.87</v>
      </c>
    </row>
    <row r="30" spans="1:2" x14ac:dyDescent="0.25">
      <c r="A30" s="27" t="s">
        <v>102</v>
      </c>
      <c r="B30" s="37">
        <v>462696347</v>
      </c>
    </row>
    <row r="31" spans="1:2" x14ac:dyDescent="0.25">
      <c r="A31" s="27" t="s">
        <v>125</v>
      </c>
      <c r="B31" s="35">
        <v>7611783673</v>
      </c>
    </row>
    <row r="32" spans="1:2" x14ac:dyDescent="0.25">
      <c r="A32" s="38" t="s">
        <v>31</v>
      </c>
      <c r="B32" s="7">
        <v>3424293</v>
      </c>
    </row>
    <row r="33" spans="1:2" x14ac:dyDescent="0.25">
      <c r="A33" s="27" t="s">
        <v>32</v>
      </c>
      <c r="B33" s="35">
        <v>375128</v>
      </c>
    </row>
    <row r="34" spans="1:2" x14ac:dyDescent="0.25">
      <c r="A34" s="27" t="s">
        <v>33</v>
      </c>
      <c r="B34" s="35">
        <v>6374837</v>
      </c>
    </row>
    <row r="35" spans="1:2" x14ac:dyDescent="0.25">
      <c r="A35" s="27" t="s">
        <v>34</v>
      </c>
      <c r="B35" s="35">
        <v>250433</v>
      </c>
    </row>
    <row r="36" spans="1:2" x14ac:dyDescent="0.25">
      <c r="A36" s="27" t="s">
        <v>35</v>
      </c>
      <c r="B36" s="35">
        <v>551862</v>
      </c>
    </row>
    <row r="37" spans="1:2" x14ac:dyDescent="0.25">
      <c r="A37" s="27" t="s">
        <v>36</v>
      </c>
      <c r="B37" s="35">
        <v>394813</v>
      </c>
    </row>
    <row r="38" spans="1:2" x14ac:dyDescent="0.25">
      <c r="A38" s="27" t="s">
        <v>37</v>
      </c>
      <c r="B38" s="35">
        <v>174834</v>
      </c>
    </row>
    <row r="39" spans="1:2" x14ac:dyDescent="0.25">
      <c r="A39" s="27" t="s">
        <v>38</v>
      </c>
      <c r="B39" s="35">
        <v>206449</v>
      </c>
    </row>
    <row r="40" spans="1:2" x14ac:dyDescent="0.25">
      <c r="A40" s="27" t="s">
        <v>39</v>
      </c>
      <c r="B40" s="35">
        <v>643258</v>
      </c>
    </row>
    <row r="41" spans="1:2" x14ac:dyDescent="0.25">
      <c r="A41" s="27" t="s">
        <v>41</v>
      </c>
      <c r="B41" s="35">
        <v>302586</v>
      </c>
    </row>
    <row r="42" spans="1:2" x14ac:dyDescent="0.25">
      <c r="A42" s="27" t="s">
        <v>42</v>
      </c>
      <c r="B42" s="35">
        <v>16213</v>
      </c>
    </row>
    <row r="43" spans="1:2" x14ac:dyDescent="0.25">
      <c r="A43" s="27" t="s">
        <v>43</v>
      </c>
      <c r="B43" s="35">
        <v>48870</v>
      </c>
    </row>
    <row r="44" spans="1:2" x14ac:dyDescent="0.25">
      <c r="A44" s="27" t="s">
        <v>44</v>
      </c>
      <c r="B44" s="35">
        <v>51260456</v>
      </c>
    </row>
    <row r="45" spans="1:2" x14ac:dyDescent="0.25">
      <c r="A45" s="27" t="s">
        <v>64</v>
      </c>
      <c r="B45" s="35">
        <v>408040</v>
      </c>
    </row>
    <row r="46" spans="1:2" x14ac:dyDescent="0.25">
      <c r="A46" s="27" t="s">
        <v>65</v>
      </c>
      <c r="B46" s="35">
        <v>15637688</v>
      </c>
    </row>
    <row r="47" spans="1:2" x14ac:dyDescent="0.25">
      <c r="A47" s="27" t="s">
        <v>66</v>
      </c>
      <c r="B47" s="35">
        <v>2118006</v>
      </c>
    </row>
    <row r="48" spans="1:2" x14ac:dyDescent="0.25">
      <c r="A48" s="27" t="s">
        <v>67</v>
      </c>
      <c r="B48" s="35">
        <v>100002286</v>
      </c>
    </row>
    <row r="49" spans="1:2" x14ac:dyDescent="0.25">
      <c r="A49" s="27" t="s">
        <v>68</v>
      </c>
      <c r="B49" s="35">
        <v>71974298</v>
      </c>
    </row>
    <row r="50" spans="1:2" x14ac:dyDescent="0.25">
      <c r="A50" s="27" t="s">
        <v>69</v>
      </c>
      <c r="B50" s="35">
        <v>126132106</v>
      </c>
    </row>
    <row r="51" spans="1:2" x14ac:dyDescent="0.25">
      <c r="A51" s="27" t="s">
        <v>124</v>
      </c>
      <c r="B51" s="35"/>
    </row>
    <row r="52" spans="1:2" x14ac:dyDescent="0.25">
      <c r="A52" s="27" t="s">
        <v>80</v>
      </c>
      <c r="B52" s="35">
        <v>195938655</v>
      </c>
    </row>
    <row r="53" spans="1:2" x14ac:dyDescent="0.25">
      <c r="A53" s="27" t="s">
        <v>26</v>
      </c>
      <c r="B53" s="35">
        <v>927179178</v>
      </c>
    </row>
    <row r="54" spans="1:2" x14ac:dyDescent="0.25">
      <c r="A54" s="27" t="s">
        <v>45</v>
      </c>
      <c r="B54" s="35">
        <v>83296332</v>
      </c>
    </row>
    <row r="55" spans="1:2" x14ac:dyDescent="0.25">
      <c r="A55" s="27" t="s">
        <v>27</v>
      </c>
      <c r="B55" s="35">
        <v>1346764167</v>
      </c>
    </row>
    <row r="56" spans="1:2" x14ac:dyDescent="0.25">
      <c r="A56" s="27" t="s">
        <v>97</v>
      </c>
      <c r="B56" s="35">
        <v>11839376</v>
      </c>
    </row>
    <row r="57" spans="1:2" x14ac:dyDescent="0.25">
      <c r="A57" s="27" t="s">
        <v>96</v>
      </c>
      <c r="B57" s="35">
        <v>1052744017</v>
      </c>
    </row>
    <row r="58" spans="1:2" x14ac:dyDescent="0.25">
      <c r="A58" s="27" t="s">
        <v>81</v>
      </c>
      <c r="B58" s="35">
        <v>428534</v>
      </c>
    </row>
    <row r="59" spans="1:2" x14ac:dyDescent="0.25">
      <c r="A59" s="27" t="s">
        <v>98</v>
      </c>
      <c r="B59" s="35">
        <v>2422206722</v>
      </c>
    </row>
    <row r="60" spans="1:2" x14ac:dyDescent="0.25">
      <c r="A60" s="27" t="s">
        <v>28</v>
      </c>
      <c r="B60" s="35">
        <v>1489158533</v>
      </c>
    </row>
    <row r="61" spans="1:2" x14ac:dyDescent="0.25">
      <c r="A61" s="27" t="s">
        <v>129</v>
      </c>
      <c r="B61" s="35">
        <v>171526231.07578522</v>
      </c>
    </row>
    <row r="62" spans="1:2" x14ac:dyDescent="0.25">
      <c r="A62" s="27" t="s">
        <v>110</v>
      </c>
      <c r="B62" s="35">
        <v>450936436.58000004</v>
      </c>
    </row>
    <row r="63" spans="1:2" x14ac:dyDescent="0.25">
      <c r="A63" s="27" t="s">
        <v>111</v>
      </c>
      <c r="B63" s="35">
        <v>271277701.69</v>
      </c>
    </row>
    <row r="64" spans="1:2" x14ac:dyDescent="0.25">
      <c r="A64" s="27" t="s">
        <v>112</v>
      </c>
      <c r="B64" s="35">
        <v>321351221.07999998</v>
      </c>
    </row>
    <row r="65" spans="1:2" x14ac:dyDescent="0.25">
      <c r="A65" s="27" t="s">
        <v>122</v>
      </c>
      <c r="B65" s="35">
        <v>222176426.16</v>
      </c>
    </row>
    <row r="66" spans="1:2" x14ac:dyDescent="0.25">
      <c r="A66" s="27" t="s">
        <v>123</v>
      </c>
      <c r="B66" s="35">
        <v>243215519.36000001</v>
      </c>
    </row>
    <row r="67" spans="1:2" x14ac:dyDescent="0.25">
      <c r="A67" s="27" t="s">
        <v>139</v>
      </c>
      <c r="B67" s="35">
        <v>209928108.80000001</v>
      </c>
    </row>
    <row r="68" spans="1:2" x14ac:dyDescent="0.25">
      <c r="A68" s="27" t="s">
        <v>8</v>
      </c>
      <c r="B68" s="35">
        <v>53071379</v>
      </c>
    </row>
    <row r="69" spans="1:2" x14ac:dyDescent="0.25">
      <c r="A69" s="27" t="s">
        <v>40</v>
      </c>
      <c r="B69" s="35">
        <v>101859</v>
      </c>
    </row>
    <row r="70" spans="1:2" x14ac:dyDescent="0.25">
      <c r="A70" s="27" t="s">
        <v>9</v>
      </c>
      <c r="B70" s="35">
        <v>180984280</v>
      </c>
    </row>
    <row r="71" spans="1:2" x14ac:dyDescent="0.25">
      <c r="A71" s="27" t="s">
        <v>10</v>
      </c>
      <c r="B71" s="35">
        <v>200258191</v>
      </c>
    </row>
    <row r="72" spans="1:2" x14ac:dyDescent="0.25">
      <c r="A72" s="27" t="s">
        <v>113</v>
      </c>
      <c r="B72" s="35">
        <v>110011431.98</v>
      </c>
    </row>
    <row r="73" spans="1:2" x14ac:dyDescent="0.25">
      <c r="A73" s="27" t="s">
        <v>114</v>
      </c>
      <c r="B73" s="35">
        <v>33454332.510000002</v>
      </c>
    </row>
    <row r="74" spans="1:2" x14ac:dyDescent="0.25">
      <c r="A74" s="27" t="s">
        <v>11</v>
      </c>
      <c r="B74" s="35">
        <v>14960871</v>
      </c>
    </row>
    <row r="75" spans="1:2" x14ac:dyDescent="0.25">
      <c r="A75" s="27" t="s">
        <v>12</v>
      </c>
      <c r="B75" s="35">
        <v>8010347</v>
      </c>
    </row>
    <row r="76" spans="1:2" x14ac:dyDescent="0.25">
      <c r="A76" s="27" t="s">
        <v>13</v>
      </c>
      <c r="B76" s="35">
        <v>7808708</v>
      </c>
    </row>
    <row r="77" spans="1:2" x14ac:dyDescent="0.25">
      <c r="A77" s="27" t="s">
        <v>14</v>
      </c>
      <c r="B77" s="35">
        <v>11559787</v>
      </c>
    </row>
    <row r="78" spans="1:2" x14ac:dyDescent="0.25">
      <c r="A78" s="27" t="s">
        <v>15</v>
      </c>
      <c r="B78" s="35">
        <v>10814429</v>
      </c>
    </row>
    <row r="79" spans="1:2" x14ac:dyDescent="0.25">
      <c r="A79" s="27" t="s">
        <v>82</v>
      </c>
      <c r="B79" s="35">
        <v>26122567</v>
      </c>
    </row>
    <row r="80" spans="1:2" x14ac:dyDescent="0.25">
      <c r="A80" s="27" t="s">
        <v>83</v>
      </c>
      <c r="B80" s="35">
        <v>3977349</v>
      </c>
    </row>
    <row r="81" spans="1:2" x14ac:dyDescent="0.25">
      <c r="A81" s="27" t="s">
        <v>22</v>
      </c>
      <c r="B81" s="35">
        <v>2047370</v>
      </c>
    </row>
    <row r="82" spans="1:2" x14ac:dyDescent="0.25">
      <c r="A82" s="27" t="s">
        <v>23</v>
      </c>
      <c r="B82" s="35">
        <v>1</v>
      </c>
    </row>
    <row r="83" spans="1:2" x14ac:dyDescent="0.25">
      <c r="A83" s="27" t="s">
        <v>24</v>
      </c>
      <c r="B83" s="35">
        <v>1</v>
      </c>
    </row>
    <row r="84" spans="1:2" x14ac:dyDescent="0.25">
      <c r="A84" s="27" t="s">
        <v>46</v>
      </c>
      <c r="B84" s="35">
        <v>71873</v>
      </c>
    </row>
    <row r="85" spans="1:2" x14ac:dyDescent="0.25">
      <c r="A85" s="27" t="s">
        <v>16</v>
      </c>
      <c r="B85" s="35">
        <v>81548</v>
      </c>
    </row>
    <row r="86" spans="1:2" x14ac:dyDescent="0.25">
      <c r="A86" s="27" t="s">
        <v>115</v>
      </c>
      <c r="B86" s="35">
        <v>38302697.240000002</v>
      </c>
    </row>
    <row r="87" spans="1:2" x14ac:dyDescent="0.25">
      <c r="A87" s="27" t="s">
        <v>116</v>
      </c>
      <c r="B87" s="35">
        <v>527685611.25999999</v>
      </c>
    </row>
    <row r="88" spans="1:2" x14ac:dyDescent="0.25">
      <c r="A88" s="27" t="s">
        <v>117</v>
      </c>
      <c r="B88" s="35">
        <v>25760366.780000001</v>
      </c>
    </row>
    <row r="89" spans="1:2" x14ac:dyDescent="0.25">
      <c r="A89" s="27" t="s">
        <v>118</v>
      </c>
      <c r="B89" s="35">
        <v>41532183.829999998</v>
      </c>
    </row>
    <row r="90" spans="1:2" x14ac:dyDescent="0.25">
      <c r="A90" s="27" t="s">
        <v>120</v>
      </c>
      <c r="B90" s="35">
        <v>76682318.010000005</v>
      </c>
    </row>
    <row r="91" spans="1:2" x14ac:dyDescent="0.25">
      <c r="A91" s="27" t="s">
        <v>121</v>
      </c>
      <c r="B91" s="35">
        <v>4382917.9000000004</v>
      </c>
    </row>
    <row r="92" spans="1:2" x14ac:dyDescent="0.25">
      <c r="A92" s="27" t="s">
        <v>17</v>
      </c>
      <c r="B92" s="35">
        <v>121085110</v>
      </c>
    </row>
    <row r="93" spans="1:2" x14ac:dyDescent="0.25">
      <c r="A93" s="27" t="s">
        <v>18</v>
      </c>
      <c r="B93" s="35">
        <v>589230575</v>
      </c>
    </row>
    <row r="94" spans="1:2" x14ac:dyDescent="0.25">
      <c r="A94" s="27" t="s">
        <v>19</v>
      </c>
      <c r="B94" s="35">
        <v>103713480</v>
      </c>
    </row>
    <row r="95" spans="1:2" x14ac:dyDescent="0.25">
      <c r="A95" s="27" t="s">
        <v>20</v>
      </c>
      <c r="B95" s="35">
        <v>1723032160</v>
      </c>
    </row>
    <row r="96" spans="1:2" x14ac:dyDescent="0.25">
      <c r="A96" s="27" t="s">
        <v>21</v>
      </c>
      <c r="B96" s="35">
        <v>752143622</v>
      </c>
    </row>
    <row r="97" spans="1:2" x14ac:dyDescent="0.25">
      <c r="A97" s="27" t="s">
        <v>47</v>
      </c>
      <c r="B97" s="35">
        <v>34389914</v>
      </c>
    </row>
    <row r="98" spans="1:2" x14ac:dyDescent="0.25">
      <c r="A98" s="27" t="s">
        <v>84</v>
      </c>
      <c r="B98" s="35"/>
    </row>
    <row r="99" spans="1:2" x14ac:dyDescent="0.25">
      <c r="A99" s="27" t="s">
        <v>85</v>
      </c>
      <c r="B99" s="35">
        <v>23577914</v>
      </c>
    </row>
    <row r="100" spans="1:2" x14ac:dyDescent="0.25">
      <c r="A100" s="27" t="s">
        <v>86</v>
      </c>
      <c r="B100" s="35">
        <v>30912916</v>
      </c>
    </row>
    <row r="101" spans="1:2" x14ac:dyDescent="0.25">
      <c r="A101" s="27" t="s">
        <v>87</v>
      </c>
      <c r="B101" s="35">
        <v>48490975</v>
      </c>
    </row>
    <row r="102" spans="1:2" x14ac:dyDescent="0.25">
      <c r="A102" s="27" t="s">
        <v>88</v>
      </c>
      <c r="B102" s="35"/>
    </row>
    <row r="103" spans="1:2" x14ac:dyDescent="0.25">
      <c r="A103" s="27" t="s">
        <v>25</v>
      </c>
      <c r="B103" s="35"/>
    </row>
    <row r="104" spans="1:2" x14ac:dyDescent="0.25">
      <c r="A104" s="27" t="s">
        <v>89</v>
      </c>
      <c r="B104" s="35">
        <v>31876666</v>
      </c>
    </row>
    <row r="105" spans="1:2" x14ac:dyDescent="0.25">
      <c r="A105" s="27" t="s">
        <v>90</v>
      </c>
      <c r="B105" s="35">
        <v>160768</v>
      </c>
    </row>
    <row r="106" spans="1:2" x14ac:dyDescent="0.25">
      <c r="A106" s="27" t="s">
        <v>91</v>
      </c>
      <c r="B106" s="35">
        <v>30847323</v>
      </c>
    </row>
    <row r="107" spans="1:2" x14ac:dyDescent="0.25">
      <c r="A107" s="27" t="s">
        <v>93</v>
      </c>
      <c r="B107" s="35"/>
    </row>
    <row r="108" spans="1:2" x14ac:dyDescent="0.25">
      <c r="A108" s="27" t="s">
        <v>92</v>
      </c>
      <c r="B108" s="35"/>
    </row>
    <row r="109" spans="1:2" x14ac:dyDescent="0.25">
      <c r="A109" s="27" t="s">
        <v>94</v>
      </c>
      <c r="B109" s="35">
        <v>35072401</v>
      </c>
    </row>
    <row r="110" spans="1:2" x14ac:dyDescent="0.25">
      <c r="A110" s="27"/>
      <c r="B110" s="35"/>
    </row>
    <row r="111" spans="1:2" x14ac:dyDescent="0.25">
      <c r="A111" s="27"/>
      <c r="B111" s="35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11"/>
  <sheetViews>
    <sheetView workbookViewId="0">
      <selection sqref="A1:B1048576"/>
    </sheetView>
  </sheetViews>
  <sheetFormatPr defaultRowHeight="15" x14ac:dyDescent="0.25"/>
  <cols>
    <col min="1" max="1" width="12.85546875" bestFit="1" customWidth="1"/>
    <col min="2" max="2" width="16.85546875" style="7" bestFit="1" customWidth="1"/>
  </cols>
  <sheetData>
    <row r="1" spans="1:2" x14ac:dyDescent="0.25">
      <c r="A1" s="26" t="s">
        <v>0</v>
      </c>
      <c r="B1" s="33" t="s">
        <v>1</v>
      </c>
    </row>
    <row r="2" spans="1:2" x14ac:dyDescent="0.25">
      <c r="B2"/>
    </row>
    <row r="3" spans="1:2" x14ac:dyDescent="0.25">
      <c r="A3" s="27" t="s">
        <v>48</v>
      </c>
      <c r="B3" s="35">
        <v>318117391</v>
      </c>
    </row>
    <row r="4" spans="1:2" x14ac:dyDescent="0.25">
      <c r="A4" s="27" t="s">
        <v>49</v>
      </c>
      <c r="B4" s="35">
        <v>70137771</v>
      </c>
    </row>
    <row r="5" spans="1:2" x14ac:dyDescent="0.25">
      <c r="A5" s="27" t="s">
        <v>50</v>
      </c>
      <c r="B5" s="35">
        <v>43218220</v>
      </c>
    </row>
    <row r="6" spans="1:2" x14ac:dyDescent="0.25">
      <c r="A6" s="27" t="s">
        <v>95</v>
      </c>
      <c r="B6" s="35">
        <v>106308325</v>
      </c>
    </row>
    <row r="7" spans="1:2" x14ac:dyDescent="0.25">
      <c r="A7" s="27" t="s">
        <v>2</v>
      </c>
      <c r="B7" s="35">
        <v>1406699</v>
      </c>
    </row>
    <row r="8" spans="1:2" x14ac:dyDescent="0.25">
      <c r="A8" s="27" t="s">
        <v>3</v>
      </c>
      <c r="B8" s="35">
        <v>195968</v>
      </c>
    </row>
    <row r="9" spans="1:2" x14ac:dyDescent="0.25">
      <c r="A9" s="27" t="s">
        <v>29</v>
      </c>
      <c r="B9" s="35">
        <v>585459607</v>
      </c>
    </row>
    <row r="10" spans="1:2" x14ac:dyDescent="0.25">
      <c r="A10" s="27" t="s">
        <v>140</v>
      </c>
      <c r="B10" s="35">
        <v>94232578.560000002</v>
      </c>
    </row>
    <row r="11" spans="1:2" x14ac:dyDescent="0.25">
      <c r="A11" s="27" t="s">
        <v>4</v>
      </c>
      <c r="B11" s="35">
        <v>2653</v>
      </c>
    </row>
    <row r="12" spans="1:2" x14ac:dyDescent="0.25">
      <c r="A12" s="27" t="s">
        <v>5</v>
      </c>
      <c r="B12" s="35">
        <v>243966</v>
      </c>
    </row>
    <row r="13" spans="1:2" x14ac:dyDescent="0.25">
      <c r="A13" s="27" t="s">
        <v>30</v>
      </c>
      <c r="B13" s="35">
        <v>1496497558</v>
      </c>
    </row>
    <row r="14" spans="1:2" x14ac:dyDescent="0.25">
      <c r="A14" s="27" t="s">
        <v>141</v>
      </c>
      <c r="B14" s="35">
        <v>94223577.569999993</v>
      </c>
    </row>
    <row r="15" spans="1:2" x14ac:dyDescent="0.25">
      <c r="A15" s="27" t="s">
        <v>6</v>
      </c>
      <c r="B15" s="35">
        <v>274474</v>
      </c>
    </row>
    <row r="16" spans="1:2" x14ac:dyDescent="0.25">
      <c r="A16" s="27" t="s">
        <v>7</v>
      </c>
      <c r="B16" s="35">
        <v>23025</v>
      </c>
    </row>
    <row r="17" spans="1:2" x14ac:dyDescent="0.25">
      <c r="A17" s="27" t="s">
        <v>55</v>
      </c>
      <c r="B17" s="35">
        <v>2734759</v>
      </c>
    </row>
    <row r="18" spans="1:2" x14ac:dyDescent="0.25">
      <c r="A18" s="27" t="s">
        <v>56</v>
      </c>
      <c r="B18" s="35">
        <v>23362847</v>
      </c>
    </row>
    <row r="19" spans="1:2" x14ac:dyDescent="0.25">
      <c r="A19" s="27" t="s">
        <v>57</v>
      </c>
      <c r="B19" s="35">
        <v>1141162</v>
      </c>
    </row>
    <row r="20" spans="1:2" x14ac:dyDescent="0.25">
      <c r="A20" s="27" t="s">
        <v>103</v>
      </c>
      <c r="B20" s="35">
        <v>25844391.940000001</v>
      </c>
    </row>
    <row r="21" spans="1:2" x14ac:dyDescent="0.25">
      <c r="A21" s="27" t="s">
        <v>104</v>
      </c>
      <c r="B21" s="35">
        <v>69070883.409999996</v>
      </c>
    </row>
    <row r="22" spans="1:2" x14ac:dyDescent="0.25">
      <c r="A22" s="27" t="s">
        <v>105</v>
      </c>
      <c r="B22" s="35">
        <v>215008947.30000001</v>
      </c>
    </row>
    <row r="23" spans="1:2" x14ac:dyDescent="0.25">
      <c r="A23" s="27" t="s">
        <v>106</v>
      </c>
      <c r="B23" s="35">
        <v>180028529.90000001</v>
      </c>
    </row>
    <row r="24" spans="1:2" x14ac:dyDescent="0.25">
      <c r="A24" s="27" t="s">
        <v>107</v>
      </c>
      <c r="B24" s="35">
        <v>219142511.30000001</v>
      </c>
    </row>
    <row r="25" spans="1:2" x14ac:dyDescent="0.25">
      <c r="A25" s="27" t="s">
        <v>108</v>
      </c>
      <c r="B25" s="35">
        <v>64165462.479999997</v>
      </c>
    </row>
    <row r="26" spans="1:2" x14ac:dyDescent="0.25">
      <c r="A26" s="27" t="s">
        <v>109</v>
      </c>
      <c r="B26" s="35">
        <v>267877224.69999999</v>
      </c>
    </row>
    <row r="27" spans="1:2" x14ac:dyDescent="0.25">
      <c r="A27" s="27" t="s">
        <v>99</v>
      </c>
      <c r="B27" s="35">
        <v>88952647.25</v>
      </c>
    </row>
    <row r="28" spans="1:2" x14ac:dyDescent="0.25">
      <c r="A28" s="27" t="s">
        <v>100</v>
      </c>
      <c r="B28" s="35">
        <v>205283337.30000001</v>
      </c>
    </row>
    <row r="29" spans="1:2" x14ac:dyDescent="0.25">
      <c r="A29" s="27" t="s">
        <v>101</v>
      </c>
      <c r="B29" s="37">
        <v>524505999.30000001</v>
      </c>
    </row>
    <row r="30" spans="1:2" x14ac:dyDescent="0.25">
      <c r="A30" s="27" t="s">
        <v>102</v>
      </c>
      <c r="B30" s="37">
        <v>462696347</v>
      </c>
    </row>
    <row r="31" spans="1:2" x14ac:dyDescent="0.25">
      <c r="A31" s="27" t="s">
        <v>125</v>
      </c>
      <c r="B31" s="35">
        <v>7697536475</v>
      </c>
    </row>
    <row r="32" spans="1:2" x14ac:dyDescent="0.25">
      <c r="A32" s="38" t="s">
        <v>31</v>
      </c>
      <c r="B32" s="7">
        <v>3486990</v>
      </c>
    </row>
    <row r="33" spans="1:2" x14ac:dyDescent="0.25">
      <c r="A33" s="27" t="s">
        <v>32</v>
      </c>
      <c r="B33" s="35">
        <v>374426</v>
      </c>
    </row>
    <row r="34" spans="1:2" x14ac:dyDescent="0.25">
      <c r="A34" s="27" t="s">
        <v>33</v>
      </c>
      <c r="B34" s="35">
        <v>6367425</v>
      </c>
    </row>
    <row r="35" spans="1:2" x14ac:dyDescent="0.25">
      <c r="A35" s="27" t="s">
        <v>34</v>
      </c>
      <c r="B35" s="35">
        <v>255013</v>
      </c>
    </row>
    <row r="36" spans="1:2" x14ac:dyDescent="0.25">
      <c r="A36" s="27" t="s">
        <v>35</v>
      </c>
      <c r="B36" s="35">
        <v>554311</v>
      </c>
    </row>
    <row r="37" spans="1:2" x14ac:dyDescent="0.25">
      <c r="A37" s="27" t="s">
        <v>36</v>
      </c>
      <c r="B37" s="35">
        <v>393743</v>
      </c>
    </row>
    <row r="38" spans="1:2" x14ac:dyDescent="0.25">
      <c r="A38" s="27" t="s">
        <v>37</v>
      </c>
      <c r="B38" s="35">
        <v>174414</v>
      </c>
    </row>
    <row r="39" spans="1:2" x14ac:dyDescent="0.25">
      <c r="A39" s="27" t="s">
        <v>38</v>
      </c>
      <c r="B39" s="35">
        <v>201433</v>
      </c>
    </row>
    <row r="40" spans="1:2" x14ac:dyDescent="0.25">
      <c r="A40" s="27" t="s">
        <v>39</v>
      </c>
      <c r="B40" s="35">
        <v>641915</v>
      </c>
    </row>
    <row r="41" spans="1:2" x14ac:dyDescent="0.25">
      <c r="A41" s="27" t="s">
        <v>41</v>
      </c>
      <c r="B41" s="35">
        <v>302070</v>
      </c>
    </row>
    <row r="42" spans="1:2" x14ac:dyDescent="0.25">
      <c r="A42" s="27" t="s">
        <v>42</v>
      </c>
      <c r="B42" s="35">
        <v>16187</v>
      </c>
    </row>
    <row r="43" spans="1:2" x14ac:dyDescent="0.25">
      <c r="A43" s="27" t="s">
        <v>43</v>
      </c>
      <c r="B43" s="35">
        <v>48756</v>
      </c>
    </row>
    <row r="44" spans="1:2" x14ac:dyDescent="0.25">
      <c r="A44" s="27" t="s">
        <v>44</v>
      </c>
      <c r="B44" s="35">
        <v>51345784</v>
      </c>
    </row>
    <row r="45" spans="1:2" x14ac:dyDescent="0.25">
      <c r="A45" s="27" t="s">
        <v>64</v>
      </c>
      <c r="B45" s="35">
        <v>406865</v>
      </c>
    </row>
    <row r="46" spans="1:2" x14ac:dyDescent="0.25">
      <c r="A46" s="27" t="s">
        <v>65</v>
      </c>
      <c r="B46" s="35">
        <v>15574346</v>
      </c>
    </row>
    <row r="47" spans="1:2" x14ac:dyDescent="0.25">
      <c r="A47" s="27" t="s">
        <v>66</v>
      </c>
      <c r="B47" s="35">
        <v>2110383</v>
      </c>
    </row>
    <row r="48" spans="1:2" x14ac:dyDescent="0.25">
      <c r="A48" s="27" t="s">
        <v>67</v>
      </c>
      <c r="B48" s="35">
        <v>99464500</v>
      </c>
    </row>
    <row r="49" spans="1:2" x14ac:dyDescent="0.25">
      <c r="A49" s="27" t="s">
        <v>68</v>
      </c>
      <c r="B49" s="35">
        <v>71840111</v>
      </c>
    </row>
    <row r="50" spans="1:2" x14ac:dyDescent="0.25">
      <c r="A50" s="27" t="s">
        <v>69</v>
      </c>
      <c r="B50" s="35">
        <v>124320058</v>
      </c>
    </row>
    <row r="51" spans="1:2" x14ac:dyDescent="0.25">
      <c r="A51" s="27" t="s">
        <v>124</v>
      </c>
      <c r="B51" s="35"/>
    </row>
    <row r="52" spans="1:2" x14ac:dyDescent="0.25">
      <c r="A52" s="27" t="s">
        <v>80</v>
      </c>
      <c r="B52" s="35">
        <v>194528473</v>
      </c>
    </row>
    <row r="53" spans="1:2" x14ac:dyDescent="0.25">
      <c r="A53" s="27" t="s">
        <v>26</v>
      </c>
      <c r="B53" s="35">
        <v>921105812</v>
      </c>
    </row>
    <row r="54" spans="1:2" x14ac:dyDescent="0.25">
      <c r="A54" s="27" t="s">
        <v>45</v>
      </c>
      <c r="B54" s="35">
        <v>84205948</v>
      </c>
    </row>
    <row r="55" spans="1:2" x14ac:dyDescent="0.25">
      <c r="A55" s="27" t="s">
        <v>27</v>
      </c>
      <c r="B55" s="35">
        <v>1345934804</v>
      </c>
    </row>
    <row r="56" spans="1:2" x14ac:dyDescent="0.25">
      <c r="A56" s="27" t="s">
        <v>97</v>
      </c>
      <c r="B56" s="35">
        <v>11682207</v>
      </c>
    </row>
    <row r="57" spans="1:2" x14ac:dyDescent="0.25">
      <c r="A57" s="27" t="s">
        <v>96</v>
      </c>
      <c r="B57" s="35">
        <v>1036569851</v>
      </c>
    </row>
    <row r="58" spans="1:2" x14ac:dyDescent="0.25">
      <c r="A58" s="27" t="s">
        <v>81</v>
      </c>
      <c r="B58" s="35">
        <v>426830</v>
      </c>
    </row>
    <row r="59" spans="1:2" x14ac:dyDescent="0.25">
      <c r="A59" s="27" t="s">
        <v>98</v>
      </c>
      <c r="B59" s="35">
        <v>2359392872</v>
      </c>
    </row>
    <row r="60" spans="1:2" x14ac:dyDescent="0.25">
      <c r="A60" s="27" t="s">
        <v>28</v>
      </c>
      <c r="B60" s="35">
        <v>1487659832</v>
      </c>
    </row>
    <row r="61" spans="1:2" x14ac:dyDescent="0.25">
      <c r="A61" s="27" t="s">
        <v>129</v>
      </c>
      <c r="B61" s="35">
        <v>170912711.90000001</v>
      </c>
    </row>
    <row r="62" spans="1:2" x14ac:dyDescent="0.25">
      <c r="A62" s="27" t="s">
        <v>110</v>
      </c>
      <c r="B62" s="35">
        <v>451934507</v>
      </c>
    </row>
    <row r="63" spans="1:2" x14ac:dyDescent="0.25">
      <c r="A63" s="27" t="s">
        <v>111</v>
      </c>
      <c r="B63" s="35">
        <v>271561059.30000001</v>
      </c>
    </row>
    <row r="64" spans="1:2" x14ac:dyDescent="0.25">
      <c r="A64" s="27" t="s">
        <v>112</v>
      </c>
      <c r="B64" s="35">
        <v>320247030.60000002</v>
      </c>
    </row>
    <row r="65" spans="1:2" x14ac:dyDescent="0.25">
      <c r="A65" s="27" t="s">
        <v>122</v>
      </c>
      <c r="B65" s="35">
        <v>220897879.80000001</v>
      </c>
    </row>
    <row r="66" spans="1:2" x14ac:dyDescent="0.25">
      <c r="A66" s="27" t="s">
        <v>123</v>
      </c>
      <c r="B66" s="35">
        <v>242051407.90000001</v>
      </c>
    </row>
    <row r="67" spans="1:2" x14ac:dyDescent="0.25">
      <c r="A67" s="27" t="s">
        <v>139</v>
      </c>
      <c r="B67" s="35">
        <v>209539879.69999999</v>
      </c>
    </row>
    <row r="68" spans="1:2" x14ac:dyDescent="0.25">
      <c r="A68" s="27" t="s">
        <v>8</v>
      </c>
      <c r="B68" s="35">
        <v>53036022</v>
      </c>
    </row>
    <row r="69" spans="1:2" x14ac:dyDescent="0.25">
      <c r="A69" s="27" t="s">
        <v>40</v>
      </c>
      <c r="B69" s="35">
        <v>101653</v>
      </c>
    </row>
    <row r="70" spans="1:2" x14ac:dyDescent="0.25">
      <c r="A70" s="27" t="s">
        <v>9</v>
      </c>
      <c r="B70" s="35">
        <v>181857990</v>
      </c>
    </row>
    <row r="71" spans="1:2" x14ac:dyDescent="0.25">
      <c r="A71" s="27" t="s">
        <v>10</v>
      </c>
      <c r="B71" s="35">
        <v>199940409</v>
      </c>
    </row>
    <row r="72" spans="1:2" x14ac:dyDescent="0.25">
      <c r="A72" s="27" t="s">
        <v>113</v>
      </c>
      <c r="B72" s="35">
        <v>110011432</v>
      </c>
    </row>
    <row r="73" spans="1:2" x14ac:dyDescent="0.25">
      <c r="A73" s="27" t="s">
        <v>114</v>
      </c>
      <c r="B73" s="35">
        <v>33328995.379999999</v>
      </c>
    </row>
    <row r="74" spans="1:2" x14ac:dyDescent="0.25">
      <c r="A74" s="27" t="s">
        <v>11</v>
      </c>
      <c r="B74" s="35">
        <v>14970260</v>
      </c>
    </row>
    <row r="75" spans="1:2" x14ac:dyDescent="0.25">
      <c r="A75" s="27" t="s">
        <v>12</v>
      </c>
      <c r="B75" s="35">
        <v>7985215</v>
      </c>
    </row>
    <row r="76" spans="1:2" x14ac:dyDescent="0.25">
      <c r="A76" s="27" t="s">
        <v>13</v>
      </c>
      <c r="B76" s="35">
        <v>7860675</v>
      </c>
    </row>
    <row r="77" spans="1:2" x14ac:dyDescent="0.25">
      <c r="A77" s="27" t="s">
        <v>14</v>
      </c>
      <c r="B77" s="35">
        <v>11648268</v>
      </c>
    </row>
    <row r="78" spans="1:2" x14ac:dyDescent="0.25">
      <c r="A78" s="27" t="s">
        <v>15</v>
      </c>
      <c r="B78" s="35">
        <v>10817273</v>
      </c>
    </row>
    <row r="79" spans="1:2" x14ac:dyDescent="0.25">
      <c r="A79" s="27" t="s">
        <v>82</v>
      </c>
      <c r="B79" s="35">
        <v>26232081</v>
      </c>
    </row>
    <row r="80" spans="1:2" x14ac:dyDescent="0.25">
      <c r="A80" s="27" t="s">
        <v>83</v>
      </c>
      <c r="B80" s="35">
        <v>4013202</v>
      </c>
    </row>
    <row r="81" spans="1:2" x14ac:dyDescent="0.25">
      <c r="A81" s="27" t="s">
        <v>22</v>
      </c>
      <c r="B81" s="35">
        <v>2153304</v>
      </c>
    </row>
    <row r="82" spans="1:2" x14ac:dyDescent="0.25">
      <c r="A82" s="27" t="s">
        <v>23</v>
      </c>
      <c r="B82" s="35">
        <v>1</v>
      </c>
    </row>
    <row r="83" spans="1:2" x14ac:dyDescent="0.25">
      <c r="A83" s="27" t="s">
        <v>24</v>
      </c>
      <c r="B83" s="35">
        <v>1</v>
      </c>
    </row>
    <row r="84" spans="1:2" x14ac:dyDescent="0.25">
      <c r="A84" s="27" t="s">
        <v>46</v>
      </c>
      <c r="B84" s="35">
        <v>71663</v>
      </c>
    </row>
    <row r="85" spans="1:2" x14ac:dyDescent="0.25">
      <c r="A85" s="27" t="s">
        <v>16</v>
      </c>
      <c r="B85" s="35">
        <v>81304</v>
      </c>
    </row>
    <row r="86" spans="1:2" x14ac:dyDescent="0.25">
      <c r="A86" s="27" t="s">
        <v>115</v>
      </c>
      <c r="B86" s="35">
        <v>38503095.969999999</v>
      </c>
    </row>
    <row r="87" spans="1:2" x14ac:dyDescent="0.25">
      <c r="A87" s="27" t="s">
        <v>116</v>
      </c>
      <c r="B87" s="35">
        <v>528353996.89999998</v>
      </c>
    </row>
    <row r="88" spans="1:2" x14ac:dyDescent="0.25">
      <c r="A88" s="27" t="s">
        <v>117</v>
      </c>
      <c r="B88" s="35">
        <v>26780210.989999998</v>
      </c>
    </row>
    <row r="89" spans="1:2" x14ac:dyDescent="0.25">
      <c r="A89" s="27" t="s">
        <v>118</v>
      </c>
      <c r="B89" s="35">
        <v>42417465.32</v>
      </c>
    </row>
    <row r="90" spans="1:2" x14ac:dyDescent="0.25">
      <c r="A90" s="27" t="s">
        <v>120</v>
      </c>
      <c r="B90" s="35">
        <v>77114433.840000004</v>
      </c>
    </row>
    <row r="91" spans="1:2" x14ac:dyDescent="0.25">
      <c r="A91" s="27" t="s">
        <v>121</v>
      </c>
      <c r="B91" s="35">
        <v>4332716.91</v>
      </c>
    </row>
    <row r="92" spans="1:2" x14ac:dyDescent="0.25">
      <c r="A92" s="27" t="s">
        <v>17</v>
      </c>
      <c r="B92" s="35">
        <v>121037089</v>
      </c>
    </row>
    <row r="93" spans="1:2" x14ac:dyDescent="0.25">
      <c r="A93" s="27" t="s">
        <v>18</v>
      </c>
      <c r="B93" s="35">
        <v>584544842</v>
      </c>
    </row>
    <row r="94" spans="1:2" x14ac:dyDescent="0.25">
      <c r="A94" s="27" t="s">
        <v>19</v>
      </c>
      <c r="B94" s="35">
        <v>104090855</v>
      </c>
    </row>
    <row r="95" spans="1:2" x14ac:dyDescent="0.25">
      <c r="A95" s="27" t="s">
        <v>20</v>
      </c>
      <c r="B95" s="35">
        <v>1705473325</v>
      </c>
    </row>
    <row r="96" spans="1:2" x14ac:dyDescent="0.25">
      <c r="A96" s="27" t="s">
        <v>21</v>
      </c>
      <c r="B96" s="35">
        <v>738697050</v>
      </c>
    </row>
    <row r="97" spans="1:2" x14ac:dyDescent="0.25">
      <c r="A97" s="27" t="s">
        <v>47</v>
      </c>
      <c r="B97" s="35">
        <v>34900223</v>
      </c>
    </row>
    <row r="98" spans="1:2" x14ac:dyDescent="0.25">
      <c r="A98" s="27" t="s">
        <v>84</v>
      </c>
      <c r="B98" s="35"/>
    </row>
    <row r="99" spans="1:2" x14ac:dyDescent="0.25">
      <c r="A99" s="27" t="s">
        <v>85</v>
      </c>
      <c r="B99" s="35">
        <v>23635130</v>
      </c>
    </row>
    <row r="100" spans="1:2" x14ac:dyDescent="0.25">
      <c r="A100" s="27" t="s">
        <v>86</v>
      </c>
      <c r="B100" s="35">
        <v>30872392</v>
      </c>
    </row>
    <row r="101" spans="1:2" x14ac:dyDescent="0.25">
      <c r="A101" s="27" t="s">
        <v>87</v>
      </c>
      <c r="B101" s="35">
        <v>48414928</v>
      </c>
    </row>
    <row r="102" spans="1:2" x14ac:dyDescent="0.25">
      <c r="A102" s="27" t="s">
        <v>88</v>
      </c>
      <c r="B102" s="35"/>
    </row>
    <row r="103" spans="1:2" x14ac:dyDescent="0.25">
      <c r="A103" s="27" t="s">
        <v>25</v>
      </c>
      <c r="B103" s="35"/>
    </row>
    <row r="104" spans="1:2" x14ac:dyDescent="0.25">
      <c r="A104" s="27" t="s">
        <v>89</v>
      </c>
      <c r="B104" s="35">
        <v>32012513</v>
      </c>
    </row>
    <row r="105" spans="1:2" x14ac:dyDescent="0.25">
      <c r="A105" s="27" t="s">
        <v>90</v>
      </c>
      <c r="B105" s="35">
        <v>160503</v>
      </c>
    </row>
    <row r="106" spans="1:2" x14ac:dyDescent="0.25">
      <c r="A106" s="27" t="s">
        <v>91</v>
      </c>
      <c r="B106" s="35">
        <v>30848784</v>
      </c>
    </row>
    <row r="107" spans="1:2" x14ac:dyDescent="0.25">
      <c r="A107" s="27" t="s">
        <v>93</v>
      </c>
      <c r="B107" s="35"/>
    </row>
    <row r="108" spans="1:2" x14ac:dyDescent="0.25">
      <c r="A108" s="27" t="s">
        <v>92</v>
      </c>
      <c r="B108" s="35"/>
    </row>
    <row r="109" spans="1:2" x14ac:dyDescent="0.25">
      <c r="A109" s="27" t="s">
        <v>94</v>
      </c>
      <c r="B109" s="35">
        <v>34968884</v>
      </c>
    </row>
    <row r="110" spans="1:2" x14ac:dyDescent="0.25">
      <c r="A110" s="27"/>
      <c r="B110" s="35"/>
    </row>
    <row r="111" spans="1:2" x14ac:dyDescent="0.25">
      <c r="A111" s="27"/>
      <c r="B111" s="35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09"/>
  <sheetViews>
    <sheetView workbookViewId="0">
      <selection activeCell="B44" sqref="B44"/>
    </sheetView>
  </sheetViews>
  <sheetFormatPr defaultRowHeight="15" x14ac:dyDescent="0.25"/>
  <cols>
    <col min="1" max="1" width="14.5703125" bestFit="1" customWidth="1"/>
    <col min="2" max="2" width="16.5703125" style="7" bestFit="1" customWidth="1"/>
    <col min="3" max="3" width="10.42578125" bestFit="1" customWidth="1"/>
  </cols>
  <sheetData>
    <row r="1" spans="1:3" x14ac:dyDescent="0.25">
      <c r="A1" s="28" t="s">
        <v>0</v>
      </c>
      <c r="B1" s="33" t="s">
        <v>1</v>
      </c>
      <c r="C1" s="28" t="s">
        <v>142</v>
      </c>
    </row>
    <row r="2" spans="1:3" x14ac:dyDescent="0.25">
      <c r="A2" s="29"/>
      <c r="B2" s="34"/>
      <c r="C2" s="30"/>
    </row>
    <row r="3" spans="1:3" x14ac:dyDescent="0.25">
      <c r="A3" s="31" t="s">
        <v>2</v>
      </c>
      <c r="B3" s="35">
        <v>1454625</v>
      </c>
      <c r="C3" s="32">
        <v>43278</v>
      </c>
    </row>
    <row r="4" spans="1:3" x14ac:dyDescent="0.25">
      <c r="A4" s="31" t="s">
        <v>3</v>
      </c>
      <c r="B4" s="35">
        <v>194942</v>
      </c>
      <c r="C4" s="32">
        <v>43278</v>
      </c>
    </row>
    <row r="5" spans="1:3" x14ac:dyDescent="0.25">
      <c r="A5" s="31" t="s">
        <v>4</v>
      </c>
      <c r="B5" s="35">
        <v>2637</v>
      </c>
      <c r="C5" s="32">
        <v>43278</v>
      </c>
    </row>
    <row r="6" spans="1:3" x14ac:dyDescent="0.25">
      <c r="A6" s="31" t="s">
        <v>5</v>
      </c>
      <c r="B6" s="35">
        <v>242714</v>
      </c>
      <c r="C6" s="32">
        <v>43278</v>
      </c>
    </row>
    <row r="7" spans="1:3" x14ac:dyDescent="0.25">
      <c r="A7" s="31" t="s">
        <v>6</v>
      </c>
      <c r="B7" s="35">
        <v>273180</v>
      </c>
      <c r="C7" s="32">
        <v>43278</v>
      </c>
    </row>
    <row r="8" spans="1:3" x14ac:dyDescent="0.25">
      <c r="A8" s="31" t="s">
        <v>7</v>
      </c>
      <c r="B8" s="35">
        <v>22970</v>
      </c>
      <c r="C8" s="32">
        <v>43278</v>
      </c>
    </row>
    <row r="9" spans="1:3" x14ac:dyDescent="0.25">
      <c r="A9" s="31" t="s">
        <v>8</v>
      </c>
      <c r="B9" s="35">
        <v>53180979</v>
      </c>
      <c r="C9" s="32">
        <v>43278</v>
      </c>
    </row>
    <row r="10" spans="1:3" x14ac:dyDescent="0.25">
      <c r="A10" s="31" t="s">
        <v>9</v>
      </c>
      <c r="B10" s="35">
        <v>184435832</v>
      </c>
      <c r="C10" s="32">
        <v>43278</v>
      </c>
    </row>
    <row r="11" spans="1:3" x14ac:dyDescent="0.25">
      <c r="A11" s="31" t="s">
        <v>10</v>
      </c>
      <c r="B11" s="35">
        <v>199146998</v>
      </c>
      <c r="C11" s="32">
        <v>43278</v>
      </c>
    </row>
    <row r="12" spans="1:3" x14ac:dyDescent="0.25">
      <c r="A12" s="31" t="s">
        <v>11</v>
      </c>
      <c r="B12" s="35">
        <v>15413327</v>
      </c>
      <c r="C12" s="32">
        <v>43278</v>
      </c>
    </row>
    <row r="13" spans="1:3" x14ac:dyDescent="0.25">
      <c r="A13" s="31" t="s">
        <v>12</v>
      </c>
      <c r="B13" s="35">
        <v>7942217</v>
      </c>
      <c r="C13" s="32">
        <v>43278</v>
      </c>
    </row>
    <row r="14" spans="1:3" x14ac:dyDescent="0.25">
      <c r="A14" s="31" t="s">
        <v>13</v>
      </c>
      <c r="B14" s="35">
        <v>7811746</v>
      </c>
      <c r="C14" s="32">
        <v>43278</v>
      </c>
    </row>
    <row r="15" spans="1:3" x14ac:dyDescent="0.25">
      <c r="A15" s="31" t="s">
        <v>14</v>
      </c>
      <c r="B15" s="35">
        <v>11589681</v>
      </c>
      <c r="C15" s="32">
        <v>43278</v>
      </c>
    </row>
    <row r="16" spans="1:3" x14ac:dyDescent="0.25">
      <c r="A16" s="31" t="s">
        <v>15</v>
      </c>
      <c r="B16" s="35">
        <v>10860617</v>
      </c>
      <c r="C16" s="32">
        <v>43278</v>
      </c>
    </row>
    <row r="17" spans="1:3" x14ac:dyDescent="0.25">
      <c r="A17" s="31" t="s">
        <v>16</v>
      </c>
      <c r="B17" s="35">
        <v>81097</v>
      </c>
      <c r="C17" s="32">
        <v>43278</v>
      </c>
    </row>
    <row r="18" spans="1:3" x14ac:dyDescent="0.25">
      <c r="A18" s="31" t="s">
        <v>17</v>
      </c>
      <c r="B18" s="35">
        <v>121393977</v>
      </c>
      <c r="C18" s="32">
        <v>43278</v>
      </c>
    </row>
    <row r="19" spans="1:3" x14ac:dyDescent="0.25">
      <c r="A19" s="31" t="s">
        <v>18</v>
      </c>
      <c r="B19" s="35">
        <v>579840969</v>
      </c>
      <c r="C19" s="32">
        <v>43278</v>
      </c>
    </row>
    <row r="20" spans="1:3" x14ac:dyDescent="0.25">
      <c r="A20" s="31" t="s">
        <v>19</v>
      </c>
      <c r="B20" s="35">
        <v>103907271</v>
      </c>
      <c r="C20" s="32">
        <v>43278</v>
      </c>
    </row>
    <row r="21" spans="1:3" x14ac:dyDescent="0.25">
      <c r="A21" s="31" t="s">
        <v>20</v>
      </c>
      <c r="B21" s="35">
        <v>1689816072</v>
      </c>
      <c r="C21" s="32">
        <v>43278</v>
      </c>
    </row>
    <row r="22" spans="1:3" x14ac:dyDescent="0.25">
      <c r="A22" s="31" t="s">
        <v>21</v>
      </c>
      <c r="B22" s="35">
        <v>726130402</v>
      </c>
      <c r="C22" s="32">
        <v>43278</v>
      </c>
    </row>
    <row r="23" spans="1:3" x14ac:dyDescent="0.25">
      <c r="A23" s="31" t="s">
        <v>22</v>
      </c>
      <c r="B23" s="35">
        <v>2165609</v>
      </c>
      <c r="C23" s="32">
        <v>43278</v>
      </c>
    </row>
    <row r="24" spans="1:3" x14ac:dyDescent="0.25">
      <c r="A24" s="31" t="s">
        <v>23</v>
      </c>
      <c r="B24" s="35">
        <v>1</v>
      </c>
      <c r="C24" s="32">
        <v>43299</v>
      </c>
    </row>
    <row r="25" spans="1:3" x14ac:dyDescent="0.25">
      <c r="A25" s="31" t="s">
        <v>24</v>
      </c>
      <c r="B25" s="35">
        <v>1</v>
      </c>
      <c r="C25" s="32">
        <v>43299</v>
      </c>
    </row>
    <row r="26" spans="1:3" x14ac:dyDescent="0.25">
      <c r="A26" s="31" t="s">
        <v>25</v>
      </c>
      <c r="B26" s="35"/>
      <c r="C26" s="32">
        <v>43278</v>
      </c>
    </row>
    <row r="27" spans="1:3" x14ac:dyDescent="0.25">
      <c r="A27" s="31" t="s">
        <v>26</v>
      </c>
      <c r="B27" s="35">
        <v>928432223</v>
      </c>
      <c r="C27" s="32">
        <v>43278</v>
      </c>
    </row>
    <row r="28" spans="1:3" x14ac:dyDescent="0.25">
      <c r="A28" s="31" t="s">
        <v>27</v>
      </c>
      <c r="B28" s="35">
        <v>1358280102</v>
      </c>
      <c r="C28" s="32">
        <v>43278</v>
      </c>
    </row>
    <row r="29" spans="1:3" x14ac:dyDescent="0.25">
      <c r="A29" s="31" t="s">
        <v>28</v>
      </c>
      <c r="B29" s="35">
        <v>1485139400</v>
      </c>
      <c r="C29" s="32">
        <v>43278</v>
      </c>
    </row>
    <row r="30" spans="1:3" x14ac:dyDescent="0.25">
      <c r="A30" s="31" t="s">
        <v>29</v>
      </c>
      <c r="B30" s="35">
        <v>585877427</v>
      </c>
      <c r="C30" s="32">
        <v>43278</v>
      </c>
    </row>
    <row r="31" spans="1:3" x14ac:dyDescent="0.25">
      <c r="A31" s="31" t="s">
        <v>30</v>
      </c>
      <c r="B31" s="35">
        <v>1496015686</v>
      </c>
      <c r="C31" s="32">
        <v>43278</v>
      </c>
    </row>
    <row r="32" spans="1:3" x14ac:dyDescent="0.25">
      <c r="A32" s="31" t="s">
        <v>31</v>
      </c>
      <c r="B32" s="35">
        <v>3598199</v>
      </c>
      <c r="C32" s="32">
        <v>43278</v>
      </c>
    </row>
    <row r="33" spans="1:3" x14ac:dyDescent="0.25">
      <c r="A33" s="31" t="s">
        <v>32</v>
      </c>
      <c r="B33" s="35">
        <v>374528</v>
      </c>
      <c r="C33" s="32">
        <v>43278</v>
      </c>
    </row>
    <row r="34" spans="1:3" x14ac:dyDescent="0.25">
      <c r="A34" s="31" t="s">
        <v>33</v>
      </c>
      <c r="B34" s="35">
        <v>6378173</v>
      </c>
      <c r="C34" s="32">
        <v>43278</v>
      </c>
    </row>
    <row r="35" spans="1:3" x14ac:dyDescent="0.25">
      <c r="A35" s="31" t="s">
        <v>34</v>
      </c>
      <c r="B35" s="35">
        <v>255050</v>
      </c>
      <c r="C35" s="32">
        <v>43278</v>
      </c>
    </row>
    <row r="36" spans="1:3" x14ac:dyDescent="0.25">
      <c r="A36" s="31" t="s">
        <v>35</v>
      </c>
      <c r="B36" s="35">
        <v>554428</v>
      </c>
      <c r="C36" s="32">
        <v>43278</v>
      </c>
    </row>
    <row r="37" spans="1:3" x14ac:dyDescent="0.25">
      <c r="A37" s="31" t="s">
        <v>36</v>
      </c>
      <c r="B37" s="35">
        <v>393803</v>
      </c>
      <c r="C37" s="32">
        <v>43278</v>
      </c>
    </row>
    <row r="38" spans="1:3" x14ac:dyDescent="0.25">
      <c r="A38" s="31" t="s">
        <v>37</v>
      </c>
      <c r="B38" s="35">
        <v>170906</v>
      </c>
      <c r="C38" s="32">
        <v>43278</v>
      </c>
    </row>
    <row r="39" spans="1:3" x14ac:dyDescent="0.25">
      <c r="A39" s="31" t="s">
        <v>38</v>
      </c>
      <c r="B39" s="35">
        <v>201526</v>
      </c>
      <c r="C39" s="32">
        <v>43278</v>
      </c>
    </row>
    <row r="40" spans="1:3" x14ac:dyDescent="0.25">
      <c r="A40" s="31" t="s">
        <v>39</v>
      </c>
      <c r="B40" s="35">
        <v>642305</v>
      </c>
      <c r="C40" s="32">
        <v>43278</v>
      </c>
    </row>
    <row r="41" spans="1:3" x14ac:dyDescent="0.25">
      <c r="A41" s="31" t="s">
        <v>40</v>
      </c>
      <c r="B41" s="35">
        <v>101716</v>
      </c>
      <c r="C41" s="32">
        <v>43278</v>
      </c>
    </row>
    <row r="42" spans="1:3" x14ac:dyDescent="0.25">
      <c r="A42" s="31" t="s">
        <v>41</v>
      </c>
      <c r="B42" s="35">
        <v>302256</v>
      </c>
      <c r="C42" s="32">
        <v>43278</v>
      </c>
    </row>
    <row r="43" spans="1:3" x14ac:dyDescent="0.25">
      <c r="A43" s="31" t="s">
        <v>42</v>
      </c>
      <c r="B43" s="35">
        <v>16197</v>
      </c>
      <c r="C43" s="32">
        <v>43278</v>
      </c>
    </row>
    <row r="44" spans="1:3" x14ac:dyDescent="0.25">
      <c r="A44" s="31" t="s">
        <v>43</v>
      </c>
      <c r="B44" s="35">
        <v>48786</v>
      </c>
      <c r="C44" s="32">
        <v>43278</v>
      </c>
    </row>
    <row r="45" spans="1:3" x14ac:dyDescent="0.25">
      <c r="A45" s="31" t="s">
        <v>44</v>
      </c>
      <c r="B45" s="35">
        <v>51319695</v>
      </c>
      <c r="C45" s="32">
        <v>43278</v>
      </c>
    </row>
    <row r="46" spans="1:3" x14ac:dyDescent="0.25">
      <c r="A46" s="31" t="s">
        <v>45</v>
      </c>
      <c r="B46" s="35">
        <v>83924648</v>
      </c>
      <c r="C46" s="32">
        <v>43278</v>
      </c>
    </row>
    <row r="47" spans="1:3" x14ac:dyDescent="0.25">
      <c r="A47" s="31" t="s">
        <v>46</v>
      </c>
      <c r="B47" s="35">
        <v>71421</v>
      </c>
      <c r="C47" s="32">
        <v>43278</v>
      </c>
    </row>
    <row r="48" spans="1:3" x14ac:dyDescent="0.25">
      <c r="A48" s="31" t="s">
        <v>124</v>
      </c>
      <c r="B48" s="35"/>
      <c r="C48" s="32"/>
    </row>
    <row r="49" spans="1:3" x14ac:dyDescent="0.25">
      <c r="A49" s="31" t="s">
        <v>47</v>
      </c>
      <c r="B49" s="35">
        <v>35262977</v>
      </c>
      <c r="C49" s="32">
        <v>43278</v>
      </c>
    </row>
    <row r="50" spans="1:3" x14ac:dyDescent="0.25">
      <c r="A50" s="31" t="s">
        <v>48</v>
      </c>
      <c r="B50" s="35">
        <v>322686380</v>
      </c>
      <c r="C50" s="32">
        <v>43200</v>
      </c>
    </row>
    <row r="51" spans="1:3" x14ac:dyDescent="0.25">
      <c r="A51" s="31" t="s">
        <v>49</v>
      </c>
      <c r="B51" s="35">
        <v>70867591</v>
      </c>
      <c r="C51" s="32">
        <v>43200</v>
      </c>
    </row>
    <row r="52" spans="1:3" x14ac:dyDescent="0.25">
      <c r="A52" s="31" t="s">
        <v>50</v>
      </c>
      <c r="B52" s="35">
        <v>43405612</v>
      </c>
      <c r="C52" s="32">
        <v>43200</v>
      </c>
    </row>
    <row r="53" spans="1:3" x14ac:dyDescent="0.25">
      <c r="A53" s="31" t="s">
        <v>55</v>
      </c>
      <c r="B53" s="35">
        <v>2853255</v>
      </c>
      <c r="C53" s="32">
        <v>43200</v>
      </c>
    </row>
    <row r="54" spans="1:3" x14ac:dyDescent="0.25">
      <c r="A54" s="31" t="s">
        <v>56</v>
      </c>
      <c r="B54" s="35">
        <v>23171203</v>
      </c>
      <c r="C54" s="32">
        <v>43200</v>
      </c>
    </row>
    <row r="55" spans="1:3" x14ac:dyDescent="0.25">
      <c r="A55" s="31" t="s">
        <v>57</v>
      </c>
      <c r="B55" s="35">
        <v>1139336</v>
      </c>
      <c r="C55" s="32">
        <v>43200</v>
      </c>
    </row>
    <row r="56" spans="1:3" x14ac:dyDescent="0.25">
      <c r="A56" s="31" t="s">
        <v>64</v>
      </c>
      <c r="B56" s="35">
        <v>409178</v>
      </c>
      <c r="C56" s="32">
        <v>43200</v>
      </c>
    </row>
    <row r="57" spans="1:3" x14ac:dyDescent="0.25">
      <c r="A57" s="31" t="s">
        <v>65</v>
      </c>
      <c r="B57" s="35">
        <v>15611037</v>
      </c>
      <c r="C57" s="32">
        <v>43200</v>
      </c>
    </row>
    <row r="58" spans="1:3" x14ac:dyDescent="0.25">
      <c r="A58" s="31" t="s">
        <v>66</v>
      </c>
      <c r="B58" s="35">
        <v>2106871</v>
      </c>
      <c r="C58" s="32">
        <v>43278</v>
      </c>
    </row>
    <row r="59" spans="1:3" x14ac:dyDescent="0.25">
      <c r="A59" s="31" t="s">
        <v>67</v>
      </c>
      <c r="B59" s="35">
        <v>100816068</v>
      </c>
      <c r="C59" s="32">
        <v>43200</v>
      </c>
    </row>
    <row r="60" spans="1:3" x14ac:dyDescent="0.25">
      <c r="A60" s="31" t="s">
        <v>68</v>
      </c>
      <c r="B60" s="35">
        <v>72229347</v>
      </c>
      <c r="C60" s="32">
        <v>43200</v>
      </c>
    </row>
    <row r="61" spans="1:3" x14ac:dyDescent="0.25">
      <c r="A61" s="31" t="s">
        <v>69</v>
      </c>
      <c r="B61" s="35">
        <v>124999348</v>
      </c>
      <c r="C61" s="32">
        <v>43200</v>
      </c>
    </row>
    <row r="62" spans="1:3" x14ac:dyDescent="0.25">
      <c r="A62" s="31" t="s">
        <v>80</v>
      </c>
      <c r="B62" s="35">
        <v>193226648</v>
      </c>
      <c r="C62" s="32">
        <v>43278</v>
      </c>
    </row>
    <row r="63" spans="1:3" x14ac:dyDescent="0.25">
      <c r="A63" s="31" t="s">
        <v>81</v>
      </c>
      <c r="B63" s="35">
        <v>426877</v>
      </c>
      <c r="C63" s="32">
        <v>43278</v>
      </c>
    </row>
    <row r="64" spans="1:3" x14ac:dyDescent="0.25">
      <c r="A64" s="31" t="s">
        <v>82</v>
      </c>
      <c r="B64" s="35">
        <v>26355000</v>
      </c>
      <c r="C64" s="32">
        <v>43200</v>
      </c>
    </row>
    <row r="65" spans="1:3" x14ac:dyDescent="0.25">
      <c r="A65" s="31" t="s">
        <v>83</v>
      </c>
      <c r="B65" s="35">
        <v>4028757</v>
      </c>
      <c r="C65" s="32">
        <v>43200</v>
      </c>
    </row>
    <row r="66" spans="1:3" x14ac:dyDescent="0.25">
      <c r="A66" s="31" t="s">
        <v>84</v>
      </c>
      <c r="B66" s="35"/>
      <c r="C66" s="32">
        <v>43278</v>
      </c>
    </row>
    <row r="67" spans="1:3" x14ac:dyDescent="0.25">
      <c r="A67" s="31" t="s">
        <v>85</v>
      </c>
      <c r="B67" s="35">
        <v>23652832</v>
      </c>
      <c r="C67" s="32">
        <v>43200</v>
      </c>
    </row>
    <row r="68" spans="1:3" x14ac:dyDescent="0.25">
      <c r="A68" s="31" t="s">
        <v>86</v>
      </c>
      <c r="B68" s="35">
        <v>30890260</v>
      </c>
      <c r="C68" s="32">
        <v>43200</v>
      </c>
    </row>
    <row r="69" spans="1:3" x14ac:dyDescent="0.25">
      <c r="A69" s="31" t="s">
        <v>87</v>
      </c>
      <c r="B69" s="35">
        <v>48511363</v>
      </c>
      <c r="C69" s="32">
        <v>43200</v>
      </c>
    </row>
    <row r="70" spans="1:3" x14ac:dyDescent="0.25">
      <c r="A70" s="31" t="s">
        <v>88</v>
      </c>
      <c r="B70" s="35"/>
      <c r="C70" s="32">
        <v>43278</v>
      </c>
    </row>
    <row r="71" spans="1:3" x14ac:dyDescent="0.25">
      <c r="A71" s="31" t="s">
        <v>89</v>
      </c>
      <c r="B71" s="35">
        <v>32053468</v>
      </c>
      <c r="C71" s="32">
        <v>43200</v>
      </c>
    </row>
    <row r="72" spans="1:3" x14ac:dyDescent="0.25">
      <c r="A72" s="31" t="s">
        <v>90</v>
      </c>
      <c r="B72" s="35">
        <v>160870</v>
      </c>
      <c r="C72" s="32">
        <v>43200</v>
      </c>
    </row>
    <row r="73" spans="1:3" x14ac:dyDescent="0.25">
      <c r="A73" s="31" t="s">
        <v>91</v>
      </c>
      <c r="B73" s="35">
        <v>31053883</v>
      </c>
      <c r="C73" s="32">
        <v>43200</v>
      </c>
    </row>
    <row r="74" spans="1:3" x14ac:dyDescent="0.25">
      <c r="A74" s="31" t="s">
        <v>92</v>
      </c>
      <c r="B74" s="35"/>
      <c r="C74" s="32">
        <v>43278</v>
      </c>
    </row>
    <row r="75" spans="1:3" x14ac:dyDescent="0.25">
      <c r="A75" s="31" t="s">
        <v>93</v>
      </c>
      <c r="B75" s="35"/>
      <c r="C75" s="32">
        <v>43278</v>
      </c>
    </row>
    <row r="76" spans="1:3" x14ac:dyDescent="0.25">
      <c r="A76" s="31" t="s">
        <v>94</v>
      </c>
      <c r="B76" s="35">
        <v>34879983</v>
      </c>
      <c r="C76" s="32">
        <v>43200</v>
      </c>
    </row>
    <row r="77" spans="1:3" x14ac:dyDescent="0.25">
      <c r="A77" s="31" t="s">
        <v>95</v>
      </c>
      <c r="B77" s="35">
        <v>106353372</v>
      </c>
      <c r="C77" s="32"/>
    </row>
    <row r="78" spans="1:3" x14ac:dyDescent="0.25">
      <c r="A78" s="31" t="s">
        <v>96</v>
      </c>
      <c r="B78" s="35">
        <v>1009364245</v>
      </c>
      <c r="C78" s="32">
        <v>43467</v>
      </c>
    </row>
    <row r="79" spans="1:3" x14ac:dyDescent="0.25">
      <c r="A79" s="31" t="s">
        <v>97</v>
      </c>
      <c r="B79" s="35">
        <v>11612775</v>
      </c>
      <c r="C79" s="32"/>
    </row>
    <row r="80" spans="1:3" x14ac:dyDescent="0.25">
      <c r="A80" s="31" t="s">
        <v>98</v>
      </c>
      <c r="B80" s="35">
        <v>2341806059</v>
      </c>
      <c r="C80" s="32">
        <v>43278</v>
      </c>
    </row>
    <row r="81" spans="1:3" x14ac:dyDescent="0.25">
      <c r="A81" s="31" t="s">
        <v>99</v>
      </c>
      <c r="B81" s="35">
        <v>89217995.189999998</v>
      </c>
      <c r="C81" s="32">
        <v>43951</v>
      </c>
    </row>
    <row r="82" spans="1:3" x14ac:dyDescent="0.25">
      <c r="A82" s="31" t="s">
        <v>100</v>
      </c>
      <c r="B82" s="35">
        <v>185438557.73000002</v>
      </c>
      <c r="C82" s="32">
        <v>43951</v>
      </c>
    </row>
    <row r="83" spans="1:3" x14ac:dyDescent="0.25">
      <c r="A83" s="31" t="s">
        <v>101</v>
      </c>
      <c r="B83" s="35">
        <v>613841629.68999994</v>
      </c>
      <c r="C83" s="32">
        <v>43740</v>
      </c>
    </row>
    <row r="84" spans="1:3" x14ac:dyDescent="0.25">
      <c r="A84" s="31" t="s">
        <v>102</v>
      </c>
      <c r="B84" s="35">
        <v>300897576.48000002</v>
      </c>
      <c r="C84" s="32">
        <v>43850</v>
      </c>
    </row>
    <row r="85" spans="1:3" x14ac:dyDescent="0.25">
      <c r="A85" s="31" t="s">
        <v>103</v>
      </c>
      <c r="B85" s="35">
        <v>25678029.310000002</v>
      </c>
      <c r="C85" s="32">
        <v>43950</v>
      </c>
    </row>
    <row r="86" spans="1:3" x14ac:dyDescent="0.25">
      <c r="A86" s="31" t="s">
        <v>104</v>
      </c>
      <c r="B86" s="35">
        <v>68939870.930000007</v>
      </c>
      <c r="C86" s="32">
        <v>43950</v>
      </c>
    </row>
    <row r="87" spans="1:3" x14ac:dyDescent="0.25">
      <c r="A87" s="31" t="s">
        <v>105</v>
      </c>
      <c r="B87" s="35">
        <v>215160216.92000002</v>
      </c>
      <c r="C87" s="32">
        <v>43950</v>
      </c>
    </row>
    <row r="88" spans="1:3" x14ac:dyDescent="0.25">
      <c r="A88" s="31" t="s">
        <v>106</v>
      </c>
      <c r="B88" s="35">
        <v>176042767.97000003</v>
      </c>
      <c r="C88" s="32">
        <v>43950</v>
      </c>
    </row>
    <row r="89" spans="1:3" x14ac:dyDescent="0.25">
      <c r="A89" s="31" t="s">
        <v>107</v>
      </c>
      <c r="B89" s="35">
        <v>215339372.06000003</v>
      </c>
      <c r="C89" s="32">
        <v>43950</v>
      </c>
    </row>
    <row r="90" spans="1:3" x14ac:dyDescent="0.25">
      <c r="A90" s="31" t="s">
        <v>108</v>
      </c>
      <c r="B90" s="35">
        <v>62926590.18</v>
      </c>
      <c r="C90" s="32">
        <v>43950</v>
      </c>
    </row>
    <row r="91" spans="1:3" x14ac:dyDescent="0.25">
      <c r="A91" s="31" t="s">
        <v>109</v>
      </c>
      <c r="B91" s="35">
        <v>267683424.68000001</v>
      </c>
      <c r="C91" s="32">
        <v>43950</v>
      </c>
    </row>
    <row r="92" spans="1:3" x14ac:dyDescent="0.25">
      <c r="A92" s="31" t="s">
        <v>110</v>
      </c>
      <c r="B92" s="35">
        <v>450152455.33999997</v>
      </c>
      <c r="C92" s="32">
        <v>43951</v>
      </c>
    </row>
    <row r="93" spans="1:3" x14ac:dyDescent="0.25">
      <c r="A93" s="31" t="s">
        <v>111</v>
      </c>
      <c r="B93" s="35">
        <v>270429293.38999999</v>
      </c>
      <c r="C93" s="32">
        <v>43951</v>
      </c>
    </row>
    <row r="94" spans="1:3" x14ac:dyDescent="0.25">
      <c r="A94" s="31" t="s">
        <v>112</v>
      </c>
      <c r="B94" s="35">
        <v>318216747.50999999</v>
      </c>
      <c r="C94" s="32">
        <v>43951</v>
      </c>
    </row>
    <row r="95" spans="1:3" x14ac:dyDescent="0.25">
      <c r="A95" s="31" t="s">
        <v>113</v>
      </c>
      <c r="B95" s="35">
        <v>110011431.98</v>
      </c>
      <c r="C95" s="32">
        <v>43921</v>
      </c>
    </row>
    <row r="96" spans="1:3" x14ac:dyDescent="0.25">
      <c r="A96" s="31" t="s">
        <v>114</v>
      </c>
      <c r="B96" s="35">
        <v>33549269.25</v>
      </c>
      <c r="C96" s="32">
        <v>43950</v>
      </c>
    </row>
    <row r="97" spans="1:3" x14ac:dyDescent="0.25">
      <c r="A97" s="31" t="s">
        <v>115</v>
      </c>
      <c r="B97" s="35">
        <v>38487373.25</v>
      </c>
      <c r="C97" s="32">
        <v>43950</v>
      </c>
    </row>
    <row r="98" spans="1:3" x14ac:dyDescent="0.25">
      <c r="A98" s="31" t="s">
        <v>116</v>
      </c>
      <c r="B98" s="35">
        <v>528965323.59999996</v>
      </c>
      <c r="C98" s="32">
        <v>43950</v>
      </c>
    </row>
    <row r="99" spans="1:3" x14ac:dyDescent="0.25">
      <c r="A99" s="31" t="s">
        <v>117</v>
      </c>
      <c r="B99" s="35">
        <v>26980780.139999997</v>
      </c>
      <c r="C99" s="32">
        <v>43950</v>
      </c>
    </row>
    <row r="100" spans="1:3" x14ac:dyDescent="0.25">
      <c r="A100" s="31" t="s">
        <v>118</v>
      </c>
      <c r="B100" s="35">
        <v>43503084.579999998</v>
      </c>
      <c r="C100" s="32">
        <v>43950</v>
      </c>
    </row>
    <row r="101" spans="1:3" x14ac:dyDescent="0.25">
      <c r="A101" s="31" t="s">
        <v>120</v>
      </c>
      <c r="B101" s="35">
        <v>77472503.140000001</v>
      </c>
      <c r="C101" s="32">
        <v>43950</v>
      </c>
    </row>
    <row r="102" spans="1:3" x14ac:dyDescent="0.25">
      <c r="A102" s="31" t="s">
        <v>121</v>
      </c>
      <c r="B102" s="35">
        <v>4318458.62</v>
      </c>
      <c r="C102" s="32">
        <v>43950</v>
      </c>
    </row>
    <row r="103" spans="1:3" x14ac:dyDescent="0.25">
      <c r="A103" s="31" t="s">
        <v>122</v>
      </c>
      <c r="B103" s="35">
        <v>220275555.56</v>
      </c>
      <c r="C103" s="32">
        <v>43951</v>
      </c>
    </row>
    <row r="104" spans="1:3" x14ac:dyDescent="0.25">
      <c r="A104" s="31" t="s">
        <v>125</v>
      </c>
      <c r="B104" s="35">
        <v>7652735705</v>
      </c>
      <c r="C104" s="32">
        <v>43942</v>
      </c>
    </row>
    <row r="105" spans="1:3" x14ac:dyDescent="0.25">
      <c r="A105" s="31" t="s">
        <v>139</v>
      </c>
      <c r="B105" s="35">
        <v>209242180.14000002</v>
      </c>
      <c r="C105" s="32">
        <v>43951</v>
      </c>
    </row>
    <row r="106" spans="1:3" x14ac:dyDescent="0.25">
      <c r="A106" s="31" t="s">
        <v>140</v>
      </c>
      <c r="B106" s="35">
        <v>41296594</v>
      </c>
      <c r="C106" s="32">
        <v>43663</v>
      </c>
    </row>
    <row r="107" spans="1:3" x14ac:dyDescent="0.25">
      <c r="A107" s="31" t="s">
        <v>141</v>
      </c>
      <c r="B107" s="35">
        <v>80950586</v>
      </c>
      <c r="C107" s="32">
        <v>43663</v>
      </c>
    </row>
    <row r="108" spans="1:3" x14ac:dyDescent="0.25">
      <c r="A108" s="31" t="s">
        <v>129</v>
      </c>
      <c r="B108" s="35">
        <v>169201953.97610146</v>
      </c>
      <c r="C108" s="32">
        <v>43954</v>
      </c>
    </row>
    <row r="109" spans="1:3" x14ac:dyDescent="0.25">
      <c r="A109" s="31" t="s">
        <v>123</v>
      </c>
      <c r="B109" s="35">
        <v>240422697.10000002</v>
      </c>
      <c r="C109" s="32">
        <v>43951</v>
      </c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09"/>
  <sheetViews>
    <sheetView workbookViewId="0">
      <selection activeCell="A106" sqref="A106:B107"/>
    </sheetView>
  </sheetViews>
  <sheetFormatPr defaultRowHeight="15" x14ac:dyDescent="0.25"/>
  <cols>
    <col min="1" max="1" width="12.85546875" bestFit="1" customWidth="1"/>
    <col min="2" max="2" width="16.5703125" style="7" bestFit="1" customWidth="1"/>
  </cols>
  <sheetData>
    <row r="1" spans="1:6" x14ac:dyDescent="0.25">
      <c r="A1" t="s">
        <v>0</v>
      </c>
      <c r="B1" s="7" t="s">
        <v>1</v>
      </c>
    </row>
    <row r="2" spans="1:6" x14ac:dyDescent="0.25">
      <c r="A2" s="9"/>
      <c r="B2" s="4"/>
    </row>
    <row r="3" spans="1:6" x14ac:dyDescent="0.25">
      <c r="A3" s="10" t="s">
        <v>2</v>
      </c>
      <c r="B3" s="5">
        <v>1511371</v>
      </c>
      <c r="E3" t="s">
        <v>142</v>
      </c>
      <c r="F3" t="s">
        <v>143</v>
      </c>
    </row>
    <row r="4" spans="1:6" x14ac:dyDescent="0.25">
      <c r="A4" s="11" t="s">
        <v>3</v>
      </c>
      <c r="B4" s="6">
        <v>187783</v>
      </c>
    </row>
    <row r="5" spans="1:6" x14ac:dyDescent="0.25">
      <c r="A5" s="11" t="s">
        <v>4</v>
      </c>
      <c r="B5" s="6">
        <v>2637</v>
      </c>
    </row>
    <row r="6" spans="1:6" x14ac:dyDescent="0.25">
      <c r="A6" s="11" t="s">
        <v>5</v>
      </c>
      <c r="B6" s="6">
        <v>239494</v>
      </c>
    </row>
    <row r="7" spans="1:6" x14ac:dyDescent="0.25">
      <c r="A7" s="11" t="s">
        <v>6</v>
      </c>
      <c r="B7" s="6">
        <v>238668</v>
      </c>
    </row>
    <row r="8" spans="1:6" x14ac:dyDescent="0.25">
      <c r="A8" s="11" t="s">
        <v>7</v>
      </c>
      <c r="B8" s="6">
        <v>22280</v>
      </c>
    </row>
    <row r="9" spans="1:6" x14ac:dyDescent="0.25">
      <c r="A9" s="11" t="s">
        <v>8</v>
      </c>
      <c r="B9" s="6">
        <v>49808687</v>
      </c>
    </row>
    <row r="10" spans="1:6" x14ac:dyDescent="0.25">
      <c r="A10" s="11" t="s">
        <v>9</v>
      </c>
      <c r="B10" s="6">
        <v>185258613</v>
      </c>
    </row>
    <row r="11" spans="1:6" x14ac:dyDescent="0.25">
      <c r="A11" s="11" t="s">
        <v>10</v>
      </c>
      <c r="B11" s="6">
        <v>200305365</v>
      </c>
    </row>
    <row r="12" spans="1:6" x14ac:dyDescent="0.25">
      <c r="A12" s="11" t="s">
        <v>11</v>
      </c>
      <c r="B12" s="6">
        <v>15132166</v>
      </c>
    </row>
    <row r="13" spans="1:6" x14ac:dyDescent="0.25">
      <c r="A13" s="11" t="s">
        <v>12</v>
      </c>
      <c r="B13" s="6">
        <v>7729331</v>
      </c>
    </row>
    <row r="14" spans="1:6" x14ac:dyDescent="0.25">
      <c r="A14" s="11" t="s">
        <v>13</v>
      </c>
      <c r="B14" s="6">
        <v>7495725</v>
      </c>
    </row>
    <row r="15" spans="1:6" x14ac:dyDescent="0.25">
      <c r="A15" s="11" t="s">
        <v>14</v>
      </c>
      <c r="B15" s="6">
        <v>11050572</v>
      </c>
    </row>
    <row r="16" spans="1:6" x14ac:dyDescent="0.25">
      <c r="A16" s="11" t="s">
        <v>15</v>
      </c>
      <c r="B16" s="6">
        <v>10172435</v>
      </c>
    </row>
    <row r="17" spans="1:2" x14ac:dyDescent="0.25">
      <c r="A17" s="11" t="s">
        <v>16</v>
      </c>
      <c r="B17" s="6">
        <v>80393</v>
      </c>
    </row>
    <row r="18" spans="1:2" x14ac:dyDescent="0.25">
      <c r="A18" s="11" t="s">
        <v>17</v>
      </c>
      <c r="B18" s="6">
        <v>118987399</v>
      </c>
    </row>
    <row r="19" spans="1:2" x14ac:dyDescent="0.25">
      <c r="A19" s="11" t="s">
        <v>18</v>
      </c>
      <c r="B19" s="6">
        <v>556706276</v>
      </c>
    </row>
    <row r="20" spans="1:2" x14ac:dyDescent="0.25">
      <c r="A20" s="11" t="s">
        <v>19</v>
      </c>
      <c r="B20" s="6">
        <v>99282993</v>
      </c>
    </row>
    <row r="21" spans="1:2" x14ac:dyDescent="0.25">
      <c r="A21" s="11" t="s">
        <v>20</v>
      </c>
      <c r="B21" s="6">
        <v>1589816327</v>
      </c>
    </row>
    <row r="22" spans="1:2" x14ac:dyDescent="0.25">
      <c r="A22" s="11" t="s">
        <v>21</v>
      </c>
      <c r="B22" s="6">
        <v>665536671</v>
      </c>
    </row>
    <row r="23" spans="1:2" x14ac:dyDescent="0.25">
      <c r="A23" s="11" t="s">
        <v>22</v>
      </c>
      <c r="B23" s="6">
        <v>2165599</v>
      </c>
    </row>
    <row r="24" spans="1:2" x14ac:dyDescent="0.25">
      <c r="A24" s="11" t="s">
        <v>23</v>
      </c>
      <c r="B24" s="6">
        <v>1</v>
      </c>
    </row>
    <row r="25" spans="1:2" x14ac:dyDescent="0.25">
      <c r="A25" s="11" t="s">
        <v>24</v>
      </c>
      <c r="B25" s="6">
        <v>1</v>
      </c>
    </row>
    <row r="26" spans="1:2" x14ac:dyDescent="0.25">
      <c r="A26" s="11" t="s">
        <v>25</v>
      </c>
      <c r="B26" s="6"/>
    </row>
    <row r="27" spans="1:2" x14ac:dyDescent="0.25">
      <c r="A27" s="11" t="s">
        <v>26</v>
      </c>
      <c r="B27" s="6">
        <v>899294621</v>
      </c>
    </row>
    <row r="28" spans="1:2" x14ac:dyDescent="0.25">
      <c r="A28" s="11" t="s">
        <v>27</v>
      </c>
      <c r="B28" s="6">
        <v>1317124697</v>
      </c>
    </row>
    <row r="29" spans="1:2" x14ac:dyDescent="0.25">
      <c r="A29" s="11" t="s">
        <v>28</v>
      </c>
      <c r="B29" s="6">
        <v>1440893456</v>
      </c>
    </row>
    <row r="30" spans="1:2" x14ac:dyDescent="0.25">
      <c r="A30" s="11" t="s">
        <v>29</v>
      </c>
      <c r="B30" s="6">
        <v>586161516</v>
      </c>
    </row>
    <row r="31" spans="1:2" x14ac:dyDescent="0.25">
      <c r="A31" s="11" t="s">
        <v>30</v>
      </c>
      <c r="B31" s="6">
        <v>1494752371</v>
      </c>
    </row>
    <row r="32" spans="1:2" x14ac:dyDescent="0.25">
      <c r="A32" s="11" t="s">
        <v>31</v>
      </c>
      <c r="B32" s="6">
        <v>3549420</v>
      </c>
    </row>
    <row r="33" spans="1:2" x14ac:dyDescent="0.25">
      <c r="A33" s="11" t="s">
        <v>32</v>
      </c>
      <c r="B33" s="6">
        <v>373553</v>
      </c>
    </row>
    <row r="34" spans="1:2" x14ac:dyDescent="0.25">
      <c r="A34" s="11" t="s">
        <v>33</v>
      </c>
      <c r="B34" s="6">
        <v>6362395</v>
      </c>
    </row>
    <row r="35" spans="1:2" x14ac:dyDescent="0.25">
      <c r="A35" s="11" t="s">
        <v>34</v>
      </c>
      <c r="B35" s="6">
        <v>254079</v>
      </c>
    </row>
    <row r="36" spans="1:2" x14ac:dyDescent="0.25">
      <c r="A36" s="11" t="s">
        <v>35</v>
      </c>
      <c r="B36" s="6">
        <v>554448</v>
      </c>
    </row>
    <row r="37" spans="1:2" x14ac:dyDescent="0.25">
      <c r="A37" s="11" t="s">
        <v>36</v>
      </c>
      <c r="B37" s="6">
        <v>392343</v>
      </c>
    </row>
    <row r="38" spans="1:2" x14ac:dyDescent="0.25">
      <c r="A38" s="11" t="s">
        <v>37</v>
      </c>
      <c r="B38" s="6">
        <v>170507</v>
      </c>
    </row>
    <row r="39" spans="1:2" x14ac:dyDescent="0.25">
      <c r="A39" s="11" t="s">
        <v>38</v>
      </c>
      <c r="B39" s="6">
        <v>200869</v>
      </c>
    </row>
    <row r="40" spans="1:2" x14ac:dyDescent="0.25">
      <c r="A40" s="11" t="s">
        <v>39</v>
      </c>
      <c r="B40" s="6">
        <v>640036</v>
      </c>
    </row>
    <row r="41" spans="1:2" x14ac:dyDescent="0.25">
      <c r="A41" s="11" t="s">
        <v>40</v>
      </c>
      <c r="B41" s="6">
        <v>101368</v>
      </c>
    </row>
    <row r="42" spans="1:2" x14ac:dyDescent="0.25">
      <c r="A42" s="11" t="s">
        <v>41</v>
      </c>
      <c r="B42" s="6">
        <v>301499</v>
      </c>
    </row>
    <row r="43" spans="1:2" x14ac:dyDescent="0.25">
      <c r="A43" s="11" t="s">
        <v>42</v>
      </c>
      <c r="B43" s="6">
        <v>16158</v>
      </c>
    </row>
    <row r="44" spans="1:2" x14ac:dyDescent="0.25">
      <c r="A44" s="11" t="s">
        <v>43</v>
      </c>
      <c r="B44" s="6">
        <v>48608</v>
      </c>
    </row>
    <row r="45" spans="1:2" x14ac:dyDescent="0.25">
      <c r="A45" s="11" t="s">
        <v>44</v>
      </c>
      <c r="B45" s="6">
        <v>50624401</v>
      </c>
    </row>
    <row r="46" spans="1:2" x14ac:dyDescent="0.25">
      <c r="A46" s="11" t="s">
        <v>45</v>
      </c>
      <c r="B46" s="6">
        <v>83465634</v>
      </c>
    </row>
    <row r="47" spans="1:2" x14ac:dyDescent="0.25">
      <c r="A47" s="11" t="s">
        <v>46</v>
      </c>
      <c r="B47" s="6">
        <v>70479</v>
      </c>
    </row>
    <row r="48" spans="1:2" x14ac:dyDescent="0.25">
      <c r="A48" s="11" t="s">
        <v>124</v>
      </c>
      <c r="B48" s="6"/>
    </row>
    <row r="49" spans="1:2" x14ac:dyDescent="0.25">
      <c r="A49" s="11" t="s">
        <v>47</v>
      </c>
      <c r="B49" s="6">
        <v>33554544</v>
      </c>
    </row>
    <row r="50" spans="1:2" x14ac:dyDescent="0.25">
      <c r="A50" s="11" t="s">
        <v>48</v>
      </c>
      <c r="B50" s="6">
        <v>283626072</v>
      </c>
    </row>
    <row r="51" spans="1:2" x14ac:dyDescent="0.25">
      <c r="A51" s="11" t="s">
        <v>49</v>
      </c>
      <c r="B51" s="6">
        <v>67217116</v>
      </c>
    </row>
    <row r="52" spans="1:2" x14ac:dyDescent="0.25">
      <c r="A52" s="11" t="s">
        <v>50</v>
      </c>
      <c r="B52" s="6">
        <v>43053113</v>
      </c>
    </row>
    <row r="53" spans="1:2" x14ac:dyDescent="0.25">
      <c r="A53" s="11" t="s">
        <v>55</v>
      </c>
      <c r="B53" s="6">
        <v>2806187</v>
      </c>
    </row>
    <row r="54" spans="1:2" x14ac:dyDescent="0.25">
      <c r="A54" s="11" t="s">
        <v>56</v>
      </c>
      <c r="B54" s="6">
        <v>22206217</v>
      </c>
    </row>
    <row r="55" spans="1:2" x14ac:dyDescent="0.25">
      <c r="A55" s="11" t="s">
        <v>57</v>
      </c>
      <c r="B55" s="6">
        <v>1067063</v>
      </c>
    </row>
    <row r="56" spans="1:2" x14ac:dyDescent="0.25">
      <c r="A56" s="11" t="s">
        <v>64</v>
      </c>
      <c r="B56" s="6">
        <v>373782</v>
      </c>
    </row>
    <row r="57" spans="1:2" x14ac:dyDescent="0.25">
      <c r="A57" s="11" t="s">
        <v>65</v>
      </c>
      <c r="B57" s="6">
        <v>15475759</v>
      </c>
    </row>
    <row r="58" spans="1:2" x14ac:dyDescent="0.25">
      <c r="A58" s="11" t="s">
        <v>66</v>
      </c>
      <c r="B58" s="6">
        <v>2067033</v>
      </c>
    </row>
    <row r="59" spans="1:2" x14ac:dyDescent="0.25">
      <c r="A59" s="11" t="s">
        <v>67</v>
      </c>
      <c r="B59" s="6">
        <v>98536585</v>
      </c>
    </row>
    <row r="60" spans="1:2" x14ac:dyDescent="0.25">
      <c r="A60" s="11" t="s">
        <v>68</v>
      </c>
      <c r="B60" s="6">
        <v>68959726</v>
      </c>
    </row>
    <row r="61" spans="1:2" x14ac:dyDescent="0.25">
      <c r="A61" s="11" t="s">
        <v>69</v>
      </c>
      <c r="B61" s="6">
        <v>114917926</v>
      </c>
    </row>
    <row r="62" spans="1:2" x14ac:dyDescent="0.25">
      <c r="A62" s="11" t="s">
        <v>80</v>
      </c>
      <c r="B62" s="6">
        <v>191465938</v>
      </c>
    </row>
    <row r="63" spans="1:2" x14ac:dyDescent="0.25">
      <c r="A63" s="11" t="s">
        <v>81</v>
      </c>
      <c r="B63" s="6">
        <v>411056</v>
      </c>
    </row>
    <row r="64" spans="1:2" x14ac:dyDescent="0.25">
      <c r="A64" s="11" t="s">
        <v>82</v>
      </c>
      <c r="B64" s="6">
        <v>24872175</v>
      </c>
    </row>
    <row r="65" spans="1:2" x14ac:dyDescent="0.25">
      <c r="A65" s="11" t="s">
        <v>83</v>
      </c>
      <c r="B65" s="6">
        <v>3702533</v>
      </c>
    </row>
    <row r="66" spans="1:2" x14ac:dyDescent="0.25">
      <c r="A66" s="11" t="s">
        <v>84</v>
      </c>
      <c r="B66" s="6"/>
    </row>
    <row r="67" spans="1:2" x14ac:dyDescent="0.25">
      <c r="A67" s="11" t="s">
        <v>85</v>
      </c>
      <c r="B67" s="6">
        <v>23065433</v>
      </c>
    </row>
    <row r="68" spans="1:2" x14ac:dyDescent="0.25">
      <c r="A68" s="11" t="s">
        <v>86</v>
      </c>
      <c r="B68" s="6">
        <v>29858843</v>
      </c>
    </row>
    <row r="69" spans="1:2" x14ac:dyDescent="0.25">
      <c r="A69" s="11" t="s">
        <v>87</v>
      </c>
      <c r="B69" s="6">
        <v>48297453</v>
      </c>
    </row>
    <row r="70" spans="1:2" x14ac:dyDescent="0.25">
      <c r="A70" s="11" t="s">
        <v>88</v>
      </c>
      <c r="B70" s="6"/>
    </row>
    <row r="71" spans="1:2" x14ac:dyDescent="0.25">
      <c r="A71" s="11" t="s">
        <v>89</v>
      </c>
      <c r="B71" s="6">
        <v>29976809</v>
      </c>
    </row>
    <row r="72" spans="1:2" x14ac:dyDescent="0.25">
      <c r="A72" s="11" t="s">
        <v>90</v>
      </c>
      <c r="B72" s="6">
        <v>150555</v>
      </c>
    </row>
    <row r="73" spans="1:2" x14ac:dyDescent="0.25">
      <c r="A73" s="11" t="s">
        <v>91</v>
      </c>
      <c r="B73" s="6">
        <v>30615426</v>
      </c>
    </row>
    <row r="74" spans="1:2" x14ac:dyDescent="0.25">
      <c r="A74" s="11" t="s">
        <v>92</v>
      </c>
      <c r="B74" s="6"/>
    </row>
    <row r="75" spans="1:2" x14ac:dyDescent="0.25">
      <c r="A75" s="11" t="s">
        <v>93</v>
      </c>
      <c r="B75" s="6"/>
    </row>
    <row r="76" spans="1:2" x14ac:dyDescent="0.25">
      <c r="A76" s="11" t="s">
        <v>94</v>
      </c>
      <c r="B76" s="6">
        <v>34315887</v>
      </c>
    </row>
    <row r="77" spans="1:2" x14ac:dyDescent="0.25">
      <c r="A77" s="11" t="s">
        <v>95</v>
      </c>
      <c r="B77" s="6">
        <v>106743233</v>
      </c>
    </row>
    <row r="78" spans="1:2" x14ac:dyDescent="0.25">
      <c r="A78" s="11" t="s">
        <v>96</v>
      </c>
      <c r="B78" s="6">
        <v>865776871</v>
      </c>
    </row>
    <row r="79" spans="1:2" x14ac:dyDescent="0.25">
      <c r="A79" s="11" t="s">
        <v>97</v>
      </c>
      <c r="B79" s="6">
        <v>11044211</v>
      </c>
    </row>
    <row r="80" spans="1:2" x14ac:dyDescent="0.25">
      <c r="A80" s="11" t="s">
        <v>98</v>
      </c>
      <c r="B80" s="6">
        <v>2060706676</v>
      </c>
    </row>
    <row r="81" spans="1:2" x14ac:dyDescent="0.25">
      <c r="A81" s="11" t="s">
        <v>99</v>
      </c>
      <c r="B81" s="6">
        <v>88266356.299999997</v>
      </c>
    </row>
    <row r="82" spans="1:2" x14ac:dyDescent="0.25">
      <c r="A82" s="11" t="s">
        <v>100</v>
      </c>
      <c r="B82" s="6">
        <v>171081833.80000001</v>
      </c>
    </row>
    <row r="83" spans="1:2" x14ac:dyDescent="0.25">
      <c r="A83" s="11" t="s">
        <v>101</v>
      </c>
      <c r="B83" s="6">
        <v>613841629.70000005</v>
      </c>
    </row>
    <row r="84" spans="1:2" x14ac:dyDescent="0.25">
      <c r="A84" s="11" t="s">
        <v>102</v>
      </c>
      <c r="B84" s="6">
        <v>387580864</v>
      </c>
    </row>
    <row r="85" spans="1:2" x14ac:dyDescent="0.25">
      <c r="A85" s="11" t="s">
        <v>103</v>
      </c>
      <c r="B85" s="6">
        <v>25120960.739999998</v>
      </c>
    </row>
    <row r="86" spans="1:2" x14ac:dyDescent="0.25">
      <c r="A86" s="11" t="s">
        <v>104</v>
      </c>
      <c r="B86" s="6">
        <v>63826890.979999997</v>
      </c>
    </row>
    <row r="87" spans="1:2" x14ac:dyDescent="0.25">
      <c r="A87" s="11" t="s">
        <v>105</v>
      </c>
      <c r="B87" s="6">
        <v>207445076.19999999</v>
      </c>
    </row>
    <row r="88" spans="1:2" x14ac:dyDescent="0.25">
      <c r="A88" s="11" t="s">
        <v>106</v>
      </c>
      <c r="B88" s="6">
        <v>165514397.69999999</v>
      </c>
    </row>
    <row r="89" spans="1:2" x14ac:dyDescent="0.25">
      <c r="A89" s="11" t="s">
        <v>107</v>
      </c>
      <c r="B89" s="6">
        <v>207179523.69999999</v>
      </c>
    </row>
    <row r="90" spans="1:2" x14ac:dyDescent="0.25">
      <c r="A90" s="11" t="s">
        <v>108</v>
      </c>
      <c r="B90" s="6">
        <v>59865959.439999998</v>
      </c>
    </row>
    <row r="91" spans="1:2" x14ac:dyDescent="0.25">
      <c r="A91" s="11" t="s">
        <v>109</v>
      </c>
      <c r="B91" s="6">
        <v>255739251.80000001</v>
      </c>
    </row>
    <row r="92" spans="1:2" x14ac:dyDescent="0.25">
      <c r="A92" s="11" t="s">
        <v>110</v>
      </c>
      <c r="B92" s="6">
        <v>437220900.10000002</v>
      </c>
    </row>
    <row r="93" spans="1:2" x14ac:dyDescent="0.25">
      <c r="A93" s="11" t="s">
        <v>111</v>
      </c>
      <c r="B93" s="6">
        <v>264014024.40000001</v>
      </c>
    </row>
    <row r="94" spans="1:2" x14ac:dyDescent="0.25">
      <c r="A94" s="11" t="s">
        <v>112</v>
      </c>
      <c r="B94" s="6">
        <v>312137241.69999999</v>
      </c>
    </row>
    <row r="95" spans="1:2" x14ac:dyDescent="0.25">
      <c r="A95" s="11" t="s">
        <v>113</v>
      </c>
      <c r="B95" s="6">
        <v>124143271</v>
      </c>
    </row>
    <row r="96" spans="1:2" x14ac:dyDescent="0.25">
      <c r="A96" s="11" t="s">
        <v>114</v>
      </c>
      <c r="B96" s="6">
        <v>32222759.59</v>
      </c>
    </row>
    <row r="97" spans="1:2" x14ac:dyDescent="0.25">
      <c r="A97" s="11" t="s">
        <v>115</v>
      </c>
      <c r="B97" s="6">
        <v>37758909.460000001</v>
      </c>
    </row>
    <row r="98" spans="1:2" x14ac:dyDescent="0.25">
      <c r="A98" s="11" t="s">
        <v>116</v>
      </c>
      <c r="B98" s="6">
        <v>525737374.89999998</v>
      </c>
    </row>
    <row r="99" spans="1:2" x14ac:dyDescent="0.25">
      <c r="A99" s="11" t="s">
        <v>117</v>
      </c>
      <c r="B99" s="6">
        <v>25356647.93</v>
      </c>
    </row>
    <row r="100" spans="1:2" x14ac:dyDescent="0.25">
      <c r="A100" s="11" t="s">
        <v>118</v>
      </c>
      <c r="B100" s="6">
        <v>42114215.920000002</v>
      </c>
    </row>
    <row r="101" spans="1:2" x14ac:dyDescent="0.25">
      <c r="A101" s="11" t="s">
        <v>120</v>
      </c>
      <c r="B101" s="6">
        <v>75463196.359999999</v>
      </c>
    </row>
    <row r="102" spans="1:2" x14ac:dyDescent="0.25">
      <c r="A102" s="11" t="s">
        <v>121</v>
      </c>
      <c r="B102" s="6">
        <v>4241336.3899999997</v>
      </c>
    </row>
    <row r="103" spans="1:2" x14ac:dyDescent="0.25">
      <c r="A103" s="11" t="s">
        <v>122</v>
      </c>
      <c r="B103" s="6">
        <v>216580550.80000001</v>
      </c>
    </row>
    <row r="104" spans="1:2" x14ac:dyDescent="0.25">
      <c r="A104" s="11" t="s">
        <v>125</v>
      </c>
      <c r="B104" s="6">
        <v>7581355946</v>
      </c>
    </row>
    <row r="105" spans="1:2" x14ac:dyDescent="0.25">
      <c r="A105" s="11" t="s">
        <v>139</v>
      </c>
      <c r="B105" s="6">
        <v>206088500.5</v>
      </c>
    </row>
    <row r="106" spans="1:2" x14ac:dyDescent="0.25">
      <c r="A106" s="11" t="s">
        <v>140</v>
      </c>
      <c r="B106" s="6">
        <v>39579448</v>
      </c>
    </row>
    <row r="107" spans="1:2" x14ac:dyDescent="0.25">
      <c r="A107" s="11" t="s">
        <v>141</v>
      </c>
      <c r="B107" s="6">
        <v>76236233</v>
      </c>
    </row>
    <row r="108" spans="1:2" x14ac:dyDescent="0.25">
      <c r="A108" s="11" t="s">
        <v>129</v>
      </c>
      <c r="B108" s="6">
        <v>168088280.30000001</v>
      </c>
    </row>
    <row r="109" spans="1:2" x14ac:dyDescent="0.25">
      <c r="A109" s="11"/>
      <c r="B109" s="6"/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09"/>
  <sheetViews>
    <sheetView topLeftCell="A3" workbookViewId="0">
      <selection activeCell="C3" sqref="C3"/>
    </sheetView>
  </sheetViews>
  <sheetFormatPr defaultRowHeight="15" x14ac:dyDescent="0.25"/>
  <cols>
    <col min="1" max="1" width="12.85546875" bestFit="1" customWidth="1"/>
    <col min="2" max="2" width="16.85546875" style="7" bestFit="1" customWidth="1"/>
    <col min="5" max="5" width="14.5703125" bestFit="1" customWidth="1"/>
  </cols>
  <sheetData>
    <row r="1" spans="1:5" x14ac:dyDescent="0.25">
      <c r="B1" s="7" t="s">
        <v>145</v>
      </c>
    </row>
    <row r="2" spans="1:5" x14ac:dyDescent="0.25">
      <c r="A2" s="9"/>
      <c r="B2" s="4"/>
    </row>
    <row r="3" spans="1:5" x14ac:dyDescent="0.25">
      <c r="A3" s="11" t="s">
        <v>48</v>
      </c>
      <c r="B3" s="6">
        <v>277729612</v>
      </c>
      <c r="C3" t="s">
        <v>48</v>
      </c>
      <c r="D3" t="b">
        <f>A3=C3</f>
        <v>1</v>
      </c>
    </row>
    <row r="4" spans="1:5" x14ac:dyDescent="0.25">
      <c r="A4" s="11" t="s">
        <v>49</v>
      </c>
      <c r="B4" s="6">
        <v>66561010</v>
      </c>
      <c r="C4" t="s">
        <v>49</v>
      </c>
      <c r="E4" t="s">
        <v>241</v>
      </c>
    </row>
    <row r="5" spans="1:5" x14ac:dyDescent="0.25">
      <c r="A5" s="11" t="s">
        <v>50</v>
      </c>
      <c r="B5" s="6">
        <v>42963134</v>
      </c>
      <c r="C5" t="s">
        <v>50</v>
      </c>
    </row>
    <row r="6" spans="1:5" x14ac:dyDescent="0.25">
      <c r="A6" s="11" t="s">
        <v>95</v>
      </c>
      <c r="B6" s="6">
        <v>106666597</v>
      </c>
      <c r="C6" t="s">
        <v>95</v>
      </c>
    </row>
    <row r="7" spans="1:5" x14ac:dyDescent="0.25">
      <c r="A7" s="11" t="s">
        <v>2</v>
      </c>
      <c r="B7" s="6">
        <v>1481540</v>
      </c>
      <c r="C7" t="s">
        <v>2</v>
      </c>
    </row>
    <row r="8" spans="1:5" x14ac:dyDescent="0.25">
      <c r="A8" s="11" t="s">
        <v>3</v>
      </c>
      <c r="B8" s="6">
        <v>186688</v>
      </c>
      <c r="C8" t="s">
        <v>3</v>
      </c>
    </row>
    <row r="9" spans="1:5" x14ac:dyDescent="0.25">
      <c r="A9" s="11" t="s">
        <v>29</v>
      </c>
      <c r="B9" s="6">
        <v>585707261</v>
      </c>
      <c r="C9" t="s">
        <v>29</v>
      </c>
    </row>
    <row r="10" spans="1:5" x14ac:dyDescent="0.25">
      <c r="A10" s="11" t="s">
        <v>140</v>
      </c>
      <c r="B10" s="6">
        <v>39579448</v>
      </c>
      <c r="C10" t="s">
        <v>140</v>
      </c>
    </row>
    <row r="11" spans="1:5" x14ac:dyDescent="0.25">
      <c r="A11" s="11" t="s">
        <v>4</v>
      </c>
      <c r="B11" s="6">
        <v>2634</v>
      </c>
      <c r="C11" t="s">
        <v>4</v>
      </c>
    </row>
    <row r="12" spans="1:5" x14ac:dyDescent="0.25">
      <c r="A12" s="11" t="s">
        <v>5</v>
      </c>
      <c r="B12" s="6">
        <v>238881</v>
      </c>
      <c r="C12" t="s">
        <v>5</v>
      </c>
    </row>
    <row r="13" spans="1:5" x14ac:dyDescent="0.25">
      <c r="A13" s="11" t="s">
        <v>30</v>
      </c>
      <c r="B13" s="6">
        <v>1493690402</v>
      </c>
      <c r="C13" t="s">
        <v>30</v>
      </c>
    </row>
    <row r="14" spans="1:5" x14ac:dyDescent="0.25">
      <c r="A14" s="11" t="s">
        <v>141</v>
      </c>
      <c r="B14" s="6">
        <v>76236233</v>
      </c>
      <c r="C14" t="s">
        <v>141</v>
      </c>
    </row>
    <row r="15" spans="1:5" x14ac:dyDescent="0.25">
      <c r="A15" s="11" t="s">
        <v>6</v>
      </c>
      <c r="B15" s="6">
        <v>233561</v>
      </c>
      <c r="C15" t="s">
        <v>6</v>
      </c>
    </row>
    <row r="16" spans="1:5" x14ac:dyDescent="0.25">
      <c r="A16" s="11" t="s">
        <v>7</v>
      </c>
      <c r="B16" s="6">
        <v>22238</v>
      </c>
      <c r="C16" t="s">
        <v>7</v>
      </c>
    </row>
    <row r="17" spans="1:3" x14ac:dyDescent="0.25">
      <c r="A17" s="11" t="s">
        <v>55</v>
      </c>
      <c r="B17" s="6">
        <v>2799249</v>
      </c>
      <c r="C17" t="s">
        <v>55</v>
      </c>
    </row>
    <row r="18" spans="1:3" x14ac:dyDescent="0.25">
      <c r="A18" s="11" t="s">
        <v>56</v>
      </c>
      <c r="B18" s="6">
        <v>22068402</v>
      </c>
      <c r="C18" t="s">
        <v>56</v>
      </c>
    </row>
    <row r="19" spans="1:3" x14ac:dyDescent="0.25">
      <c r="A19" s="11" t="s">
        <v>57</v>
      </c>
      <c r="B19" s="6">
        <v>1058727</v>
      </c>
      <c r="C19" t="s">
        <v>57</v>
      </c>
    </row>
    <row r="20" spans="1:3" x14ac:dyDescent="0.25">
      <c r="A20" s="11" t="s">
        <v>103</v>
      </c>
      <c r="B20" s="6">
        <v>25067401.030000001</v>
      </c>
      <c r="C20" t="s">
        <v>103</v>
      </c>
    </row>
    <row r="21" spans="1:3" x14ac:dyDescent="0.25">
      <c r="A21" s="11" t="s">
        <v>104</v>
      </c>
      <c r="B21" s="6">
        <v>62986980.57</v>
      </c>
      <c r="C21" t="s">
        <v>104</v>
      </c>
    </row>
    <row r="22" spans="1:3" x14ac:dyDescent="0.25">
      <c r="A22" s="11" t="s">
        <v>105</v>
      </c>
      <c r="B22" s="6">
        <v>205372012.36000001</v>
      </c>
      <c r="C22" t="s">
        <v>105</v>
      </c>
    </row>
    <row r="23" spans="1:3" x14ac:dyDescent="0.25">
      <c r="A23" s="11" t="s">
        <v>106</v>
      </c>
      <c r="B23" s="6">
        <v>162713928.02000001</v>
      </c>
      <c r="C23" t="s">
        <v>106</v>
      </c>
    </row>
    <row r="24" spans="1:3" x14ac:dyDescent="0.25">
      <c r="A24" s="11" t="s">
        <v>107</v>
      </c>
      <c r="B24" s="6">
        <v>205309775.53999999</v>
      </c>
      <c r="C24" t="s">
        <v>107</v>
      </c>
    </row>
    <row r="25" spans="1:3" x14ac:dyDescent="0.25">
      <c r="A25" s="11" t="s">
        <v>108</v>
      </c>
      <c r="B25" s="6">
        <v>59341891.520000003</v>
      </c>
      <c r="C25" t="s">
        <v>108</v>
      </c>
    </row>
    <row r="26" spans="1:3" x14ac:dyDescent="0.25">
      <c r="A26" s="11" t="s">
        <v>109</v>
      </c>
      <c r="B26" s="6">
        <v>252750904.13999999</v>
      </c>
      <c r="C26" t="s">
        <v>109</v>
      </c>
    </row>
    <row r="27" spans="1:3" x14ac:dyDescent="0.25">
      <c r="A27" s="11" t="s">
        <v>99</v>
      </c>
      <c r="B27" s="6">
        <v>89139060.120000005</v>
      </c>
      <c r="C27" t="s">
        <v>99</v>
      </c>
    </row>
    <row r="28" spans="1:3" x14ac:dyDescent="0.25">
      <c r="A28" s="11" t="s">
        <v>100</v>
      </c>
      <c r="B28" s="6">
        <v>172511072.22</v>
      </c>
      <c r="C28" t="s">
        <v>100</v>
      </c>
    </row>
    <row r="29" spans="1:3" x14ac:dyDescent="0.25">
      <c r="A29" s="11" t="s">
        <v>101</v>
      </c>
      <c r="B29" s="37">
        <v>525584641</v>
      </c>
      <c r="C29" t="s">
        <v>101</v>
      </c>
    </row>
    <row r="30" spans="1:3" x14ac:dyDescent="0.25">
      <c r="A30" s="11" t="s">
        <v>102</v>
      </c>
      <c r="B30" s="37">
        <v>387580864</v>
      </c>
      <c r="C30" t="s">
        <v>102</v>
      </c>
    </row>
    <row r="31" spans="1:3" x14ac:dyDescent="0.25">
      <c r="A31" s="11" t="s">
        <v>125</v>
      </c>
      <c r="B31" s="7">
        <v>7581355946</v>
      </c>
      <c r="C31" t="s">
        <v>125</v>
      </c>
    </row>
    <row r="32" spans="1:3" x14ac:dyDescent="0.25">
      <c r="A32" s="11" t="s">
        <v>31</v>
      </c>
      <c r="B32" s="6">
        <v>3538556</v>
      </c>
      <c r="C32" t="s">
        <v>31</v>
      </c>
    </row>
    <row r="33" spans="1:3" x14ac:dyDescent="0.25">
      <c r="A33" s="11" t="s">
        <v>32</v>
      </c>
      <c r="B33" s="6">
        <v>373579</v>
      </c>
      <c r="C33" t="s">
        <v>32</v>
      </c>
    </row>
    <row r="34" spans="1:3" x14ac:dyDescent="0.25">
      <c r="A34" s="11" t="s">
        <v>33</v>
      </c>
      <c r="B34" s="6">
        <v>6361782</v>
      </c>
      <c r="C34" t="s">
        <v>33</v>
      </c>
    </row>
    <row r="35" spans="1:3" x14ac:dyDescent="0.25">
      <c r="A35" s="11" t="s">
        <v>34</v>
      </c>
      <c r="B35" s="6">
        <v>254092</v>
      </c>
      <c r="C35" t="s">
        <v>34</v>
      </c>
    </row>
    <row r="36" spans="1:3" x14ac:dyDescent="0.25">
      <c r="A36" s="11" t="s">
        <v>35</v>
      </c>
      <c r="B36" s="6">
        <v>554470</v>
      </c>
      <c r="C36" t="s">
        <v>35</v>
      </c>
    </row>
    <row r="37" spans="1:3" x14ac:dyDescent="0.25">
      <c r="A37" s="11" t="s">
        <v>36</v>
      </c>
      <c r="B37" s="6">
        <v>392363</v>
      </c>
      <c r="C37" t="s">
        <v>36</v>
      </c>
    </row>
    <row r="38" spans="1:3" x14ac:dyDescent="0.25">
      <c r="A38" s="11" t="s">
        <v>37</v>
      </c>
      <c r="B38" s="6">
        <v>170524</v>
      </c>
      <c r="C38" t="s">
        <v>37</v>
      </c>
    </row>
    <row r="39" spans="1:3" x14ac:dyDescent="0.25">
      <c r="A39" s="11" t="s">
        <v>38</v>
      </c>
      <c r="B39" s="6">
        <v>200872</v>
      </c>
      <c r="C39" t="s">
        <v>38</v>
      </c>
    </row>
    <row r="40" spans="1:3" x14ac:dyDescent="0.25">
      <c r="A40" s="11" t="s">
        <v>39</v>
      </c>
      <c r="B40" s="6">
        <v>640068</v>
      </c>
      <c r="C40" t="s">
        <v>39</v>
      </c>
    </row>
    <row r="41" spans="1:3" x14ac:dyDescent="0.25">
      <c r="A41" s="11" t="s">
        <v>41</v>
      </c>
      <c r="B41" s="6">
        <v>301502</v>
      </c>
      <c r="C41" t="s">
        <v>41</v>
      </c>
    </row>
    <row r="42" spans="1:3" x14ac:dyDescent="0.25">
      <c r="A42" s="11" t="s">
        <v>42</v>
      </c>
      <c r="B42" s="6">
        <v>16157</v>
      </c>
      <c r="C42" t="s">
        <v>42</v>
      </c>
    </row>
    <row r="43" spans="1:3" x14ac:dyDescent="0.25">
      <c r="A43" s="11" t="s">
        <v>43</v>
      </c>
      <c r="B43" s="6">
        <v>48608</v>
      </c>
      <c r="C43" t="s">
        <v>43</v>
      </c>
    </row>
    <row r="44" spans="1:3" x14ac:dyDescent="0.25">
      <c r="A44" s="11" t="s">
        <v>44</v>
      </c>
      <c r="B44" s="6">
        <v>50447467</v>
      </c>
      <c r="C44" t="s">
        <v>44</v>
      </c>
    </row>
    <row r="45" spans="1:3" x14ac:dyDescent="0.25">
      <c r="A45" s="11" t="s">
        <v>64</v>
      </c>
      <c r="B45" s="6">
        <v>369249</v>
      </c>
      <c r="C45" t="s">
        <v>64</v>
      </c>
    </row>
    <row r="46" spans="1:3" x14ac:dyDescent="0.25">
      <c r="A46" s="11" t="s">
        <v>65</v>
      </c>
      <c r="B46" s="6">
        <v>15447822</v>
      </c>
      <c r="C46" t="s">
        <v>65</v>
      </c>
    </row>
    <row r="47" spans="1:3" x14ac:dyDescent="0.25">
      <c r="A47" s="11" t="s">
        <v>66</v>
      </c>
      <c r="B47" s="6">
        <v>2060897</v>
      </c>
      <c r="C47" t="s">
        <v>66</v>
      </c>
    </row>
    <row r="48" spans="1:3" x14ac:dyDescent="0.25">
      <c r="A48" s="11" t="s">
        <v>67</v>
      </c>
      <c r="B48" s="6">
        <v>98155102</v>
      </c>
      <c r="C48" t="s">
        <v>67</v>
      </c>
    </row>
    <row r="49" spans="1:3" x14ac:dyDescent="0.25">
      <c r="A49" s="11" t="s">
        <v>68</v>
      </c>
      <c r="B49" s="6">
        <v>68569293</v>
      </c>
      <c r="C49" t="s">
        <v>68</v>
      </c>
    </row>
    <row r="50" spans="1:3" x14ac:dyDescent="0.25">
      <c r="A50" s="11" t="s">
        <v>69</v>
      </c>
      <c r="B50" s="6">
        <v>114029582</v>
      </c>
      <c r="C50" t="s">
        <v>69</v>
      </c>
    </row>
    <row r="51" spans="1:3" x14ac:dyDescent="0.25">
      <c r="A51" s="11" t="s">
        <v>124</v>
      </c>
      <c r="C51" t="s">
        <v>124</v>
      </c>
    </row>
    <row r="52" spans="1:3" x14ac:dyDescent="0.25">
      <c r="A52" s="11" t="s">
        <v>80</v>
      </c>
      <c r="B52" s="6">
        <v>190990409</v>
      </c>
      <c r="C52" t="s">
        <v>80</v>
      </c>
    </row>
    <row r="53" spans="1:3" x14ac:dyDescent="0.25">
      <c r="A53" s="11" t="s">
        <v>26</v>
      </c>
      <c r="B53" s="6">
        <v>899952224</v>
      </c>
      <c r="C53" t="s">
        <v>26</v>
      </c>
    </row>
    <row r="54" spans="1:3" x14ac:dyDescent="0.25">
      <c r="A54" s="11" t="s">
        <v>45</v>
      </c>
      <c r="B54" s="6">
        <v>83389392</v>
      </c>
      <c r="C54" t="s">
        <v>45</v>
      </c>
    </row>
    <row r="55" spans="1:3" x14ac:dyDescent="0.25">
      <c r="A55" s="11" t="s">
        <v>27</v>
      </c>
      <c r="B55" s="6">
        <v>1315196717</v>
      </c>
      <c r="C55" t="s">
        <v>27</v>
      </c>
    </row>
    <row r="56" spans="1:3" x14ac:dyDescent="0.25">
      <c r="A56" s="11" t="s">
        <v>97</v>
      </c>
      <c r="B56" s="6">
        <v>11028225</v>
      </c>
      <c r="C56" t="s">
        <v>97</v>
      </c>
    </row>
    <row r="57" spans="1:3" x14ac:dyDescent="0.25">
      <c r="A57" s="11" t="s">
        <v>96</v>
      </c>
      <c r="B57" s="6">
        <v>861545458</v>
      </c>
      <c r="C57" t="s">
        <v>96</v>
      </c>
    </row>
    <row r="58" spans="1:3" x14ac:dyDescent="0.25">
      <c r="A58" s="11" t="s">
        <v>81</v>
      </c>
      <c r="B58" s="6">
        <v>408901</v>
      </c>
      <c r="C58" t="s">
        <v>81</v>
      </c>
    </row>
    <row r="59" spans="1:3" x14ac:dyDescent="0.25">
      <c r="A59" s="11" t="s">
        <v>98</v>
      </c>
      <c r="B59" s="6">
        <v>2039557460</v>
      </c>
      <c r="C59" t="s">
        <v>98</v>
      </c>
    </row>
    <row r="60" spans="1:3" x14ac:dyDescent="0.25">
      <c r="A60" s="11" t="s">
        <v>28</v>
      </c>
      <c r="B60" s="6">
        <v>1433873262</v>
      </c>
      <c r="C60" t="s">
        <v>28</v>
      </c>
    </row>
    <row r="61" spans="1:3" x14ac:dyDescent="0.25">
      <c r="A61" s="11" t="s">
        <v>129</v>
      </c>
      <c r="B61" s="6">
        <v>165003046.90101999</v>
      </c>
      <c r="C61" t="s">
        <v>129</v>
      </c>
    </row>
    <row r="62" spans="1:3" x14ac:dyDescent="0.25">
      <c r="A62" s="11" t="s">
        <v>110</v>
      </c>
      <c r="B62" s="6">
        <v>431707894.97000003</v>
      </c>
      <c r="C62" t="s">
        <v>110</v>
      </c>
    </row>
    <row r="63" spans="1:3" x14ac:dyDescent="0.25">
      <c r="A63" s="11" t="s">
        <v>111</v>
      </c>
      <c r="B63" s="6">
        <v>261327391.58000001</v>
      </c>
      <c r="C63" t="s">
        <v>111</v>
      </c>
    </row>
    <row r="64" spans="1:3" x14ac:dyDescent="0.25">
      <c r="A64" s="11" t="s">
        <v>112</v>
      </c>
      <c r="B64" s="6">
        <v>309322782.13999999</v>
      </c>
      <c r="C64" t="s">
        <v>112</v>
      </c>
    </row>
    <row r="65" spans="1:3" x14ac:dyDescent="0.25">
      <c r="A65" s="11" t="s">
        <v>122</v>
      </c>
      <c r="B65" s="6">
        <v>215260727.61000001</v>
      </c>
      <c r="C65" t="s">
        <v>122</v>
      </c>
    </row>
    <row r="66" spans="1:3" x14ac:dyDescent="0.25">
      <c r="A66" s="11" t="s">
        <v>123</v>
      </c>
      <c r="B66" s="6">
        <v>235324807.88</v>
      </c>
      <c r="C66" t="s">
        <v>123</v>
      </c>
    </row>
    <row r="67" spans="1:3" x14ac:dyDescent="0.25">
      <c r="A67" s="11" t="s">
        <v>139</v>
      </c>
      <c r="B67" s="6">
        <v>205661869</v>
      </c>
      <c r="C67" t="s">
        <v>139</v>
      </c>
    </row>
    <row r="68" spans="1:3" x14ac:dyDescent="0.25">
      <c r="A68" s="11" t="s">
        <v>8</v>
      </c>
      <c r="B68" s="6">
        <v>49586021</v>
      </c>
      <c r="C68" t="s">
        <v>8</v>
      </c>
    </row>
    <row r="69" spans="1:3" x14ac:dyDescent="0.25">
      <c r="A69" s="11" t="s">
        <v>40</v>
      </c>
      <c r="B69" s="6">
        <v>101372</v>
      </c>
      <c r="C69" t="s">
        <v>40</v>
      </c>
    </row>
    <row r="70" spans="1:3" x14ac:dyDescent="0.25">
      <c r="A70" s="11" t="s">
        <v>9</v>
      </c>
      <c r="B70" s="6">
        <v>185462128</v>
      </c>
      <c r="C70" t="s">
        <v>9</v>
      </c>
    </row>
    <row r="71" spans="1:3" x14ac:dyDescent="0.25">
      <c r="A71" s="11" t="s">
        <v>10</v>
      </c>
      <c r="B71" s="6">
        <v>200336142</v>
      </c>
      <c r="C71" t="s">
        <v>10</v>
      </c>
    </row>
    <row r="72" spans="1:3" x14ac:dyDescent="0.25">
      <c r="A72" s="11" t="s">
        <v>113</v>
      </c>
      <c r="C72" t="s">
        <v>113</v>
      </c>
    </row>
    <row r="73" spans="1:3" x14ac:dyDescent="0.25">
      <c r="A73" s="11" t="s">
        <v>114</v>
      </c>
      <c r="B73" s="6">
        <v>31732270.920000002</v>
      </c>
      <c r="C73" t="s">
        <v>114</v>
      </c>
    </row>
    <row r="74" spans="1:3" x14ac:dyDescent="0.25">
      <c r="A74" s="11" t="s">
        <v>11</v>
      </c>
      <c r="B74" s="6">
        <v>15109500</v>
      </c>
      <c r="C74" t="s">
        <v>11</v>
      </c>
    </row>
    <row r="75" spans="1:3" x14ac:dyDescent="0.25">
      <c r="A75" s="11" t="s">
        <v>12</v>
      </c>
      <c r="B75" s="6">
        <v>7708366</v>
      </c>
      <c r="C75" t="s">
        <v>12</v>
      </c>
    </row>
    <row r="76" spans="1:3" x14ac:dyDescent="0.25">
      <c r="A76" s="11" t="s">
        <v>13</v>
      </c>
      <c r="B76" s="6">
        <v>7473972</v>
      </c>
      <c r="C76" t="s">
        <v>13</v>
      </c>
    </row>
    <row r="77" spans="1:3" x14ac:dyDescent="0.25">
      <c r="A77" s="11" t="s">
        <v>14</v>
      </c>
      <c r="B77" s="6">
        <v>11013739</v>
      </c>
      <c r="C77" t="s">
        <v>14</v>
      </c>
    </row>
    <row r="78" spans="1:3" x14ac:dyDescent="0.25">
      <c r="A78" s="11" t="s">
        <v>15</v>
      </c>
      <c r="B78" s="6">
        <v>10132260</v>
      </c>
      <c r="C78" t="s">
        <v>15</v>
      </c>
    </row>
    <row r="79" spans="1:3" x14ac:dyDescent="0.25">
      <c r="A79" s="11" t="s">
        <v>82</v>
      </c>
      <c r="B79" s="6">
        <v>24614522</v>
      </c>
      <c r="C79" t="s">
        <v>82</v>
      </c>
    </row>
    <row r="80" spans="1:3" x14ac:dyDescent="0.25">
      <c r="A80" s="11" t="s">
        <v>83</v>
      </c>
      <c r="B80" s="6">
        <v>3650444</v>
      </c>
      <c r="C80" t="s">
        <v>83</v>
      </c>
    </row>
    <row r="81" spans="1:3" x14ac:dyDescent="0.25">
      <c r="A81" s="11" t="s">
        <v>22</v>
      </c>
      <c r="B81" s="6">
        <v>2165682</v>
      </c>
      <c r="C81" t="s">
        <v>22</v>
      </c>
    </row>
    <row r="82" spans="1:3" x14ac:dyDescent="0.25">
      <c r="A82" s="11" t="s">
        <v>23</v>
      </c>
      <c r="C82" t="s">
        <v>23</v>
      </c>
    </row>
    <row r="83" spans="1:3" x14ac:dyDescent="0.25">
      <c r="A83" s="11" t="s">
        <v>24</v>
      </c>
      <c r="C83" t="s">
        <v>24</v>
      </c>
    </row>
    <row r="84" spans="1:3" x14ac:dyDescent="0.25">
      <c r="A84" s="11" t="s">
        <v>46</v>
      </c>
      <c r="B84" s="6">
        <v>70303</v>
      </c>
      <c r="C84" t="s">
        <v>46</v>
      </c>
    </row>
    <row r="85" spans="1:3" x14ac:dyDescent="0.25">
      <c r="A85" s="11" t="s">
        <v>16</v>
      </c>
      <c r="B85" s="6">
        <v>80297</v>
      </c>
      <c r="C85" t="s">
        <v>16</v>
      </c>
    </row>
    <row r="86" spans="1:3" x14ac:dyDescent="0.25">
      <c r="A86" s="11" t="s">
        <v>115</v>
      </c>
      <c r="B86" s="6">
        <v>37698828.200000003</v>
      </c>
      <c r="C86" t="s">
        <v>115</v>
      </c>
    </row>
    <row r="87" spans="1:3" x14ac:dyDescent="0.25">
      <c r="A87" s="11" t="s">
        <v>116</v>
      </c>
      <c r="B87" s="6">
        <v>526961584.69999999</v>
      </c>
      <c r="C87" t="s">
        <v>116</v>
      </c>
    </row>
    <row r="88" spans="1:3" x14ac:dyDescent="0.25">
      <c r="A88" s="11" t="s">
        <v>117</v>
      </c>
      <c r="B88" s="6">
        <v>25190271.350000001</v>
      </c>
      <c r="C88" t="s">
        <v>117</v>
      </c>
    </row>
    <row r="89" spans="1:3" x14ac:dyDescent="0.25">
      <c r="A89" s="11" t="s">
        <v>118</v>
      </c>
      <c r="B89" s="6">
        <v>41618191.170000002</v>
      </c>
      <c r="C89" t="s">
        <v>118</v>
      </c>
    </row>
    <row r="90" spans="1:3" x14ac:dyDescent="0.25">
      <c r="A90" s="11" t="s">
        <v>120</v>
      </c>
      <c r="B90" s="6">
        <v>74942944.650000006</v>
      </c>
      <c r="C90" t="s">
        <v>120</v>
      </c>
    </row>
    <row r="91" spans="1:3" x14ac:dyDescent="0.25">
      <c r="A91" s="11" t="s">
        <v>121</v>
      </c>
      <c r="B91" s="6">
        <v>4220955.04</v>
      </c>
      <c r="C91" t="s">
        <v>121</v>
      </c>
    </row>
    <row r="92" spans="1:3" x14ac:dyDescent="0.25">
      <c r="A92" s="11" t="s">
        <v>17</v>
      </c>
      <c r="B92" s="6">
        <v>118897660</v>
      </c>
      <c r="C92" t="s">
        <v>17</v>
      </c>
    </row>
    <row r="93" spans="1:3" x14ac:dyDescent="0.25">
      <c r="A93" s="11" t="s">
        <v>18</v>
      </c>
      <c r="B93" s="6">
        <v>556023434</v>
      </c>
      <c r="C93" t="s">
        <v>18</v>
      </c>
    </row>
    <row r="94" spans="1:3" x14ac:dyDescent="0.25">
      <c r="A94" s="11" t="s">
        <v>19</v>
      </c>
      <c r="B94" s="6">
        <v>99178900</v>
      </c>
      <c r="C94" t="s">
        <v>19</v>
      </c>
    </row>
    <row r="95" spans="1:3" x14ac:dyDescent="0.25">
      <c r="A95" s="11" t="s">
        <v>20</v>
      </c>
      <c r="B95" s="6">
        <v>1587162962</v>
      </c>
      <c r="C95" t="s">
        <v>20</v>
      </c>
    </row>
    <row r="96" spans="1:3" x14ac:dyDescent="0.25">
      <c r="A96" s="11" t="s">
        <v>21</v>
      </c>
      <c r="B96" s="6">
        <v>664182314</v>
      </c>
      <c r="C96" t="s">
        <v>21</v>
      </c>
    </row>
    <row r="97" spans="1:3" x14ac:dyDescent="0.25">
      <c r="A97" s="11" t="s">
        <v>47</v>
      </c>
      <c r="B97" s="6">
        <v>33424336</v>
      </c>
      <c r="C97" t="s">
        <v>47</v>
      </c>
    </row>
    <row r="98" spans="1:3" x14ac:dyDescent="0.25">
      <c r="A98" s="11" t="s">
        <v>84</v>
      </c>
      <c r="C98" t="s">
        <v>84</v>
      </c>
    </row>
    <row r="99" spans="1:3" x14ac:dyDescent="0.25">
      <c r="A99" s="11" t="s">
        <v>85</v>
      </c>
      <c r="B99" s="6">
        <v>22952411</v>
      </c>
      <c r="C99" t="s">
        <v>85</v>
      </c>
    </row>
    <row r="100" spans="1:3" x14ac:dyDescent="0.25">
      <c r="A100" s="11" t="s">
        <v>86</v>
      </c>
      <c r="B100" s="6">
        <v>29668664</v>
      </c>
      <c r="C100" t="s">
        <v>86</v>
      </c>
    </row>
    <row r="101" spans="1:3" x14ac:dyDescent="0.25">
      <c r="A101" s="11" t="s">
        <v>87</v>
      </c>
      <c r="B101" s="6">
        <v>48254381</v>
      </c>
      <c r="C101" t="s">
        <v>87</v>
      </c>
    </row>
    <row r="102" spans="1:3" x14ac:dyDescent="0.25">
      <c r="A102" s="11" t="s">
        <v>88</v>
      </c>
      <c r="C102" t="s">
        <v>88</v>
      </c>
    </row>
    <row r="103" spans="1:3" x14ac:dyDescent="0.25">
      <c r="A103" s="11" t="s">
        <v>25</v>
      </c>
      <c r="C103" t="s">
        <v>25</v>
      </c>
    </row>
    <row r="104" spans="1:3" x14ac:dyDescent="0.25">
      <c r="A104" s="11" t="s">
        <v>89</v>
      </c>
      <c r="B104" s="6">
        <v>29753153</v>
      </c>
      <c r="C104" t="s">
        <v>89</v>
      </c>
    </row>
    <row r="105" spans="1:3" x14ac:dyDescent="0.25">
      <c r="A105" s="11" t="s">
        <v>90</v>
      </c>
      <c r="B105" s="6">
        <v>149152</v>
      </c>
      <c r="C105" t="s">
        <v>90</v>
      </c>
    </row>
    <row r="106" spans="1:3" x14ac:dyDescent="0.25">
      <c r="A106" s="11" t="s">
        <v>91</v>
      </c>
      <c r="B106" s="6">
        <v>30523859</v>
      </c>
      <c r="C106" t="s">
        <v>91</v>
      </c>
    </row>
    <row r="107" spans="1:3" x14ac:dyDescent="0.25">
      <c r="A107" s="11" t="s">
        <v>93</v>
      </c>
      <c r="C107" t="s">
        <v>93</v>
      </c>
    </row>
    <row r="108" spans="1:3" x14ac:dyDescent="0.25">
      <c r="A108" s="11" t="s">
        <v>92</v>
      </c>
      <c r="B108" s="6"/>
      <c r="C108" t="s">
        <v>92</v>
      </c>
    </row>
    <row r="109" spans="1:3" x14ac:dyDescent="0.25">
      <c r="A109" s="11" t="s">
        <v>94</v>
      </c>
      <c r="B109" s="6">
        <v>34163664</v>
      </c>
      <c r="C109" t="s">
        <v>94</v>
      </c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110"/>
  <sheetViews>
    <sheetView workbookViewId="0">
      <selection sqref="A1:B1048576"/>
    </sheetView>
  </sheetViews>
  <sheetFormatPr defaultRowHeight="15" x14ac:dyDescent="0.25"/>
  <cols>
    <col min="1" max="1" width="12.85546875" bestFit="1" customWidth="1"/>
    <col min="2" max="2" width="18" style="7" bestFit="1" customWidth="1"/>
  </cols>
  <sheetData>
    <row r="1" spans="1:2" x14ac:dyDescent="0.25">
      <c r="A1" t="s">
        <v>144</v>
      </c>
      <c r="B1" s="7" t="s">
        <v>145</v>
      </c>
    </row>
    <row r="3" spans="1:2" x14ac:dyDescent="0.25">
      <c r="A3" s="10" t="s">
        <v>146</v>
      </c>
      <c r="B3" s="6">
        <v>277729612</v>
      </c>
    </row>
    <row r="4" spans="1:2" x14ac:dyDescent="0.25">
      <c r="A4" s="10" t="s">
        <v>147</v>
      </c>
      <c r="B4" s="6">
        <v>66561010</v>
      </c>
    </row>
    <row r="5" spans="1:2" x14ac:dyDescent="0.25">
      <c r="A5" s="11" t="s">
        <v>148</v>
      </c>
      <c r="B5" s="36">
        <v>42963134</v>
      </c>
    </row>
    <row r="6" spans="1:2" x14ac:dyDescent="0.25">
      <c r="A6" s="11" t="s">
        <v>149</v>
      </c>
      <c r="B6" s="36">
        <v>106666597</v>
      </c>
    </row>
    <row r="7" spans="1:2" x14ac:dyDescent="0.25">
      <c r="A7" s="11" t="s">
        <v>150</v>
      </c>
      <c r="B7" s="36">
        <v>1481540</v>
      </c>
    </row>
    <row r="8" spans="1:2" x14ac:dyDescent="0.25">
      <c r="A8" s="11" t="s">
        <v>151</v>
      </c>
      <c r="B8" s="36">
        <v>186688</v>
      </c>
    </row>
    <row r="9" spans="1:2" x14ac:dyDescent="0.25">
      <c r="A9" s="11" t="s">
        <v>152</v>
      </c>
      <c r="B9" s="36">
        <v>585707261</v>
      </c>
    </row>
    <row r="10" spans="1:2" x14ac:dyDescent="0.25">
      <c r="A10" s="11" t="s">
        <v>153</v>
      </c>
      <c r="B10" s="36">
        <v>93158941.166040003</v>
      </c>
    </row>
    <row r="11" spans="1:2" x14ac:dyDescent="0.25">
      <c r="A11" s="11" t="s">
        <v>154</v>
      </c>
      <c r="B11" s="36">
        <v>2634</v>
      </c>
    </row>
    <row r="12" spans="1:2" x14ac:dyDescent="0.25">
      <c r="A12" s="11" t="s">
        <v>155</v>
      </c>
      <c r="B12" s="36">
        <v>238881</v>
      </c>
    </row>
    <row r="13" spans="1:2" x14ac:dyDescent="0.25">
      <c r="A13" s="11" t="s">
        <v>156</v>
      </c>
      <c r="B13" s="36">
        <v>1493690402</v>
      </c>
    </row>
    <row r="14" spans="1:2" x14ac:dyDescent="0.25">
      <c r="A14" s="11" t="s">
        <v>157</v>
      </c>
      <c r="B14" s="36">
        <v>93158943.125530005</v>
      </c>
    </row>
    <row r="15" spans="1:2" x14ac:dyDescent="0.25">
      <c r="A15" s="11" t="s">
        <v>158</v>
      </c>
      <c r="B15" s="36">
        <v>233561</v>
      </c>
    </row>
    <row r="16" spans="1:2" x14ac:dyDescent="0.25">
      <c r="A16" s="11" t="s">
        <v>159</v>
      </c>
      <c r="B16" s="36">
        <v>22238</v>
      </c>
    </row>
    <row r="17" spans="1:2" x14ac:dyDescent="0.25">
      <c r="A17" s="11" t="s">
        <v>160</v>
      </c>
      <c r="B17" s="36">
        <v>2799249</v>
      </c>
    </row>
    <row r="18" spans="1:2" x14ac:dyDescent="0.25">
      <c r="A18" s="11" t="s">
        <v>161</v>
      </c>
      <c r="B18" s="36">
        <v>22068402</v>
      </c>
    </row>
    <row r="19" spans="1:2" x14ac:dyDescent="0.25">
      <c r="A19" s="11" t="s">
        <v>162</v>
      </c>
      <c r="B19" s="36">
        <v>1058727</v>
      </c>
    </row>
    <row r="20" spans="1:2" x14ac:dyDescent="0.25">
      <c r="A20" s="11" t="s">
        <v>163</v>
      </c>
      <c r="B20" s="36">
        <v>25067401.030000001</v>
      </c>
    </row>
    <row r="21" spans="1:2" x14ac:dyDescent="0.25">
      <c r="A21" s="11" t="s">
        <v>164</v>
      </c>
      <c r="B21" s="36">
        <v>62986980.57</v>
      </c>
    </row>
    <row r="22" spans="1:2" x14ac:dyDescent="0.25">
      <c r="A22" s="11" t="s">
        <v>165</v>
      </c>
      <c r="B22" s="36">
        <v>205372012.36000001</v>
      </c>
    </row>
    <row r="23" spans="1:2" x14ac:dyDescent="0.25">
      <c r="A23" s="11" t="s">
        <v>166</v>
      </c>
      <c r="B23" s="36">
        <v>162713928.02000001</v>
      </c>
    </row>
    <row r="24" spans="1:2" x14ac:dyDescent="0.25">
      <c r="A24" s="11" t="s">
        <v>167</v>
      </c>
      <c r="B24" s="36">
        <v>205309775.53999999</v>
      </c>
    </row>
    <row r="25" spans="1:2" x14ac:dyDescent="0.25">
      <c r="A25" s="11" t="s">
        <v>168</v>
      </c>
      <c r="B25" s="36">
        <v>59341891.520000003</v>
      </c>
    </row>
    <row r="26" spans="1:2" x14ac:dyDescent="0.25">
      <c r="A26" s="11" t="s">
        <v>169</v>
      </c>
      <c r="B26" s="36">
        <v>252750904.13999999</v>
      </c>
    </row>
    <row r="27" spans="1:2" x14ac:dyDescent="0.25">
      <c r="A27" s="11" t="s">
        <v>170</v>
      </c>
      <c r="B27" s="36">
        <v>89139060.120000005</v>
      </c>
    </row>
    <row r="28" spans="1:2" x14ac:dyDescent="0.25">
      <c r="A28" s="11" t="s">
        <v>171</v>
      </c>
      <c r="B28" s="36">
        <v>172511072.22</v>
      </c>
    </row>
    <row r="29" spans="1:2" x14ac:dyDescent="0.25">
      <c r="A29" s="11" t="s">
        <v>172</v>
      </c>
      <c r="B29" s="36">
        <v>3538556</v>
      </c>
    </row>
    <row r="30" spans="1:2" x14ac:dyDescent="0.25">
      <c r="A30" s="11" t="s">
        <v>173</v>
      </c>
      <c r="B30" s="36">
        <v>373579</v>
      </c>
    </row>
    <row r="31" spans="1:2" x14ac:dyDescent="0.25">
      <c r="A31" s="11" t="s">
        <v>174</v>
      </c>
      <c r="B31" s="36">
        <v>6361782</v>
      </c>
    </row>
    <row r="32" spans="1:2" x14ac:dyDescent="0.25">
      <c r="A32" s="11" t="s">
        <v>175</v>
      </c>
      <c r="B32" s="36">
        <v>254092</v>
      </c>
    </row>
    <row r="33" spans="1:2" x14ac:dyDescent="0.25">
      <c r="A33" s="11" t="s">
        <v>176</v>
      </c>
      <c r="B33" s="36">
        <v>554470</v>
      </c>
    </row>
    <row r="34" spans="1:2" x14ac:dyDescent="0.25">
      <c r="A34" s="11" t="s">
        <v>177</v>
      </c>
      <c r="B34" s="36">
        <v>392363</v>
      </c>
    </row>
    <row r="35" spans="1:2" x14ac:dyDescent="0.25">
      <c r="A35" s="11" t="s">
        <v>178</v>
      </c>
      <c r="B35" s="36">
        <v>170524</v>
      </c>
    </row>
    <row r="36" spans="1:2" x14ac:dyDescent="0.25">
      <c r="A36" s="11" t="s">
        <v>179</v>
      </c>
      <c r="B36" s="36">
        <v>200872</v>
      </c>
    </row>
    <row r="37" spans="1:2" x14ac:dyDescent="0.25">
      <c r="A37" s="11" t="s">
        <v>180</v>
      </c>
      <c r="B37" s="36">
        <v>640068</v>
      </c>
    </row>
    <row r="38" spans="1:2" x14ac:dyDescent="0.25">
      <c r="A38" s="11" t="s">
        <v>181</v>
      </c>
      <c r="B38" s="36">
        <v>301502</v>
      </c>
    </row>
    <row r="39" spans="1:2" x14ac:dyDescent="0.25">
      <c r="A39" s="11" t="s">
        <v>182</v>
      </c>
      <c r="B39" s="36">
        <v>16157</v>
      </c>
    </row>
    <row r="40" spans="1:2" x14ac:dyDescent="0.25">
      <c r="A40" s="11" t="s">
        <v>183</v>
      </c>
      <c r="B40" s="36">
        <v>48608</v>
      </c>
    </row>
    <row r="41" spans="1:2" x14ac:dyDescent="0.25">
      <c r="A41" s="11" t="s">
        <v>184</v>
      </c>
      <c r="B41" s="36">
        <v>50447467</v>
      </c>
    </row>
    <row r="42" spans="1:2" x14ac:dyDescent="0.25">
      <c r="A42" s="11" t="s">
        <v>185</v>
      </c>
      <c r="B42" s="36">
        <v>369249</v>
      </c>
    </row>
    <row r="43" spans="1:2" x14ac:dyDescent="0.25">
      <c r="A43" s="11" t="s">
        <v>186</v>
      </c>
      <c r="B43" s="36">
        <v>15447822</v>
      </c>
    </row>
    <row r="44" spans="1:2" x14ac:dyDescent="0.25">
      <c r="A44" s="11" t="s">
        <v>187</v>
      </c>
      <c r="B44" s="36">
        <v>2060897</v>
      </c>
    </row>
    <row r="45" spans="1:2" x14ac:dyDescent="0.25">
      <c r="A45" s="11" t="s">
        <v>188</v>
      </c>
      <c r="B45" s="36">
        <v>98155102</v>
      </c>
    </row>
    <row r="46" spans="1:2" x14ac:dyDescent="0.25">
      <c r="A46" s="11" t="s">
        <v>189</v>
      </c>
      <c r="B46" s="36">
        <v>68569293</v>
      </c>
    </row>
    <row r="47" spans="1:2" x14ac:dyDescent="0.25">
      <c r="A47" s="11" t="s">
        <v>190</v>
      </c>
      <c r="B47" s="36">
        <v>114029582</v>
      </c>
    </row>
    <row r="48" spans="1:2" x14ac:dyDescent="0.25">
      <c r="A48" s="11" t="s">
        <v>191</v>
      </c>
      <c r="B48" s="36">
        <v>190990409</v>
      </c>
    </row>
    <row r="49" spans="1:2" x14ac:dyDescent="0.25">
      <c r="A49" s="11" t="s">
        <v>192</v>
      </c>
      <c r="B49" s="36">
        <v>899952224</v>
      </c>
    </row>
    <row r="50" spans="1:2" x14ac:dyDescent="0.25">
      <c r="A50" s="11" t="s">
        <v>193</v>
      </c>
      <c r="B50" s="36">
        <v>83389392</v>
      </c>
    </row>
    <row r="51" spans="1:2" x14ac:dyDescent="0.25">
      <c r="A51" s="11" t="s">
        <v>194</v>
      </c>
      <c r="B51" s="36">
        <v>1315196717</v>
      </c>
    </row>
    <row r="52" spans="1:2" x14ac:dyDescent="0.25">
      <c r="A52" s="11" t="s">
        <v>195</v>
      </c>
      <c r="B52" s="36">
        <v>11028225</v>
      </c>
    </row>
    <row r="53" spans="1:2" x14ac:dyDescent="0.25">
      <c r="A53" s="11" t="s">
        <v>196</v>
      </c>
      <c r="B53" s="36">
        <v>861545458</v>
      </c>
    </row>
    <row r="54" spans="1:2" x14ac:dyDescent="0.25">
      <c r="A54" s="11" t="s">
        <v>197</v>
      </c>
      <c r="B54" s="36">
        <v>408901</v>
      </c>
    </row>
    <row r="55" spans="1:2" x14ac:dyDescent="0.25">
      <c r="A55" s="11" t="s">
        <v>198</v>
      </c>
      <c r="B55" s="36">
        <v>2039557460</v>
      </c>
    </row>
    <row r="56" spans="1:2" x14ac:dyDescent="0.25">
      <c r="A56" s="11" t="s">
        <v>199</v>
      </c>
      <c r="B56" s="36">
        <v>1433873262</v>
      </c>
    </row>
    <row r="57" spans="1:2" x14ac:dyDescent="0.25">
      <c r="A57" s="11" t="s">
        <v>200</v>
      </c>
      <c r="B57" s="36">
        <v>165003046.90101999</v>
      </c>
    </row>
    <row r="58" spans="1:2" x14ac:dyDescent="0.25">
      <c r="A58" s="11" t="s">
        <v>201</v>
      </c>
      <c r="B58" s="36">
        <v>431707894.97000003</v>
      </c>
    </row>
    <row r="59" spans="1:2" x14ac:dyDescent="0.25">
      <c r="A59" s="11" t="s">
        <v>202</v>
      </c>
      <c r="B59" s="36">
        <v>261327391.58000001</v>
      </c>
    </row>
    <row r="60" spans="1:2" x14ac:dyDescent="0.25">
      <c r="A60" s="11" t="s">
        <v>203</v>
      </c>
      <c r="B60" s="36">
        <v>309322782.13999999</v>
      </c>
    </row>
    <row r="61" spans="1:2" x14ac:dyDescent="0.25">
      <c r="A61" s="11" t="s">
        <v>204</v>
      </c>
      <c r="B61" s="36">
        <v>215260727.61000001</v>
      </c>
    </row>
    <row r="62" spans="1:2" x14ac:dyDescent="0.25">
      <c r="A62" s="11" t="s">
        <v>205</v>
      </c>
      <c r="B62" s="36">
        <v>235324807.88</v>
      </c>
    </row>
    <row r="63" spans="1:2" x14ac:dyDescent="0.25">
      <c r="A63" s="11" t="s">
        <v>206</v>
      </c>
      <c r="B63" s="36">
        <v>205661869</v>
      </c>
    </row>
    <row r="64" spans="1:2" x14ac:dyDescent="0.25">
      <c r="A64" s="11" t="s">
        <v>207</v>
      </c>
      <c r="B64" s="36">
        <v>49586021</v>
      </c>
    </row>
    <row r="65" spans="1:2" x14ac:dyDescent="0.25">
      <c r="A65" s="11" t="s">
        <v>208</v>
      </c>
      <c r="B65" s="36">
        <v>101372</v>
      </c>
    </row>
    <row r="66" spans="1:2" x14ac:dyDescent="0.25">
      <c r="A66" s="11" t="s">
        <v>209</v>
      </c>
      <c r="B66" s="36">
        <v>185462128</v>
      </c>
    </row>
    <row r="67" spans="1:2" x14ac:dyDescent="0.25">
      <c r="A67" s="11" t="s">
        <v>210</v>
      </c>
      <c r="B67" s="36">
        <v>200336142</v>
      </c>
    </row>
    <row r="68" spans="1:2" x14ac:dyDescent="0.25">
      <c r="A68" s="11" t="s">
        <v>211</v>
      </c>
      <c r="B68" s="36">
        <v>31732270.920000002</v>
      </c>
    </row>
    <row r="69" spans="1:2" x14ac:dyDescent="0.25">
      <c r="A69" s="11" t="s">
        <v>212</v>
      </c>
      <c r="B69" s="36">
        <v>15109500</v>
      </c>
    </row>
    <row r="70" spans="1:2" x14ac:dyDescent="0.25">
      <c r="A70" s="11" t="s">
        <v>213</v>
      </c>
      <c r="B70" s="36">
        <v>7708366</v>
      </c>
    </row>
    <row r="71" spans="1:2" x14ac:dyDescent="0.25">
      <c r="A71" s="11" t="s">
        <v>214</v>
      </c>
      <c r="B71" s="36">
        <v>7473972</v>
      </c>
    </row>
    <row r="72" spans="1:2" x14ac:dyDescent="0.25">
      <c r="A72" s="11" t="s">
        <v>215</v>
      </c>
      <c r="B72" s="36">
        <v>11013739</v>
      </c>
    </row>
    <row r="73" spans="1:2" x14ac:dyDescent="0.25">
      <c r="A73" s="11" t="s">
        <v>216</v>
      </c>
      <c r="B73" s="36">
        <v>10132260</v>
      </c>
    </row>
    <row r="74" spans="1:2" x14ac:dyDescent="0.25">
      <c r="A74" s="11" t="s">
        <v>217</v>
      </c>
      <c r="B74" s="36">
        <v>24614522</v>
      </c>
    </row>
    <row r="75" spans="1:2" x14ac:dyDescent="0.25">
      <c r="A75" s="11" t="s">
        <v>218</v>
      </c>
      <c r="B75" s="36">
        <v>3650444</v>
      </c>
    </row>
    <row r="76" spans="1:2" x14ac:dyDescent="0.25">
      <c r="A76" s="11" t="s">
        <v>219</v>
      </c>
      <c r="B76" s="36">
        <v>2165682</v>
      </c>
    </row>
    <row r="77" spans="1:2" x14ac:dyDescent="0.25">
      <c r="A77" s="11" t="s">
        <v>220</v>
      </c>
      <c r="B77" s="36">
        <v>70303</v>
      </c>
    </row>
    <row r="78" spans="1:2" x14ac:dyDescent="0.25">
      <c r="A78" s="11" t="s">
        <v>221</v>
      </c>
      <c r="B78" s="36">
        <v>80297</v>
      </c>
    </row>
    <row r="79" spans="1:2" x14ac:dyDescent="0.25">
      <c r="A79" s="11" t="s">
        <v>222</v>
      </c>
      <c r="B79" s="36">
        <v>37698828.200000003</v>
      </c>
    </row>
    <row r="80" spans="1:2" x14ac:dyDescent="0.25">
      <c r="A80" s="11" t="s">
        <v>223</v>
      </c>
      <c r="B80" s="36">
        <v>526961584.69999999</v>
      </c>
    </row>
    <row r="81" spans="1:2" x14ac:dyDescent="0.25">
      <c r="A81" s="11" t="s">
        <v>224</v>
      </c>
      <c r="B81" s="36">
        <v>25190271.350000001</v>
      </c>
    </row>
    <row r="82" spans="1:2" x14ac:dyDescent="0.25">
      <c r="A82" s="11" t="s">
        <v>225</v>
      </c>
      <c r="B82" s="36">
        <v>41618191.170000002</v>
      </c>
    </row>
    <row r="83" spans="1:2" x14ac:dyDescent="0.25">
      <c r="A83" s="11" t="s">
        <v>226</v>
      </c>
      <c r="B83" s="36">
        <v>74942944.650000006</v>
      </c>
    </row>
    <row r="84" spans="1:2" x14ac:dyDescent="0.25">
      <c r="A84" s="11" t="s">
        <v>227</v>
      </c>
      <c r="B84" s="36">
        <v>4220955.04</v>
      </c>
    </row>
    <row r="85" spans="1:2" x14ac:dyDescent="0.25">
      <c r="A85" s="11" t="s">
        <v>228</v>
      </c>
      <c r="B85" s="36">
        <v>118897660</v>
      </c>
    </row>
    <row r="86" spans="1:2" x14ac:dyDescent="0.25">
      <c r="A86" s="11" t="s">
        <v>229</v>
      </c>
      <c r="B86" s="36">
        <v>556023434</v>
      </c>
    </row>
    <row r="87" spans="1:2" x14ac:dyDescent="0.25">
      <c r="A87" s="11" t="s">
        <v>230</v>
      </c>
      <c r="B87" s="36">
        <v>99178900</v>
      </c>
    </row>
    <row r="88" spans="1:2" x14ac:dyDescent="0.25">
      <c r="A88" s="11" t="s">
        <v>231</v>
      </c>
      <c r="B88" s="36">
        <v>1587162962</v>
      </c>
    </row>
    <row r="89" spans="1:2" x14ac:dyDescent="0.25">
      <c r="A89" s="11" t="s">
        <v>232</v>
      </c>
      <c r="B89" s="36">
        <v>664182314</v>
      </c>
    </row>
    <row r="90" spans="1:2" x14ac:dyDescent="0.25">
      <c r="A90" s="11" t="s">
        <v>233</v>
      </c>
      <c r="B90" s="36">
        <v>33424336</v>
      </c>
    </row>
    <row r="91" spans="1:2" x14ac:dyDescent="0.25">
      <c r="A91" s="11" t="s">
        <v>234</v>
      </c>
      <c r="B91" s="36">
        <v>22952411</v>
      </c>
    </row>
    <row r="92" spans="1:2" x14ac:dyDescent="0.25">
      <c r="A92" s="11" t="s">
        <v>235</v>
      </c>
      <c r="B92" s="36">
        <v>29668664</v>
      </c>
    </row>
    <row r="93" spans="1:2" x14ac:dyDescent="0.25">
      <c r="A93" s="11" t="s">
        <v>236</v>
      </c>
      <c r="B93" s="36">
        <v>48254381</v>
      </c>
    </row>
    <row r="94" spans="1:2" x14ac:dyDescent="0.25">
      <c r="A94" s="11" t="s">
        <v>237</v>
      </c>
      <c r="B94" s="36">
        <v>29753153</v>
      </c>
    </row>
    <row r="95" spans="1:2" x14ac:dyDescent="0.25">
      <c r="A95" s="11" t="s">
        <v>238</v>
      </c>
      <c r="B95" s="36">
        <v>149152</v>
      </c>
    </row>
    <row r="96" spans="1:2" x14ac:dyDescent="0.25">
      <c r="A96" s="11" t="s">
        <v>239</v>
      </c>
      <c r="B96" s="36">
        <v>30523859</v>
      </c>
    </row>
    <row r="97" spans="1:2" x14ac:dyDescent="0.25">
      <c r="A97" s="11" t="s">
        <v>240</v>
      </c>
      <c r="B97" s="36">
        <v>34163664</v>
      </c>
    </row>
    <row r="98" spans="1:2" x14ac:dyDescent="0.25">
      <c r="A98" s="11"/>
      <c r="B98" s="36"/>
    </row>
    <row r="99" spans="1:2" x14ac:dyDescent="0.25">
      <c r="A99" s="11"/>
      <c r="B99" s="36"/>
    </row>
    <row r="100" spans="1:2" x14ac:dyDescent="0.25">
      <c r="A100" s="11"/>
      <c r="B100" s="36"/>
    </row>
    <row r="101" spans="1:2" x14ac:dyDescent="0.25">
      <c r="A101" s="11"/>
      <c r="B101" s="36"/>
    </row>
    <row r="102" spans="1:2" x14ac:dyDescent="0.25">
      <c r="A102" s="11"/>
      <c r="B102" s="36"/>
    </row>
    <row r="103" spans="1:2" x14ac:dyDescent="0.25">
      <c r="A103" s="11"/>
      <c r="B103" s="36"/>
    </row>
    <row r="104" spans="1:2" x14ac:dyDescent="0.25">
      <c r="A104" s="11"/>
      <c r="B104" s="36"/>
    </row>
    <row r="105" spans="1:2" x14ac:dyDescent="0.25">
      <c r="A105" s="11"/>
      <c r="B105" s="36"/>
    </row>
    <row r="106" spans="1:2" x14ac:dyDescent="0.25">
      <c r="A106" s="11"/>
      <c r="B106" s="36"/>
    </row>
    <row r="107" spans="1:2" x14ac:dyDescent="0.25">
      <c r="A107" s="11"/>
      <c r="B107" s="36"/>
    </row>
    <row r="108" spans="1:2" x14ac:dyDescent="0.25">
      <c r="A108" s="11"/>
      <c r="B108" s="36"/>
    </row>
    <row r="109" spans="1:2" x14ac:dyDescent="0.25">
      <c r="A109" s="11"/>
      <c r="B109" s="36"/>
    </row>
    <row r="110" spans="1:2" x14ac:dyDescent="0.25">
      <c r="A110" s="11"/>
      <c r="B110" s="36"/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B109"/>
  <sheetViews>
    <sheetView workbookViewId="0">
      <selection activeCell="B20" sqref="B20"/>
    </sheetView>
  </sheetViews>
  <sheetFormatPr defaultRowHeight="15" x14ac:dyDescent="0.25"/>
  <cols>
    <col min="1" max="1" width="12.85546875" bestFit="1" customWidth="1"/>
    <col min="2" max="2" width="16.5703125" style="7" bestFit="1" customWidth="1"/>
  </cols>
  <sheetData>
    <row r="2" spans="1:2" x14ac:dyDescent="0.25">
      <c r="A2" s="9" t="s">
        <v>2</v>
      </c>
      <c r="B2" s="4">
        <v>1464199</v>
      </c>
    </row>
    <row r="3" spans="1:2" x14ac:dyDescent="0.25">
      <c r="A3" s="10" t="s">
        <v>3</v>
      </c>
      <c r="B3" s="5">
        <v>183351</v>
      </c>
    </row>
    <row r="4" spans="1:2" x14ac:dyDescent="0.25">
      <c r="A4" s="11" t="s">
        <v>4</v>
      </c>
      <c r="B4" s="6">
        <v>2612</v>
      </c>
    </row>
    <row r="5" spans="1:2" x14ac:dyDescent="0.25">
      <c r="A5" s="11" t="s">
        <v>5</v>
      </c>
      <c r="B5" s="6">
        <v>234911</v>
      </c>
    </row>
    <row r="6" spans="1:2" x14ac:dyDescent="0.25">
      <c r="A6" s="11" t="s">
        <v>6</v>
      </c>
      <c r="B6" s="6">
        <v>230541</v>
      </c>
    </row>
    <row r="7" spans="1:2" x14ac:dyDescent="0.25">
      <c r="A7" s="11" t="s">
        <v>7</v>
      </c>
      <c r="B7" s="6">
        <v>22152</v>
      </c>
    </row>
    <row r="8" spans="1:2" x14ac:dyDescent="0.25">
      <c r="A8" s="11" t="s">
        <v>8</v>
      </c>
      <c r="B8" s="6">
        <v>47212159</v>
      </c>
    </row>
    <row r="9" spans="1:2" x14ac:dyDescent="0.25">
      <c r="A9" s="11" t="s">
        <v>9</v>
      </c>
      <c r="B9" s="6">
        <v>185041330</v>
      </c>
    </row>
    <row r="10" spans="1:2" x14ac:dyDescent="0.25">
      <c r="A10" s="11" t="s">
        <v>10</v>
      </c>
      <c r="B10" s="6">
        <v>196724054</v>
      </c>
    </row>
    <row r="11" spans="1:2" x14ac:dyDescent="0.25">
      <c r="A11" s="11" t="s">
        <v>11</v>
      </c>
      <c r="B11" s="6">
        <v>14911741</v>
      </c>
    </row>
    <row r="12" spans="1:2" x14ac:dyDescent="0.25">
      <c r="A12" s="11" t="s">
        <v>12</v>
      </c>
      <c r="B12" s="6">
        <v>7563272</v>
      </c>
    </row>
    <row r="13" spans="1:2" x14ac:dyDescent="0.25">
      <c r="A13" s="11" t="s">
        <v>13</v>
      </c>
      <c r="B13" s="6">
        <v>7303186</v>
      </c>
    </row>
    <row r="14" spans="1:2" x14ac:dyDescent="0.25">
      <c r="A14" s="11" t="s">
        <v>14</v>
      </c>
      <c r="B14" s="6">
        <v>10702648</v>
      </c>
    </row>
    <row r="15" spans="1:2" x14ac:dyDescent="0.25">
      <c r="A15" s="11" t="s">
        <v>15</v>
      </c>
      <c r="B15" s="6">
        <v>9807692</v>
      </c>
    </row>
    <row r="16" spans="1:2" x14ac:dyDescent="0.25">
      <c r="A16" s="11" t="s">
        <v>16</v>
      </c>
      <c r="B16" s="6">
        <v>79781</v>
      </c>
    </row>
    <row r="17" spans="1:2" x14ac:dyDescent="0.25">
      <c r="A17" s="11" t="s">
        <v>17</v>
      </c>
      <c r="B17" s="6">
        <v>117059936</v>
      </c>
    </row>
    <row r="18" spans="1:2" x14ac:dyDescent="0.25">
      <c r="A18" s="11" t="s">
        <v>18</v>
      </c>
      <c r="B18" s="6">
        <v>542214278</v>
      </c>
    </row>
    <row r="19" spans="1:2" x14ac:dyDescent="0.25">
      <c r="A19" s="11" t="s">
        <v>19</v>
      </c>
      <c r="B19" s="6">
        <v>97222714</v>
      </c>
    </row>
    <row r="20" spans="1:2" x14ac:dyDescent="0.25">
      <c r="A20" s="11" t="s">
        <v>20</v>
      </c>
      <c r="B20" s="6">
        <v>1547290815</v>
      </c>
    </row>
    <row r="21" spans="1:2" x14ac:dyDescent="0.25">
      <c r="A21" s="11" t="s">
        <v>21</v>
      </c>
      <c r="B21" s="6">
        <v>643931174</v>
      </c>
    </row>
    <row r="22" spans="1:2" x14ac:dyDescent="0.25">
      <c r="A22" s="11" t="s">
        <v>22</v>
      </c>
      <c r="B22" s="6">
        <v>2168157</v>
      </c>
    </row>
    <row r="23" spans="1:2" x14ac:dyDescent="0.25">
      <c r="A23" s="11" t="s">
        <v>23</v>
      </c>
      <c r="B23" s="6">
        <v>1</v>
      </c>
    </row>
    <row r="24" spans="1:2" x14ac:dyDescent="0.25">
      <c r="A24" s="11" t="s">
        <v>24</v>
      </c>
      <c r="B24" s="6">
        <v>1</v>
      </c>
    </row>
    <row r="25" spans="1:2" x14ac:dyDescent="0.25">
      <c r="A25" s="11" t="s">
        <v>25</v>
      </c>
      <c r="B25" s="6"/>
    </row>
    <row r="26" spans="1:2" x14ac:dyDescent="0.25">
      <c r="A26" s="11" t="s">
        <v>26</v>
      </c>
      <c r="B26" s="6">
        <v>878313441</v>
      </c>
    </row>
    <row r="27" spans="1:2" x14ac:dyDescent="0.25">
      <c r="A27" s="11" t="s">
        <v>27</v>
      </c>
      <c r="B27" s="6">
        <v>1284259952</v>
      </c>
    </row>
    <row r="28" spans="1:2" x14ac:dyDescent="0.25">
      <c r="A28" s="11" t="s">
        <v>28</v>
      </c>
      <c r="B28" s="6">
        <v>1411380616</v>
      </c>
    </row>
    <row r="29" spans="1:2" x14ac:dyDescent="0.25">
      <c r="A29" s="11" t="s">
        <v>29</v>
      </c>
      <c r="B29" s="6">
        <v>583709957</v>
      </c>
    </row>
    <row r="30" spans="1:2" x14ac:dyDescent="0.25">
      <c r="A30" s="11" t="s">
        <v>30</v>
      </c>
      <c r="B30" s="6">
        <v>1491293507</v>
      </c>
    </row>
    <row r="31" spans="1:2" x14ac:dyDescent="0.25">
      <c r="A31" s="11" t="s">
        <v>31</v>
      </c>
      <c r="B31" s="6">
        <v>3517191</v>
      </c>
    </row>
    <row r="32" spans="1:2" x14ac:dyDescent="0.25">
      <c r="A32" s="11" t="s">
        <v>32</v>
      </c>
      <c r="B32" s="6">
        <v>372998</v>
      </c>
    </row>
    <row r="33" spans="1:2" x14ac:dyDescent="0.25">
      <c r="A33" s="11" t="s">
        <v>33</v>
      </c>
      <c r="B33" s="6">
        <v>6260451</v>
      </c>
    </row>
    <row r="34" spans="1:2" x14ac:dyDescent="0.25">
      <c r="A34" s="11" t="s">
        <v>34</v>
      </c>
      <c r="B34" s="6">
        <v>253715</v>
      </c>
    </row>
    <row r="35" spans="1:2" x14ac:dyDescent="0.25">
      <c r="A35" s="11" t="s">
        <v>35</v>
      </c>
      <c r="B35" s="6">
        <v>553073</v>
      </c>
    </row>
    <row r="36" spans="1:2" x14ac:dyDescent="0.25">
      <c r="A36" s="11" t="s">
        <v>36</v>
      </c>
      <c r="B36" s="6">
        <v>382524</v>
      </c>
    </row>
    <row r="37" spans="1:2" x14ac:dyDescent="0.25">
      <c r="A37" s="11" t="s">
        <v>37</v>
      </c>
      <c r="B37" s="6">
        <v>170171</v>
      </c>
    </row>
    <row r="38" spans="1:2" x14ac:dyDescent="0.25">
      <c r="A38" s="11" t="s">
        <v>38</v>
      </c>
      <c r="B38" s="6">
        <v>200924</v>
      </c>
    </row>
    <row r="39" spans="1:2" x14ac:dyDescent="0.25">
      <c r="A39" s="11" t="s">
        <v>39</v>
      </c>
      <c r="B39" s="6">
        <v>640110</v>
      </c>
    </row>
    <row r="40" spans="1:2" x14ac:dyDescent="0.25">
      <c r="A40" s="11" t="s">
        <v>40</v>
      </c>
      <c r="B40" s="6">
        <v>101378</v>
      </c>
    </row>
    <row r="41" spans="1:2" x14ac:dyDescent="0.25">
      <c r="A41" s="11" t="s">
        <v>41</v>
      </c>
      <c r="B41" s="6">
        <v>301237</v>
      </c>
    </row>
    <row r="42" spans="1:2" x14ac:dyDescent="0.25">
      <c r="A42" s="11" t="s">
        <v>42</v>
      </c>
      <c r="B42" s="6">
        <v>16146</v>
      </c>
    </row>
    <row r="43" spans="1:2" x14ac:dyDescent="0.25">
      <c r="A43" s="11" t="s">
        <v>43</v>
      </c>
      <c r="B43" s="6">
        <v>64202</v>
      </c>
    </row>
    <row r="44" spans="1:2" x14ac:dyDescent="0.25">
      <c r="A44" s="11" t="s">
        <v>44</v>
      </c>
      <c r="B44" s="6">
        <v>49870925</v>
      </c>
    </row>
    <row r="45" spans="1:2" x14ac:dyDescent="0.25">
      <c r="A45" s="11" t="s">
        <v>45</v>
      </c>
      <c r="B45" s="6">
        <v>81825808</v>
      </c>
    </row>
    <row r="46" spans="1:2" x14ac:dyDescent="0.25">
      <c r="A46" s="11" t="s">
        <v>46</v>
      </c>
      <c r="B46" s="6">
        <v>69494</v>
      </c>
    </row>
    <row r="47" spans="1:2" x14ac:dyDescent="0.25">
      <c r="A47" s="11" t="s">
        <v>124</v>
      </c>
      <c r="B47" s="6"/>
    </row>
    <row r="48" spans="1:2" x14ac:dyDescent="0.25">
      <c r="A48" s="11" t="s">
        <v>47</v>
      </c>
      <c r="B48" s="6">
        <v>32367504</v>
      </c>
    </row>
    <row r="49" spans="1:2" x14ac:dyDescent="0.25">
      <c r="A49" s="11" t="s">
        <v>48</v>
      </c>
      <c r="B49" s="6">
        <v>274256147</v>
      </c>
    </row>
    <row r="50" spans="1:2" x14ac:dyDescent="0.25">
      <c r="A50" s="11" t="s">
        <v>49</v>
      </c>
      <c r="B50" s="6">
        <v>65942217</v>
      </c>
    </row>
    <row r="51" spans="1:2" x14ac:dyDescent="0.25">
      <c r="A51" s="11" t="s">
        <v>50</v>
      </c>
      <c r="B51" s="6">
        <v>42246010</v>
      </c>
    </row>
    <row r="52" spans="1:2" x14ac:dyDescent="0.25">
      <c r="A52" s="11" t="s">
        <v>55</v>
      </c>
      <c r="B52" s="6">
        <v>2751624</v>
      </c>
    </row>
    <row r="53" spans="1:2" x14ac:dyDescent="0.25">
      <c r="A53" s="11" t="s">
        <v>56</v>
      </c>
      <c r="B53" s="6">
        <v>21480314</v>
      </c>
    </row>
    <row r="54" spans="1:2" x14ac:dyDescent="0.25">
      <c r="A54" s="11" t="s">
        <v>57</v>
      </c>
      <c r="B54" s="6">
        <v>1028308</v>
      </c>
    </row>
    <row r="55" spans="1:2" x14ac:dyDescent="0.25">
      <c r="A55" s="11" t="s">
        <v>64</v>
      </c>
      <c r="B55" s="6">
        <v>358914</v>
      </c>
    </row>
    <row r="56" spans="1:2" x14ac:dyDescent="0.25">
      <c r="A56" s="11" t="s">
        <v>65</v>
      </c>
      <c r="B56" s="6">
        <v>15220381</v>
      </c>
    </row>
    <row r="57" spans="1:2" x14ac:dyDescent="0.25">
      <c r="A57" s="11" t="s">
        <v>66</v>
      </c>
      <c r="B57" s="6">
        <v>2020141</v>
      </c>
    </row>
    <row r="58" spans="1:2" x14ac:dyDescent="0.25">
      <c r="A58" s="11" t="s">
        <v>67</v>
      </c>
      <c r="B58" s="6">
        <v>96226722</v>
      </c>
    </row>
    <row r="59" spans="1:2" x14ac:dyDescent="0.25">
      <c r="A59" s="11" t="s">
        <v>68</v>
      </c>
      <c r="B59" s="6">
        <v>66587045</v>
      </c>
    </row>
    <row r="60" spans="1:2" x14ac:dyDescent="0.25">
      <c r="A60" s="11" t="s">
        <v>69</v>
      </c>
      <c r="B60" s="6">
        <v>108781175</v>
      </c>
    </row>
    <row r="61" spans="1:2" x14ac:dyDescent="0.25">
      <c r="A61" s="11" t="s">
        <v>80</v>
      </c>
      <c r="B61" s="6">
        <v>188733549</v>
      </c>
    </row>
    <row r="62" spans="1:2" x14ac:dyDescent="0.25">
      <c r="A62" s="11" t="s">
        <v>81</v>
      </c>
      <c r="B62" s="6">
        <v>397342</v>
      </c>
    </row>
    <row r="63" spans="1:2" x14ac:dyDescent="0.25">
      <c r="A63" s="11" t="s">
        <v>82</v>
      </c>
      <c r="B63" s="6">
        <v>24381368</v>
      </c>
    </row>
    <row r="64" spans="1:2" x14ac:dyDescent="0.25">
      <c r="A64" s="11" t="s">
        <v>83</v>
      </c>
      <c r="B64" s="6">
        <v>3690288</v>
      </c>
    </row>
    <row r="65" spans="1:2" x14ac:dyDescent="0.25">
      <c r="A65" s="11" t="s">
        <v>84</v>
      </c>
      <c r="B65" s="6"/>
    </row>
    <row r="66" spans="1:2" x14ac:dyDescent="0.25">
      <c r="A66" s="11" t="s">
        <v>85</v>
      </c>
      <c r="B66" s="6">
        <v>22327155</v>
      </c>
    </row>
    <row r="67" spans="1:2" x14ac:dyDescent="0.25">
      <c r="A67" s="11" t="s">
        <v>86</v>
      </c>
      <c r="B67" s="6">
        <v>28868895</v>
      </c>
    </row>
    <row r="68" spans="1:2" x14ac:dyDescent="0.25">
      <c r="A68" s="11" t="s">
        <v>87</v>
      </c>
      <c r="B68" s="6">
        <v>47505458</v>
      </c>
    </row>
    <row r="69" spans="1:2" x14ac:dyDescent="0.25">
      <c r="A69" s="11" t="s">
        <v>88</v>
      </c>
      <c r="B69" s="6"/>
    </row>
    <row r="70" spans="1:2" x14ac:dyDescent="0.25">
      <c r="A70" s="11" t="s">
        <v>89</v>
      </c>
      <c r="B70" s="6">
        <v>28847780</v>
      </c>
    </row>
    <row r="71" spans="1:2" x14ac:dyDescent="0.25">
      <c r="A71" s="11" t="s">
        <v>90</v>
      </c>
      <c r="B71" s="6">
        <v>145538</v>
      </c>
    </row>
    <row r="72" spans="1:2" x14ac:dyDescent="0.25">
      <c r="A72" s="11" t="s">
        <v>91</v>
      </c>
      <c r="B72" s="6">
        <v>29976610</v>
      </c>
    </row>
    <row r="73" spans="1:2" x14ac:dyDescent="0.25">
      <c r="A73" s="11" t="s">
        <v>92</v>
      </c>
      <c r="B73" s="6"/>
    </row>
    <row r="74" spans="1:2" x14ac:dyDescent="0.25">
      <c r="A74" s="11" t="s">
        <v>93</v>
      </c>
      <c r="B74" s="6"/>
    </row>
    <row r="75" spans="1:2" x14ac:dyDescent="0.25">
      <c r="A75" s="11" t="s">
        <v>94</v>
      </c>
      <c r="B75" s="6">
        <v>33394817</v>
      </c>
    </row>
    <row r="76" spans="1:2" x14ac:dyDescent="0.25">
      <c r="A76" s="11" t="s">
        <v>95</v>
      </c>
      <c r="B76" s="6">
        <v>106445432</v>
      </c>
    </row>
    <row r="77" spans="1:2" x14ac:dyDescent="0.25">
      <c r="A77" s="11" t="s">
        <v>96</v>
      </c>
      <c r="B77" s="6">
        <v>810826978</v>
      </c>
    </row>
    <row r="78" spans="1:2" x14ac:dyDescent="0.25">
      <c r="A78" s="11" t="s">
        <v>97</v>
      </c>
      <c r="B78" s="6">
        <v>10723077</v>
      </c>
    </row>
    <row r="79" spans="1:2" x14ac:dyDescent="0.25">
      <c r="A79" s="11" t="s">
        <v>98</v>
      </c>
      <c r="B79" s="6">
        <v>1928524319</v>
      </c>
    </row>
    <row r="80" spans="1:2" x14ac:dyDescent="0.25">
      <c r="A80" s="11" t="s">
        <v>99</v>
      </c>
      <c r="B80" s="6">
        <v>86063156.950000003</v>
      </c>
    </row>
    <row r="81" spans="1:2" x14ac:dyDescent="0.25">
      <c r="A81" s="11" t="s">
        <v>100</v>
      </c>
      <c r="B81" s="6">
        <v>168935238.90000001</v>
      </c>
    </row>
    <row r="82" spans="1:2" x14ac:dyDescent="0.25">
      <c r="A82" s="11" t="s">
        <v>101</v>
      </c>
      <c r="B82" s="6">
        <v>613841629.70000005</v>
      </c>
    </row>
    <row r="83" spans="1:2" x14ac:dyDescent="0.25">
      <c r="A83" s="11" t="s">
        <v>102</v>
      </c>
      <c r="B83" s="6">
        <v>300897576.5</v>
      </c>
    </row>
    <row r="84" spans="1:2" x14ac:dyDescent="0.25">
      <c r="A84" s="11" t="s">
        <v>103</v>
      </c>
      <c r="B84" s="6">
        <v>24771092.949999999</v>
      </c>
    </row>
    <row r="85" spans="1:2" x14ac:dyDescent="0.25">
      <c r="A85" s="11" t="s">
        <v>104</v>
      </c>
      <c r="B85" s="6">
        <v>62369953.020000003</v>
      </c>
    </row>
    <row r="86" spans="1:2" x14ac:dyDescent="0.25">
      <c r="A86" s="11" t="s">
        <v>105</v>
      </c>
      <c r="B86" s="6">
        <v>202547957.5</v>
      </c>
    </row>
    <row r="87" spans="1:2" x14ac:dyDescent="0.25">
      <c r="A87" s="11" t="s">
        <v>106</v>
      </c>
      <c r="B87" s="6">
        <v>160148670.80000001</v>
      </c>
    </row>
    <row r="88" spans="1:2" x14ac:dyDescent="0.25">
      <c r="A88" s="11" t="s">
        <v>107</v>
      </c>
      <c r="B88" s="6">
        <v>203820922</v>
      </c>
    </row>
    <row r="89" spans="1:2" x14ac:dyDescent="0.25">
      <c r="A89" s="11" t="s">
        <v>108</v>
      </c>
      <c r="B89" s="6">
        <v>58488952.479999997</v>
      </c>
    </row>
    <row r="90" spans="1:2" x14ac:dyDescent="0.25">
      <c r="A90" s="11" t="s">
        <v>109</v>
      </c>
      <c r="B90" s="6">
        <v>243395051.5</v>
      </c>
    </row>
    <row r="91" spans="1:2" x14ac:dyDescent="0.25">
      <c r="A91" s="11" t="s">
        <v>110</v>
      </c>
      <c r="B91" s="6">
        <v>428469465.19999999</v>
      </c>
    </row>
    <row r="92" spans="1:2" x14ac:dyDescent="0.25">
      <c r="A92" s="11" t="s">
        <v>111</v>
      </c>
      <c r="B92" s="6">
        <v>259986084.69999999</v>
      </c>
    </row>
    <row r="93" spans="1:2" x14ac:dyDescent="0.25">
      <c r="A93" s="11" t="s">
        <v>112</v>
      </c>
      <c r="B93" s="6">
        <v>309829397.80000001</v>
      </c>
    </row>
    <row r="94" spans="1:2" x14ac:dyDescent="0.25">
      <c r="A94" s="11" t="s">
        <v>113</v>
      </c>
      <c r="B94" s="6"/>
    </row>
    <row r="95" spans="1:2" x14ac:dyDescent="0.25">
      <c r="A95" s="11" t="s">
        <v>114</v>
      </c>
      <c r="B95" s="6">
        <v>30896700.280000001</v>
      </c>
    </row>
    <row r="96" spans="1:2" x14ac:dyDescent="0.25">
      <c r="A96" s="11" t="s">
        <v>115</v>
      </c>
      <c r="B96" s="6">
        <v>37028324.369999997</v>
      </c>
    </row>
    <row r="97" spans="1:2" x14ac:dyDescent="0.25">
      <c r="A97" s="11" t="s">
        <v>116</v>
      </c>
      <c r="B97" s="6">
        <v>519852837.69999999</v>
      </c>
    </row>
    <row r="98" spans="1:2" x14ac:dyDescent="0.25">
      <c r="A98" s="11" t="s">
        <v>117</v>
      </c>
      <c r="B98" s="6">
        <v>24433807.469999999</v>
      </c>
    </row>
    <row r="99" spans="1:2" x14ac:dyDescent="0.25">
      <c r="A99" s="11" t="s">
        <v>118</v>
      </c>
      <c r="B99" s="6">
        <v>40354162.369999997</v>
      </c>
    </row>
    <row r="100" spans="1:2" x14ac:dyDescent="0.25">
      <c r="A100" s="11" t="s">
        <v>120</v>
      </c>
      <c r="B100" s="6">
        <v>73761007.920000002</v>
      </c>
    </row>
    <row r="101" spans="1:2" x14ac:dyDescent="0.25">
      <c r="A101" s="11" t="s">
        <v>121</v>
      </c>
      <c r="B101" s="6">
        <v>4132432.94</v>
      </c>
    </row>
    <row r="102" spans="1:2" x14ac:dyDescent="0.25">
      <c r="A102" s="11" t="s">
        <v>122</v>
      </c>
      <c r="B102" s="6">
        <v>215675303.69999999</v>
      </c>
    </row>
    <row r="103" spans="1:2" x14ac:dyDescent="0.25">
      <c r="A103" s="11" t="s">
        <v>125</v>
      </c>
      <c r="B103" s="6">
        <v>7862841891</v>
      </c>
    </row>
    <row r="104" spans="1:2" x14ac:dyDescent="0.25">
      <c r="A104" s="11" t="s">
        <v>139</v>
      </c>
      <c r="B104" s="6">
        <v>198409803.59999999</v>
      </c>
    </row>
    <row r="105" spans="1:2" x14ac:dyDescent="0.25">
      <c r="A105" s="11" t="s">
        <v>140</v>
      </c>
      <c r="B105" s="6">
        <v>92762453.730000004</v>
      </c>
    </row>
    <row r="106" spans="1:2" x14ac:dyDescent="0.25">
      <c r="A106" s="11" t="s">
        <v>141</v>
      </c>
      <c r="B106" s="6">
        <v>92739894.349999994</v>
      </c>
    </row>
    <row r="107" spans="1:2" x14ac:dyDescent="0.25">
      <c r="A107" s="11" t="s">
        <v>129</v>
      </c>
      <c r="B107" s="6">
        <v>158442392.19999999</v>
      </c>
    </row>
    <row r="108" spans="1:2" x14ac:dyDescent="0.25">
      <c r="A108" s="11"/>
      <c r="B108" s="6"/>
    </row>
    <row r="109" spans="1:2" x14ac:dyDescent="0.25">
      <c r="A109" s="11"/>
      <c r="B109" s="6"/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08"/>
  <sheetViews>
    <sheetView workbookViewId="0">
      <selection activeCell="B80" sqref="B80"/>
    </sheetView>
  </sheetViews>
  <sheetFormatPr defaultRowHeight="15" x14ac:dyDescent="0.25"/>
  <cols>
    <col min="1" max="1" width="12.85546875" bestFit="1" customWidth="1"/>
    <col min="2" max="2" width="16.5703125" style="7" bestFit="1" customWidth="1"/>
    <col min="3" max="3" width="12.7109375" bestFit="1" customWidth="1"/>
    <col min="5" max="5" width="15.28515625" bestFit="1" customWidth="1"/>
  </cols>
  <sheetData>
    <row r="1" spans="1:2" x14ac:dyDescent="0.25">
      <c r="A1" s="22" t="s">
        <v>0</v>
      </c>
      <c r="B1" s="22" t="s">
        <v>1</v>
      </c>
    </row>
    <row r="2" spans="1:2" x14ac:dyDescent="0.25">
      <c r="A2" s="23"/>
      <c r="B2" s="24"/>
    </row>
    <row r="3" spans="1:2" x14ac:dyDescent="0.25">
      <c r="A3" s="25" t="s">
        <v>2</v>
      </c>
      <c r="B3" s="6">
        <v>2001327</v>
      </c>
    </row>
    <row r="4" spans="1:2" x14ac:dyDescent="0.25">
      <c r="A4" s="25" t="s">
        <v>3</v>
      </c>
      <c r="B4" s="6">
        <v>208483</v>
      </c>
    </row>
    <row r="5" spans="1:2" x14ac:dyDescent="0.25">
      <c r="A5" s="25" t="s">
        <v>4</v>
      </c>
      <c r="B5" s="6">
        <v>2751</v>
      </c>
    </row>
    <row r="6" spans="1:2" x14ac:dyDescent="0.25">
      <c r="A6" s="25" t="s">
        <v>5</v>
      </c>
      <c r="B6" s="6">
        <v>259421</v>
      </c>
    </row>
    <row r="7" spans="1:2" x14ac:dyDescent="0.25">
      <c r="A7" s="25" t="s">
        <v>6</v>
      </c>
      <c r="B7" s="6">
        <v>315569</v>
      </c>
    </row>
    <row r="8" spans="1:2" x14ac:dyDescent="0.25">
      <c r="A8" s="25" t="s">
        <v>7</v>
      </c>
      <c r="B8" s="6">
        <v>24143</v>
      </c>
    </row>
    <row r="9" spans="1:2" x14ac:dyDescent="0.25">
      <c r="A9" s="25" t="s">
        <v>8</v>
      </c>
      <c r="B9" s="6">
        <v>64250675</v>
      </c>
    </row>
    <row r="10" spans="1:2" x14ac:dyDescent="0.25">
      <c r="A10" s="25" t="s">
        <v>9</v>
      </c>
      <c r="B10" s="6">
        <v>190719640</v>
      </c>
    </row>
    <row r="11" spans="1:2" x14ac:dyDescent="0.25">
      <c r="A11" s="25" t="s">
        <v>10</v>
      </c>
      <c r="B11" s="6">
        <v>207870289</v>
      </c>
    </row>
    <row r="12" spans="1:2" x14ac:dyDescent="0.25">
      <c r="A12" s="25" t="s">
        <v>11</v>
      </c>
      <c r="B12" s="23">
        <v>16934914</v>
      </c>
    </row>
    <row r="13" spans="1:2" x14ac:dyDescent="0.25">
      <c r="A13" s="25" t="s">
        <v>12</v>
      </c>
      <c r="B13" s="23">
        <v>9000145</v>
      </c>
    </row>
    <row r="14" spans="1:2" x14ac:dyDescent="0.25">
      <c r="A14" s="25" t="s">
        <v>13</v>
      </c>
      <c r="B14" s="23">
        <v>9050191</v>
      </c>
    </row>
    <row r="15" spans="1:2" x14ac:dyDescent="0.25">
      <c r="A15" s="25" t="s">
        <v>14</v>
      </c>
      <c r="B15" s="23">
        <v>13657865</v>
      </c>
    </row>
    <row r="16" spans="1:2" x14ac:dyDescent="0.25">
      <c r="A16" s="25" t="s">
        <v>15</v>
      </c>
      <c r="B16" s="23">
        <v>13108702</v>
      </c>
    </row>
    <row r="17" spans="1:5" x14ac:dyDescent="0.25">
      <c r="A17" s="25" t="s">
        <v>16</v>
      </c>
      <c r="B17" s="23">
        <v>82479</v>
      </c>
    </row>
    <row r="18" spans="1:5" x14ac:dyDescent="0.25">
      <c r="A18" s="25" t="s">
        <v>17</v>
      </c>
      <c r="B18" s="6">
        <v>134746582</v>
      </c>
    </row>
    <row r="19" spans="1:5" x14ac:dyDescent="0.25">
      <c r="A19" s="25" t="s">
        <v>18</v>
      </c>
      <c r="B19" s="6">
        <v>619042914</v>
      </c>
    </row>
    <row r="20" spans="1:5" x14ac:dyDescent="0.25">
      <c r="A20" s="25" t="s">
        <v>19</v>
      </c>
      <c r="B20" s="6">
        <v>117114067</v>
      </c>
    </row>
    <row r="21" spans="1:5" x14ac:dyDescent="0.25">
      <c r="A21" s="25" t="s">
        <v>20</v>
      </c>
      <c r="B21" s="6">
        <v>1854183851</v>
      </c>
    </row>
    <row r="22" spans="1:5" x14ac:dyDescent="0.25">
      <c r="A22" s="25" t="s">
        <v>21</v>
      </c>
      <c r="B22" s="6">
        <v>808327241</v>
      </c>
    </row>
    <row r="23" spans="1:5" x14ac:dyDescent="0.25">
      <c r="A23" s="25" t="s">
        <v>22</v>
      </c>
      <c r="B23" s="23">
        <v>1997819</v>
      </c>
    </row>
    <row r="24" spans="1:5" x14ac:dyDescent="0.25">
      <c r="A24" s="25" t="s">
        <v>23</v>
      </c>
      <c r="B24" s="23">
        <v>1</v>
      </c>
    </row>
    <row r="25" spans="1:5" x14ac:dyDescent="0.25">
      <c r="A25" s="25" t="s">
        <v>24</v>
      </c>
      <c r="B25" s="23">
        <v>1</v>
      </c>
    </row>
    <row r="26" spans="1:5" x14ac:dyDescent="0.25">
      <c r="A26" s="25" t="s">
        <v>25</v>
      </c>
      <c r="B26" s="23"/>
    </row>
    <row r="27" spans="1:5" x14ac:dyDescent="0.25">
      <c r="A27" s="25" t="s">
        <v>26</v>
      </c>
      <c r="B27" s="6">
        <v>1034125804</v>
      </c>
    </row>
    <row r="28" spans="1:5" x14ac:dyDescent="0.25">
      <c r="A28" s="25" t="s">
        <v>27</v>
      </c>
      <c r="B28" s="6">
        <v>1519633031</v>
      </c>
    </row>
    <row r="29" spans="1:5" x14ac:dyDescent="0.25">
      <c r="A29" s="25" t="s">
        <v>28</v>
      </c>
      <c r="B29" s="6">
        <v>1617251527</v>
      </c>
    </row>
    <row r="30" spans="1:5" x14ac:dyDescent="0.25">
      <c r="A30" s="25" t="s">
        <v>29</v>
      </c>
      <c r="B30" s="6">
        <v>654456283</v>
      </c>
    </row>
    <row r="31" spans="1:5" x14ac:dyDescent="0.25">
      <c r="A31" s="25" t="s">
        <v>30</v>
      </c>
      <c r="B31" s="6">
        <v>1672544738</v>
      </c>
      <c r="C31" s="19"/>
      <c r="D31" s="21"/>
      <c r="E31" s="20"/>
    </row>
    <row r="32" spans="1:5" x14ac:dyDescent="0.25">
      <c r="A32" s="25" t="s">
        <v>31</v>
      </c>
      <c r="B32" s="6">
        <v>3975219</v>
      </c>
    </row>
    <row r="33" spans="1:2" x14ac:dyDescent="0.25">
      <c r="A33" s="25" t="s">
        <v>32</v>
      </c>
      <c r="B33" s="6">
        <v>378873</v>
      </c>
    </row>
    <row r="34" spans="1:2" x14ac:dyDescent="0.25">
      <c r="A34" s="25" t="s">
        <v>33</v>
      </c>
      <c r="B34" s="6">
        <v>6476811</v>
      </c>
    </row>
    <row r="35" spans="1:2" x14ac:dyDescent="0.25">
      <c r="A35" s="25" t="s">
        <v>34</v>
      </c>
      <c r="B35" s="6">
        <v>258863</v>
      </c>
    </row>
    <row r="36" spans="1:2" x14ac:dyDescent="0.25">
      <c r="A36" s="25" t="s">
        <v>35</v>
      </c>
      <c r="B36" s="6">
        <v>548056</v>
      </c>
    </row>
    <row r="37" spans="1:2" x14ac:dyDescent="0.25">
      <c r="A37" s="25" t="s">
        <v>36</v>
      </c>
      <c r="B37" s="6">
        <v>396504</v>
      </c>
    </row>
    <row r="38" spans="1:2" x14ac:dyDescent="0.25">
      <c r="A38" s="25" t="s">
        <v>37</v>
      </c>
      <c r="B38" s="6">
        <v>172186</v>
      </c>
    </row>
    <row r="39" spans="1:2" x14ac:dyDescent="0.25">
      <c r="A39" s="25" t="s">
        <v>38</v>
      </c>
      <c r="B39" s="6">
        <v>203965</v>
      </c>
    </row>
    <row r="40" spans="1:2" x14ac:dyDescent="0.25">
      <c r="A40" s="25" t="s">
        <v>39</v>
      </c>
      <c r="B40" s="6">
        <v>660684</v>
      </c>
    </row>
    <row r="41" spans="1:2" x14ac:dyDescent="0.25">
      <c r="A41" s="25" t="s">
        <v>40</v>
      </c>
      <c r="B41" s="6">
        <v>102984</v>
      </c>
    </row>
    <row r="42" spans="1:2" x14ac:dyDescent="0.25">
      <c r="A42" s="25" t="s">
        <v>41</v>
      </c>
      <c r="B42" s="6">
        <v>305481</v>
      </c>
    </row>
    <row r="43" spans="1:2" x14ac:dyDescent="0.25">
      <c r="A43" s="25" t="s">
        <v>42</v>
      </c>
      <c r="B43" s="6">
        <v>16371</v>
      </c>
    </row>
    <row r="44" spans="1:2" x14ac:dyDescent="0.25">
      <c r="A44" s="25" t="s">
        <v>43</v>
      </c>
      <c r="B44" s="6">
        <v>65326</v>
      </c>
    </row>
    <row r="45" spans="1:2" x14ac:dyDescent="0.25">
      <c r="A45" s="25" t="s">
        <v>44</v>
      </c>
      <c r="B45" s="6">
        <v>56644737</v>
      </c>
    </row>
    <row r="46" spans="1:2" x14ac:dyDescent="0.25">
      <c r="A46" s="25" t="s">
        <v>45</v>
      </c>
      <c r="B46" s="6">
        <v>93612971</v>
      </c>
    </row>
    <row r="47" spans="1:2" x14ac:dyDescent="0.25">
      <c r="A47" s="25" t="s">
        <v>46</v>
      </c>
      <c r="B47" s="6">
        <v>75788</v>
      </c>
    </row>
    <row r="48" spans="1:2" x14ac:dyDescent="0.25">
      <c r="A48" s="25" t="s">
        <v>124</v>
      </c>
      <c r="B48" s="6"/>
    </row>
    <row r="49" spans="1:2" x14ac:dyDescent="0.25">
      <c r="A49" s="25" t="s">
        <v>47</v>
      </c>
      <c r="B49" s="6">
        <v>39902506</v>
      </c>
    </row>
    <row r="50" spans="1:2" x14ac:dyDescent="0.25">
      <c r="A50" s="25" t="s">
        <v>48</v>
      </c>
      <c r="B50" s="6">
        <v>377803008</v>
      </c>
    </row>
    <row r="51" spans="1:2" x14ac:dyDescent="0.25">
      <c r="A51" s="25" t="s">
        <v>49</v>
      </c>
      <c r="B51" s="6">
        <v>79062499</v>
      </c>
    </row>
    <row r="52" spans="1:2" x14ac:dyDescent="0.25">
      <c r="A52" s="25" t="s">
        <v>50</v>
      </c>
      <c r="B52" s="6">
        <v>45695445</v>
      </c>
    </row>
    <row r="53" spans="1:2" x14ac:dyDescent="0.25">
      <c r="A53" s="25" t="s">
        <v>55</v>
      </c>
      <c r="B53" s="6">
        <v>3304079</v>
      </c>
    </row>
    <row r="54" spans="1:2" x14ac:dyDescent="0.25">
      <c r="A54" s="25" t="s">
        <v>56</v>
      </c>
      <c r="B54" s="6">
        <v>25163763</v>
      </c>
    </row>
    <row r="55" spans="1:2" x14ac:dyDescent="0.25">
      <c r="A55" s="25" t="s">
        <v>57</v>
      </c>
      <c r="B55" s="6">
        <v>1282671</v>
      </c>
    </row>
    <row r="56" spans="1:2" x14ac:dyDescent="0.25">
      <c r="A56" s="25" t="s">
        <v>64</v>
      </c>
      <c r="B56" s="6">
        <v>473373</v>
      </c>
    </row>
    <row r="57" spans="1:2" x14ac:dyDescent="0.25">
      <c r="A57" s="25" t="s">
        <v>65</v>
      </c>
      <c r="B57" s="6">
        <v>16677576</v>
      </c>
    </row>
    <row r="58" spans="1:2" x14ac:dyDescent="0.25">
      <c r="A58" s="25" t="s">
        <v>66</v>
      </c>
      <c r="B58" s="6">
        <v>2267083</v>
      </c>
    </row>
    <row r="59" spans="1:2" x14ac:dyDescent="0.25">
      <c r="A59" s="25" t="s">
        <v>67</v>
      </c>
      <c r="B59" s="6">
        <v>111534388</v>
      </c>
    </row>
    <row r="60" spans="1:2" x14ac:dyDescent="0.25">
      <c r="A60" s="25" t="s">
        <v>68</v>
      </c>
      <c r="B60" s="6">
        <v>83177444</v>
      </c>
    </row>
    <row r="61" spans="1:2" x14ac:dyDescent="0.25">
      <c r="A61" s="25" t="s">
        <v>69</v>
      </c>
      <c r="B61" s="6">
        <v>152145043</v>
      </c>
    </row>
    <row r="62" spans="1:2" x14ac:dyDescent="0.25">
      <c r="A62" s="25" t="s">
        <v>80</v>
      </c>
      <c r="B62" s="6">
        <v>202057945</v>
      </c>
    </row>
    <row r="63" spans="1:2" x14ac:dyDescent="0.25">
      <c r="A63" s="25" t="s">
        <v>81</v>
      </c>
      <c r="B63" s="6">
        <v>476646</v>
      </c>
    </row>
    <row r="64" spans="1:2" x14ac:dyDescent="0.25">
      <c r="A64" s="25" t="s">
        <v>82</v>
      </c>
      <c r="B64" s="6">
        <v>29344134</v>
      </c>
    </row>
    <row r="65" spans="1:2" x14ac:dyDescent="0.25">
      <c r="A65" s="25" t="s">
        <v>83</v>
      </c>
      <c r="B65" s="6">
        <v>4731698</v>
      </c>
    </row>
    <row r="66" spans="1:2" x14ac:dyDescent="0.25">
      <c r="A66" s="25" t="s">
        <v>84</v>
      </c>
      <c r="B66" s="6"/>
    </row>
    <row r="67" spans="1:2" x14ac:dyDescent="0.25">
      <c r="A67" s="25" t="s">
        <v>85</v>
      </c>
      <c r="B67" s="6">
        <v>27102603</v>
      </c>
    </row>
    <row r="68" spans="1:2" x14ac:dyDescent="0.25">
      <c r="A68" s="25" t="s">
        <v>86</v>
      </c>
      <c r="B68" s="6">
        <v>35947097</v>
      </c>
    </row>
    <row r="69" spans="1:2" x14ac:dyDescent="0.25">
      <c r="A69" s="25" t="s">
        <v>87</v>
      </c>
      <c r="B69" s="6">
        <v>50193184</v>
      </c>
    </row>
    <row r="70" spans="1:2" x14ac:dyDescent="0.25">
      <c r="A70" s="25" t="s">
        <v>88</v>
      </c>
      <c r="B70" s="6"/>
    </row>
    <row r="71" spans="1:2" x14ac:dyDescent="0.25">
      <c r="A71" s="25" t="s">
        <v>89</v>
      </c>
      <c r="B71" s="6">
        <v>37923082</v>
      </c>
    </row>
    <row r="72" spans="1:2" x14ac:dyDescent="0.25">
      <c r="A72" s="25" t="s">
        <v>90</v>
      </c>
      <c r="B72" s="6">
        <v>181546</v>
      </c>
    </row>
    <row r="73" spans="1:2" x14ac:dyDescent="0.25">
      <c r="A73" s="25" t="s">
        <v>91</v>
      </c>
      <c r="B73" s="6">
        <v>34361415</v>
      </c>
    </row>
    <row r="74" spans="1:2" x14ac:dyDescent="0.25">
      <c r="A74" s="25" t="s">
        <v>92</v>
      </c>
      <c r="B74" s="6"/>
    </row>
    <row r="75" spans="1:2" x14ac:dyDescent="0.25">
      <c r="A75" s="25" t="s">
        <v>93</v>
      </c>
      <c r="B75" s="6"/>
    </row>
    <row r="76" spans="1:2" x14ac:dyDescent="0.25">
      <c r="A76" s="25" t="s">
        <v>94</v>
      </c>
      <c r="B76" s="6">
        <v>39432642</v>
      </c>
    </row>
    <row r="77" spans="1:2" x14ac:dyDescent="0.25">
      <c r="A77" s="25" t="s">
        <v>95</v>
      </c>
      <c r="B77" s="6">
        <v>121223432</v>
      </c>
    </row>
    <row r="78" spans="1:2" x14ac:dyDescent="0.25">
      <c r="A78" s="25" t="s">
        <v>96</v>
      </c>
      <c r="B78" s="6">
        <v>1124983647</v>
      </c>
    </row>
    <row r="79" spans="1:2" x14ac:dyDescent="0.25">
      <c r="A79" s="25" t="s">
        <v>97</v>
      </c>
      <c r="B79" s="6">
        <v>12003960</v>
      </c>
    </row>
    <row r="80" spans="1:2" x14ac:dyDescent="0.25">
      <c r="A80" s="25" t="s">
        <v>98</v>
      </c>
      <c r="B80" s="6">
        <v>2739024511</v>
      </c>
    </row>
    <row r="81" spans="1:2" x14ac:dyDescent="0.25">
      <c r="A81" s="25" t="s">
        <v>99</v>
      </c>
      <c r="B81" s="6">
        <v>111884277.42</v>
      </c>
    </row>
    <row r="82" spans="1:2" x14ac:dyDescent="0.25">
      <c r="A82" s="25" t="s">
        <v>100</v>
      </c>
      <c r="B82" s="6">
        <v>257711484.15000001</v>
      </c>
    </row>
    <row r="83" spans="1:2" x14ac:dyDescent="0.25">
      <c r="A83" s="25" t="s">
        <v>101</v>
      </c>
      <c r="B83" s="6">
        <v>613841629.68999994</v>
      </c>
    </row>
    <row r="84" spans="1:2" x14ac:dyDescent="0.25">
      <c r="A84" s="25" t="s">
        <v>102</v>
      </c>
      <c r="B84" s="6">
        <v>300897576.48000002</v>
      </c>
    </row>
    <row r="85" spans="1:2" x14ac:dyDescent="0.25">
      <c r="A85" s="25" t="s">
        <v>103</v>
      </c>
      <c r="B85" s="6">
        <v>28378551.180000003</v>
      </c>
    </row>
    <row r="86" spans="1:2" x14ac:dyDescent="0.25">
      <c r="A86" s="25" t="s">
        <v>104</v>
      </c>
      <c r="B86" s="6">
        <v>82128809.769999996</v>
      </c>
    </row>
    <row r="87" spans="1:2" x14ac:dyDescent="0.25">
      <c r="A87" s="25" t="s">
        <v>105</v>
      </c>
      <c r="B87" s="6">
        <v>247923134.20000002</v>
      </c>
    </row>
    <row r="88" spans="1:2" x14ac:dyDescent="0.25">
      <c r="A88" s="25" t="s">
        <v>106</v>
      </c>
      <c r="B88" s="6">
        <v>196390656.36000001</v>
      </c>
    </row>
    <row r="89" spans="1:2" x14ac:dyDescent="0.25">
      <c r="A89" s="25" t="s">
        <v>107</v>
      </c>
      <c r="B89" s="6">
        <v>234891687.07000002</v>
      </c>
    </row>
    <row r="90" spans="1:2" x14ac:dyDescent="0.25">
      <c r="A90" s="25" t="s">
        <v>108</v>
      </c>
      <c r="B90" s="6">
        <v>71477349.129999995</v>
      </c>
    </row>
    <row r="91" spans="1:2" x14ac:dyDescent="0.25">
      <c r="A91" s="25" t="s">
        <v>109</v>
      </c>
      <c r="B91" s="6">
        <v>309924179.94999999</v>
      </c>
    </row>
    <row r="92" spans="1:2" x14ac:dyDescent="0.25">
      <c r="A92" s="25" t="s">
        <v>110</v>
      </c>
      <c r="B92" s="6">
        <v>478437477.03999996</v>
      </c>
    </row>
    <row r="93" spans="1:2" x14ac:dyDescent="0.25">
      <c r="A93" s="25" t="s">
        <v>111</v>
      </c>
      <c r="B93" s="6">
        <v>285258456.38999999</v>
      </c>
    </row>
    <row r="94" spans="1:2" x14ac:dyDescent="0.25">
      <c r="A94" s="25" t="s">
        <v>112</v>
      </c>
      <c r="B94" s="6">
        <v>334780013.91000003</v>
      </c>
    </row>
    <row r="95" spans="1:2" x14ac:dyDescent="0.25">
      <c r="A95" s="25" t="s">
        <v>113</v>
      </c>
      <c r="B95" s="6"/>
    </row>
    <row r="96" spans="1:2" x14ac:dyDescent="0.25">
      <c r="A96" s="25" t="s">
        <v>114</v>
      </c>
      <c r="B96" s="6">
        <v>40724490.949999996</v>
      </c>
    </row>
    <row r="97" spans="1:2" x14ac:dyDescent="0.25">
      <c r="A97" s="25" t="s">
        <v>115</v>
      </c>
      <c r="B97" s="6">
        <v>42976434.409999996</v>
      </c>
    </row>
    <row r="98" spans="1:2" x14ac:dyDescent="0.25">
      <c r="A98" s="25" t="s">
        <v>116</v>
      </c>
      <c r="B98" s="6">
        <v>599262491.84000003</v>
      </c>
    </row>
    <row r="99" spans="1:2" x14ac:dyDescent="0.25">
      <c r="A99" s="25" t="s">
        <v>117</v>
      </c>
      <c r="B99" s="6">
        <v>31440321.739999998</v>
      </c>
    </row>
    <row r="100" spans="1:2" x14ac:dyDescent="0.25">
      <c r="A100" s="25" t="s">
        <v>118</v>
      </c>
      <c r="B100" s="6">
        <v>51921029.920000002</v>
      </c>
    </row>
    <row r="101" spans="1:2" x14ac:dyDescent="0.25">
      <c r="A101" s="25" t="s">
        <v>120</v>
      </c>
      <c r="B101" s="6">
        <v>90264206</v>
      </c>
    </row>
    <row r="102" spans="1:2" x14ac:dyDescent="0.25">
      <c r="A102" s="25" t="s">
        <v>121</v>
      </c>
      <c r="B102" s="6">
        <v>5009439.5999999996</v>
      </c>
    </row>
    <row r="103" spans="1:2" x14ac:dyDescent="0.25">
      <c r="A103" s="25" t="s">
        <v>122</v>
      </c>
      <c r="B103" s="6">
        <v>228978997.91</v>
      </c>
    </row>
    <row r="104" spans="1:2" x14ac:dyDescent="0.25">
      <c r="A104" s="25" t="s">
        <v>123</v>
      </c>
      <c r="B104" s="6">
        <v>247872152.04000002</v>
      </c>
    </row>
    <row r="105" spans="1:2" x14ac:dyDescent="0.25">
      <c r="A105" s="25" t="s">
        <v>125</v>
      </c>
      <c r="B105" s="23">
        <v>8133191917</v>
      </c>
    </row>
    <row r="106" spans="1:2" x14ac:dyDescent="0.25">
      <c r="A106" s="25" t="s">
        <v>139</v>
      </c>
      <c r="B106" s="6">
        <v>142002869.59</v>
      </c>
    </row>
    <row r="107" spans="1:2" x14ac:dyDescent="0.25">
      <c r="A107" s="25" t="s">
        <v>140</v>
      </c>
      <c r="B107" s="6">
        <v>99441232.09780407</v>
      </c>
    </row>
    <row r="108" spans="1:2" x14ac:dyDescent="0.25">
      <c r="A108" s="25" t="s">
        <v>141</v>
      </c>
      <c r="B108" s="6">
        <v>99441232.09780407</v>
      </c>
    </row>
  </sheetData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126"/>
  <sheetViews>
    <sheetView workbookViewId="0">
      <selection sqref="A1:B1048576"/>
    </sheetView>
  </sheetViews>
  <sheetFormatPr defaultRowHeight="15" x14ac:dyDescent="0.25"/>
  <cols>
    <col min="1" max="1" width="12.85546875" bestFit="1" customWidth="1"/>
    <col min="2" max="2" width="16.5703125" style="7" bestFit="1" customWidth="1"/>
  </cols>
  <sheetData>
    <row r="1" spans="1:2" x14ac:dyDescent="0.25">
      <c r="A1" s="9" t="s">
        <v>0</v>
      </c>
      <c r="B1" s="4" t="s">
        <v>1</v>
      </c>
    </row>
    <row r="2" spans="1:2" x14ac:dyDescent="0.25">
      <c r="A2" s="10"/>
      <c r="B2" s="5"/>
    </row>
    <row r="3" spans="1:2" x14ac:dyDescent="0.25">
      <c r="A3" s="11" t="s">
        <v>125</v>
      </c>
      <c r="B3" s="6">
        <v>8080321339</v>
      </c>
    </row>
    <row r="4" spans="1:2" x14ac:dyDescent="0.25">
      <c r="A4" s="11" t="s">
        <v>98</v>
      </c>
      <c r="B4" s="6">
        <v>2711367202</v>
      </c>
    </row>
    <row r="5" spans="1:2" x14ac:dyDescent="0.25">
      <c r="A5" s="11" t="s">
        <v>20</v>
      </c>
      <c r="B5" s="6">
        <v>1859680193</v>
      </c>
    </row>
    <row r="6" spans="1:2" x14ac:dyDescent="0.25">
      <c r="A6" s="11" t="s">
        <v>30</v>
      </c>
      <c r="B6" s="6">
        <v>1655962568</v>
      </c>
    </row>
    <row r="7" spans="1:2" x14ac:dyDescent="0.25">
      <c r="A7" s="11" t="s">
        <v>28</v>
      </c>
      <c r="B7" s="6">
        <v>1626850970</v>
      </c>
    </row>
    <row r="8" spans="1:2" x14ac:dyDescent="0.25">
      <c r="A8" s="11" t="s">
        <v>27</v>
      </c>
      <c r="B8" s="6">
        <v>1531013805</v>
      </c>
    </row>
    <row r="9" spans="1:2" x14ac:dyDescent="0.25">
      <c r="A9" s="11" t="s">
        <v>96</v>
      </c>
      <c r="B9" s="6">
        <v>1093115425</v>
      </c>
    </row>
    <row r="10" spans="1:2" x14ac:dyDescent="0.25">
      <c r="A10" s="11" t="s">
        <v>26</v>
      </c>
      <c r="B10" s="6">
        <v>1040440774</v>
      </c>
    </row>
    <row r="11" spans="1:2" x14ac:dyDescent="0.25">
      <c r="A11" s="11" t="s">
        <v>21</v>
      </c>
      <c r="B11" s="6">
        <v>810560699</v>
      </c>
    </row>
    <row r="12" spans="1:2" x14ac:dyDescent="0.25">
      <c r="A12" s="11" t="s">
        <v>29</v>
      </c>
      <c r="B12" s="6">
        <v>645836141</v>
      </c>
    </row>
    <row r="13" spans="1:2" x14ac:dyDescent="0.25">
      <c r="A13" s="11" t="s">
        <v>18</v>
      </c>
      <c r="B13" s="6">
        <v>619288386</v>
      </c>
    </row>
    <row r="14" spans="1:2" x14ac:dyDescent="0.25">
      <c r="A14" s="11" t="s">
        <v>101</v>
      </c>
      <c r="B14" s="6">
        <v>613841629.70000005</v>
      </c>
    </row>
    <row r="15" spans="1:2" x14ac:dyDescent="0.25">
      <c r="A15" s="11" t="s">
        <v>116</v>
      </c>
      <c r="B15" s="6">
        <v>612591658</v>
      </c>
    </row>
    <row r="16" spans="1:2" x14ac:dyDescent="0.25">
      <c r="A16" s="11" t="s">
        <v>110</v>
      </c>
      <c r="B16" s="6">
        <v>482880767.80000001</v>
      </c>
    </row>
    <row r="17" spans="1:2" x14ac:dyDescent="0.25">
      <c r="A17" s="11" t="s">
        <v>48</v>
      </c>
      <c r="B17" s="6">
        <v>383558464</v>
      </c>
    </row>
    <row r="18" spans="1:2" x14ac:dyDescent="0.25">
      <c r="A18" s="11" t="s">
        <v>112</v>
      </c>
      <c r="B18" s="6">
        <v>336690428.30000001</v>
      </c>
    </row>
    <row r="19" spans="1:2" x14ac:dyDescent="0.25">
      <c r="A19" s="11" t="s">
        <v>109</v>
      </c>
      <c r="B19" s="6">
        <v>312411984.19999999</v>
      </c>
    </row>
    <row r="20" spans="1:2" x14ac:dyDescent="0.25">
      <c r="A20" s="11" t="s">
        <v>102</v>
      </c>
      <c r="B20" s="6">
        <v>300897576.5</v>
      </c>
    </row>
    <row r="21" spans="1:2" x14ac:dyDescent="0.25">
      <c r="A21" s="11" t="s">
        <v>111</v>
      </c>
      <c r="B21" s="6">
        <v>287598501.80000001</v>
      </c>
    </row>
    <row r="22" spans="1:2" x14ac:dyDescent="0.25">
      <c r="A22" s="11" t="s">
        <v>100</v>
      </c>
      <c r="B22" s="6">
        <v>260752778</v>
      </c>
    </row>
    <row r="23" spans="1:2" x14ac:dyDescent="0.25">
      <c r="A23" s="11" t="s">
        <v>105</v>
      </c>
      <c r="B23" s="6">
        <v>258284761.40000001</v>
      </c>
    </row>
    <row r="24" spans="1:2" x14ac:dyDescent="0.25">
      <c r="A24" s="11" t="s">
        <v>123</v>
      </c>
      <c r="B24" s="6">
        <v>248095703.90000001</v>
      </c>
    </row>
    <row r="25" spans="1:2" x14ac:dyDescent="0.25">
      <c r="A25" s="11" t="s">
        <v>107</v>
      </c>
      <c r="B25" s="6">
        <v>233261850.09999999</v>
      </c>
    </row>
    <row r="26" spans="1:2" x14ac:dyDescent="0.25">
      <c r="A26" s="11" t="s">
        <v>122</v>
      </c>
      <c r="B26" s="6">
        <v>229447780.09999999</v>
      </c>
    </row>
    <row r="27" spans="1:2" x14ac:dyDescent="0.25">
      <c r="A27" s="11" t="s">
        <v>10</v>
      </c>
      <c r="B27" s="6">
        <v>206498686</v>
      </c>
    </row>
    <row r="28" spans="1:2" x14ac:dyDescent="0.25">
      <c r="A28" s="11" t="s">
        <v>80</v>
      </c>
      <c r="B28" s="6">
        <v>202424876</v>
      </c>
    </row>
    <row r="29" spans="1:2" x14ac:dyDescent="0.25">
      <c r="A29" s="11" t="s">
        <v>106</v>
      </c>
      <c r="B29" s="6">
        <v>200020216</v>
      </c>
    </row>
    <row r="30" spans="1:2" x14ac:dyDescent="0.25">
      <c r="A30" s="11" t="s">
        <v>9</v>
      </c>
      <c r="B30" s="6">
        <v>190742184</v>
      </c>
    </row>
    <row r="31" spans="1:2" x14ac:dyDescent="0.25">
      <c r="A31" s="11" t="s">
        <v>69</v>
      </c>
      <c r="B31" s="6">
        <v>151977800</v>
      </c>
    </row>
    <row r="32" spans="1:2" x14ac:dyDescent="0.25">
      <c r="A32" s="11" t="s">
        <v>17</v>
      </c>
      <c r="B32" s="6">
        <v>136634467</v>
      </c>
    </row>
    <row r="33" spans="1:2" x14ac:dyDescent="0.25">
      <c r="A33" s="11" t="s">
        <v>95</v>
      </c>
      <c r="B33" s="6">
        <v>120674873</v>
      </c>
    </row>
    <row r="34" spans="1:2" x14ac:dyDescent="0.25">
      <c r="A34" s="11" t="s">
        <v>99</v>
      </c>
      <c r="B34" s="6">
        <v>120061559.3</v>
      </c>
    </row>
    <row r="35" spans="1:2" x14ac:dyDescent="0.25">
      <c r="A35" s="11" t="s">
        <v>19</v>
      </c>
      <c r="B35" s="6">
        <v>119731846</v>
      </c>
    </row>
    <row r="36" spans="1:2" x14ac:dyDescent="0.25">
      <c r="A36" s="11" t="s">
        <v>67</v>
      </c>
      <c r="B36" s="6">
        <v>111643562</v>
      </c>
    </row>
    <row r="37" spans="1:2" x14ac:dyDescent="0.25">
      <c r="A37" s="11" t="s">
        <v>120</v>
      </c>
      <c r="B37" s="6">
        <v>94289420.590000004</v>
      </c>
    </row>
    <row r="38" spans="1:2" x14ac:dyDescent="0.25">
      <c r="A38" s="11" t="s">
        <v>45</v>
      </c>
      <c r="B38" s="6">
        <v>93617374</v>
      </c>
    </row>
    <row r="39" spans="1:2" x14ac:dyDescent="0.25">
      <c r="A39" s="11" t="s">
        <v>104</v>
      </c>
      <c r="B39" s="6">
        <v>87578082.359999999</v>
      </c>
    </row>
    <row r="40" spans="1:2" x14ac:dyDescent="0.25">
      <c r="A40" s="11" t="s">
        <v>68</v>
      </c>
      <c r="B40" s="6">
        <v>82955301</v>
      </c>
    </row>
    <row r="41" spans="1:2" x14ac:dyDescent="0.25">
      <c r="A41" s="11" t="s">
        <v>49</v>
      </c>
      <c r="B41" s="6">
        <v>79663035</v>
      </c>
    </row>
    <row r="42" spans="1:2" x14ac:dyDescent="0.25">
      <c r="A42" s="11" t="s">
        <v>108</v>
      </c>
      <c r="B42" s="6">
        <v>72748454.549999997</v>
      </c>
    </row>
    <row r="43" spans="1:2" x14ac:dyDescent="0.25">
      <c r="A43" s="11" t="s">
        <v>8</v>
      </c>
      <c r="B43" s="6">
        <v>63798119</v>
      </c>
    </row>
    <row r="44" spans="1:2" x14ac:dyDescent="0.25">
      <c r="A44" s="11" t="s">
        <v>44</v>
      </c>
      <c r="B44" s="6">
        <v>56946906</v>
      </c>
    </row>
    <row r="45" spans="1:2" x14ac:dyDescent="0.25">
      <c r="A45" s="11" t="s">
        <v>118</v>
      </c>
      <c r="B45" s="6">
        <v>54547229.810000002</v>
      </c>
    </row>
    <row r="46" spans="1:2" x14ac:dyDescent="0.25">
      <c r="A46" s="11" t="s">
        <v>87</v>
      </c>
      <c r="B46" s="6">
        <v>50240939</v>
      </c>
    </row>
    <row r="47" spans="1:2" x14ac:dyDescent="0.25">
      <c r="A47" s="11" t="s">
        <v>50</v>
      </c>
      <c r="B47" s="6">
        <v>45853446</v>
      </c>
    </row>
    <row r="48" spans="1:2" x14ac:dyDescent="0.25">
      <c r="A48" s="11" t="s">
        <v>115</v>
      </c>
      <c r="B48" s="6">
        <v>44695212.939999998</v>
      </c>
    </row>
    <row r="49" spans="1:2" x14ac:dyDescent="0.25">
      <c r="A49" s="11" t="s">
        <v>114</v>
      </c>
      <c r="B49" s="6">
        <v>44105376.299999997</v>
      </c>
    </row>
    <row r="50" spans="1:2" x14ac:dyDescent="0.25">
      <c r="A50" s="11" t="s">
        <v>47</v>
      </c>
      <c r="B50" s="6">
        <v>40348763</v>
      </c>
    </row>
    <row r="51" spans="1:2" x14ac:dyDescent="0.25">
      <c r="A51" s="11" t="s">
        <v>94</v>
      </c>
      <c r="B51" s="6">
        <v>39712639</v>
      </c>
    </row>
    <row r="52" spans="1:2" x14ac:dyDescent="0.25">
      <c r="A52" s="11" t="s">
        <v>89</v>
      </c>
      <c r="B52" s="6">
        <v>37855320</v>
      </c>
    </row>
    <row r="53" spans="1:2" x14ac:dyDescent="0.25">
      <c r="A53" s="11" t="s">
        <v>86</v>
      </c>
      <c r="B53" s="6">
        <v>36287530</v>
      </c>
    </row>
    <row r="54" spans="1:2" x14ac:dyDescent="0.25">
      <c r="A54" s="11" t="s">
        <v>91</v>
      </c>
      <c r="B54" s="6">
        <v>34391312</v>
      </c>
    </row>
    <row r="55" spans="1:2" x14ac:dyDescent="0.25">
      <c r="A55" s="11" t="s">
        <v>117</v>
      </c>
      <c r="B55" s="6">
        <v>32240277.800000001</v>
      </c>
    </row>
    <row r="56" spans="1:2" x14ac:dyDescent="0.25">
      <c r="A56" s="11" t="s">
        <v>82</v>
      </c>
      <c r="B56" s="6">
        <v>30425967</v>
      </c>
    </row>
    <row r="57" spans="1:2" x14ac:dyDescent="0.25">
      <c r="A57" s="11" t="s">
        <v>103</v>
      </c>
      <c r="B57" s="6">
        <v>28544341</v>
      </c>
    </row>
    <row r="58" spans="1:2" x14ac:dyDescent="0.25">
      <c r="A58" s="11" t="s">
        <v>85</v>
      </c>
      <c r="B58" s="6">
        <v>27262068</v>
      </c>
    </row>
    <row r="59" spans="1:2" x14ac:dyDescent="0.25">
      <c r="A59" s="11" t="s">
        <v>56</v>
      </c>
      <c r="B59" s="6">
        <v>24980008</v>
      </c>
    </row>
    <row r="60" spans="1:2" x14ac:dyDescent="0.25">
      <c r="A60" s="11" t="s">
        <v>11</v>
      </c>
      <c r="B60" s="6">
        <v>17089792</v>
      </c>
    </row>
    <row r="61" spans="1:2" x14ac:dyDescent="0.25">
      <c r="A61" s="11" t="s">
        <v>65</v>
      </c>
      <c r="B61" s="6">
        <v>16661442</v>
      </c>
    </row>
    <row r="62" spans="1:2" x14ac:dyDescent="0.25">
      <c r="A62" s="11" t="s">
        <v>14</v>
      </c>
      <c r="B62" s="6">
        <v>13736426</v>
      </c>
    </row>
    <row r="63" spans="1:2" x14ac:dyDescent="0.25">
      <c r="A63" s="11" t="s">
        <v>15</v>
      </c>
      <c r="B63" s="6">
        <v>13133948</v>
      </c>
    </row>
    <row r="64" spans="1:2" x14ac:dyDescent="0.25">
      <c r="A64" s="11" t="s">
        <v>97</v>
      </c>
      <c r="B64" s="6">
        <v>11866182</v>
      </c>
    </row>
    <row r="65" spans="1:2" x14ac:dyDescent="0.25">
      <c r="A65" s="11" t="s">
        <v>13</v>
      </c>
      <c r="B65" s="6">
        <v>9062061</v>
      </c>
    </row>
    <row r="66" spans="1:2" x14ac:dyDescent="0.25">
      <c r="A66" s="11" t="s">
        <v>12</v>
      </c>
      <c r="B66" s="6">
        <v>8990575</v>
      </c>
    </row>
    <row r="67" spans="1:2" x14ac:dyDescent="0.25">
      <c r="A67" s="11" t="s">
        <v>33</v>
      </c>
      <c r="B67" s="6">
        <v>6493868</v>
      </c>
    </row>
    <row r="68" spans="1:2" x14ac:dyDescent="0.25">
      <c r="A68" s="11" t="s">
        <v>121</v>
      </c>
      <c r="B68" s="6">
        <v>5209672.05</v>
      </c>
    </row>
    <row r="69" spans="1:2" x14ac:dyDescent="0.25">
      <c r="A69" s="11" t="s">
        <v>83</v>
      </c>
      <c r="B69" s="6">
        <v>4736859</v>
      </c>
    </row>
    <row r="70" spans="1:2" x14ac:dyDescent="0.25">
      <c r="A70" s="11" t="s">
        <v>31</v>
      </c>
      <c r="B70" s="6">
        <v>4005974</v>
      </c>
    </row>
    <row r="71" spans="1:2" x14ac:dyDescent="0.25">
      <c r="A71" s="11" t="s">
        <v>55</v>
      </c>
      <c r="B71" s="6">
        <v>3294946</v>
      </c>
    </row>
    <row r="72" spans="1:2" x14ac:dyDescent="0.25">
      <c r="A72" s="11" t="s">
        <v>66</v>
      </c>
      <c r="B72" s="6">
        <v>2259282</v>
      </c>
    </row>
    <row r="73" spans="1:2" x14ac:dyDescent="0.25">
      <c r="A73" s="11" t="s">
        <v>2</v>
      </c>
      <c r="B73" s="6">
        <v>2003739</v>
      </c>
    </row>
    <row r="74" spans="1:2" x14ac:dyDescent="0.25">
      <c r="A74" s="11" t="s">
        <v>22</v>
      </c>
      <c r="B74" s="6">
        <v>1997944</v>
      </c>
    </row>
    <row r="75" spans="1:2" x14ac:dyDescent="0.25">
      <c r="A75" s="11" t="s">
        <v>57</v>
      </c>
      <c r="B75" s="6">
        <v>1280261</v>
      </c>
    </row>
    <row r="76" spans="1:2" x14ac:dyDescent="0.25">
      <c r="A76" s="11" t="s">
        <v>39</v>
      </c>
      <c r="B76" s="6">
        <v>661228</v>
      </c>
    </row>
    <row r="77" spans="1:2" x14ac:dyDescent="0.25">
      <c r="A77" s="11" t="s">
        <v>35</v>
      </c>
      <c r="B77" s="6">
        <v>548585</v>
      </c>
    </row>
    <row r="78" spans="1:2" x14ac:dyDescent="0.25">
      <c r="A78" s="11" t="s">
        <v>81</v>
      </c>
      <c r="B78" s="6">
        <v>474256</v>
      </c>
    </row>
    <row r="79" spans="1:2" x14ac:dyDescent="0.25">
      <c r="A79" s="11" t="s">
        <v>64</v>
      </c>
      <c r="B79" s="6">
        <v>472960</v>
      </c>
    </row>
    <row r="80" spans="1:2" x14ac:dyDescent="0.25">
      <c r="A80" s="11" t="s">
        <v>36</v>
      </c>
      <c r="B80" s="6">
        <v>396829</v>
      </c>
    </row>
    <row r="81" spans="1:2" x14ac:dyDescent="0.25">
      <c r="A81" s="11" t="s">
        <v>32</v>
      </c>
      <c r="B81" s="6">
        <v>379168</v>
      </c>
    </row>
    <row r="82" spans="1:2" x14ac:dyDescent="0.25">
      <c r="A82" s="11" t="s">
        <v>6</v>
      </c>
      <c r="B82" s="6">
        <v>315677</v>
      </c>
    </row>
    <row r="83" spans="1:2" x14ac:dyDescent="0.25">
      <c r="A83" s="11" t="s">
        <v>41</v>
      </c>
      <c r="B83" s="6">
        <v>305732</v>
      </c>
    </row>
    <row r="84" spans="1:2" x14ac:dyDescent="0.25">
      <c r="A84" s="11" t="s">
        <v>34</v>
      </c>
      <c r="B84" s="6">
        <v>259083</v>
      </c>
    </row>
    <row r="85" spans="1:2" x14ac:dyDescent="0.25">
      <c r="A85" s="11" t="s">
        <v>5</v>
      </c>
      <c r="B85" s="6">
        <v>258240</v>
      </c>
    </row>
    <row r="86" spans="1:2" x14ac:dyDescent="0.25">
      <c r="A86" s="11" t="s">
        <v>3</v>
      </c>
      <c r="B86" s="6">
        <v>207971</v>
      </c>
    </row>
    <row r="87" spans="1:2" x14ac:dyDescent="0.25">
      <c r="A87" s="11" t="s">
        <v>38</v>
      </c>
      <c r="B87" s="6">
        <v>204129</v>
      </c>
    </row>
    <row r="88" spans="1:2" x14ac:dyDescent="0.25">
      <c r="A88" s="11" t="s">
        <v>90</v>
      </c>
      <c r="B88" s="6">
        <v>181245</v>
      </c>
    </row>
    <row r="89" spans="1:2" x14ac:dyDescent="0.25">
      <c r="A89" s="11" t="s">
        <v>37</v>
      </c>
      <c r="B89" s="6">
        <v>172336</v>
      </c>
    </row>
    <row r="90" spans="1:2" x14ac:dyDescent="0.25">
      <c r="A90" s="11" t="s">
        <v>40</v>
      </c>
      <c r="B90" s="6">
        <v>103114</v>
      </c>
    </row>
    <row r="91" spans="1:2" x14ac:dyDescent="0.25">
      <c r="A91" s="11" t="s">
        <v>16</v>
      </c>
      <c r="B91" s="6">
        <v>82184</v>
      </c>
    </row>
    <row r="92" spans="1:2" x14ac:dyDescent="0.25">
      <c r="A92" s="11" t="s">
        <v>46</v>
      </c>
      <c r="B92" s="6">
        <v>75623</v>
      </c>
    </row>
    <row r="93" spans="1:2" x14ac:dyDescent="0.25">
      <c r="A93" s="11" t="s">
        <v>43</v>
      </c>
      <c r="B93" s="6">
        <v>65376</v>
      </c>
    </row>
    <row r="94" spans="1:2" x14ac:dyDescent="0.25">
      <c r="A94" s="11" t="s">
        <v>7</v>
      </c>
      <c r="B94" s="6">
        <v>24077</v>
      </c>
    </row>
    <row r="95" spans="1:2" x14ac:dyDescent="0.25">
      <c r="A95" s="11" t="s">
        <v>42</v>
      </c>
      <c r="B95" s="6">
        <v>16386</v>
      </c>
    </row>
    <row r="96" spans="1:2" x14ac:dyDescent="0.25">
      <c r="A96" s="11" t="s">
        <v>4</v>
      </c>
      <c r="B96" s="6">
        <v>2742</v>
      </c>
    </row>
    <row r="97" spans="1:2" x14ac:dyDescent="0.25">
      <c r="A97" s="11" t="s">
        <v>23</v>
      </c>
      <c r="B97" s="6">
        <v>1</v>
      </c>
    </row>
    <row r="98" spans="1:2" x14ac:dyDescent="0.25">
      <c r="A98" s="11" t="s">
        <v>24</v>
      </c>
      <c r="B98" s="6">
        <v>1</v>
      </c>
    </row>
    <row r="99" spans="1:2" x14ac:dyDescent="0.25">
      <c r="A99" s="11" t="s">
        <v>92</v>
      </c>
      <c r="B99" s="6"/>
    </row>
    <row r="100" spans="1:2" x14ac:dyDescent="0.25">
      <c r="A100" s="11" t="s">
        <v>113</v>
      </c>
      <c r="B100" s="6"/>
    </row>
    <row r="101" spans="1:2" x14ac:dyDescent="0.25">
      <c r="A101" s="11" t="s">
        <v>93</v>
      </c>
      <c r="B101" s="6"/>
    </row>
    <row r="102" spans="1:2" x14ac:dyDescent="0.25">
      <c r="A102" s="11" t="s">
        <v>25</v>
      </c>
      <c r="B102" s="6"/>
    </row>
    <row r="103" spans="1:2" x14ac:dyDescent="0.25">
      <c r="A103" s="11" t="s">
        <v>84</v>
      </c>
      <c r="B103" s="6"/>
    </row>
    <row r="104" spans="1:2" x14ac:dyDescent="0.25">
      <c r="A104" s="11" t="s">
        <v>124</v>
      </c>
      <c r="B104" s="6"/>
    </row>
    <row r="105" spans="1:2" x14ac:dyDescent="0.25">
      <c r="A105" s="11" t="s">
        <v>88</v>
      </c>
      <c r="B105" s="6"/>
    </row>
    <row r="106" spans="1:2" x14ac:dyDescent="0.25">
      <c r="A106" s="11" t="s">
        <v>88</v>
      </c>
      <c r="B106" s="6"/>
    </row>
    <row r="107" spans="1:2" x14ac:dyDescent="0.25">
      <c r="A107" s="3" t="s">
        <v>75</v>
      </c>
      <c r="B107" s="6"/>
    </row>
    <row r="108" spans="1:2" x14ac:dyDescent="0.25">
      <c r="A108" s="3" t="s">
        <v>76</v>
      </c>
      <c r="B108" s="6"/>
    </row>
    <row r="109" spans="1:2" x14ac:dyDescent="0.25">
      <c r="A109" s="3" t="s">
        <v>92</v>
      </c>
      <c r="B109" s="6"/>
    </row>
    <row r="110" spans="1:2" x14ac:dyDescent="0.25">
      <c r="A110" s="3" t="s">
        <v>113</v>
      </c>
      <c r="B110" s="6"/>
    </row>
    <row r="111" spans="1:2" x14ac:dyDescent="0.25">
      <c r="A111" s="3" t="s">
        <v>51</v>
      </c>
      <c r="B111" s="6"/>
    </row>
    <row r="112" spans="1:2" x14ac:dyDescent="0.25">
      <c r="A112" s="3" t="s">
        <v>93</v>
      </c>
      <c r="B112" s="6"/>
    </row>
    <row r="113" spans="1:2" x14ac:dyDescent="0.25">
      <c r="A113" s="3" t="s">
        <v>53</v>
      </c>
      <c r="B113" s="6"/>
    </row>
    <row r="114" spans="1:2" x14ac:dyDescent="0.25">
      <c r="A114" s="3" t="s">
        <v>25</v>
      </c>
      <c r="B114" s="6"/>
    </row>
    <row r="115" spans="1:2" x14ac:dyDescent="0.25">
      <c r="A115" s="3" t="s">
        <v>84</v>
      </c>
      <c r="B115" s="6"/>
    </row>
    <row r="116" spans="1:2" x14ac:dyDescent="0.25">
      <c r="A116" s="3" t="s">
        <v>124</v>
      </c>
      <c r="B116" s="6"/>
    </row>
    <row r="117" spans="1:2" x14ac:dyDescent="0.25">
      <c r="A117" s="3" t="s">
        <v>73</v>
      </c>
      <c r="B117" s="6"/>
    </row>
    <row r="118" spans="1:2" x14ac:dyDescent="0.25">
      <c r="A118" s="3" t="s">
        <v>79</v>
      </c>
      <c r="B118" s="6"/>
    </row>
    <row r="119" spans="1:2" x14ac:dyDescent="0.25">
      <c r="A119" s="3" t="s">
        <v>52</v>
      </c>
      <c r="B119" s="6"/>
    </row>
    <row r="120" spans="1:2" x14ac:dyDescent="0.25">
      <c r="A120" s="3" t="s">
        <v>88</v>
      </c>
      <c r="B120" s="6"/>
    </row>
    <row r="121" spans="1:2" x14ac:dyDescent="0.25">
      <c r="A121" s="3" t="s">
        <v>74</v>
      </c>
      <c r="B121" s="6"/>
    </row>
    <row r="122" spans="1:2" x14ac:dyDescent="0.25">
      <c r="A122" s="3" t="s">
        <v>71</v>
      </c>
      <c r="B122" s="6"/>
    </row>
    <row r="123" spans="1:2" x14ac:dyDescent="0.25">
      <c r="A123" s="3" t="s">
        <v>77</v>
      </c>
      <c r="B123" s="6"/>
    </row>
    <row r="124" spans="1:2" x14ac:dyDescent="0.25">
      <c r="A124" s="3" t="s">
        <v>54</v>
      </c>
      <c r="B124" s="6"/>
    </row>
    <row r="125" spans="1:2" x14ac:dyDescent="0.25">
      <c r="A125" t="s">
        <v>72</v>
      </c>
    </row>
    <row r="126" spans="1:2" x14ac:dyDescent="0.25">
      <c r="A126" t="s">
        <v>78</v>
      </c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126"/>
  <sheetViews>
    <sheetView workbookViewId="0">
      <selection activeCell="A102" sqref="A102"/>
    </sheetView>
  </sheetViews>
  <sheetFormatPr defaultRowHeight="15" x14ac:dyDescent="0.25"/>
  <cols>
    <col min="1" max="1" width="12.85546875" bestFit="1" customWidth="1"/>
    <col min="2" max="2" width="16.5703125" style="7" bestFit="1" customWidth="1"/>
  </cols>
  <sheetData>
    <row r="1" spans="1:2" x14ac:dyDescent="0.25">
      <c r="A1" s="9" t="s">
        <v>0</v>
      </c>
      <c r="B1" s="4" t="s">
        <v>1</v>
      </c>
    </row>
    <row r="2" spans="1:2" x14ac:dyDescent="0.25">
      <c r="A2" s="10"/>
      <c r="B2" s="5"/>
    </row>
    <row r="3" spans="1:2" x14ac:dyDescent="0.25">
      <c r="A3" s="11" t="s">
        <v>125</v>
      </c>
      <c r="B3" s="6">
        <v>8095201282</v>
      </c>
    </row>
    <row r="4" spans="1:2" x14ac:dyDescent="0.25">
      <c r="A4" s="11" t="s">
        <v>98</v>
      </c>
      <c r="B4" s="6">
        <v>2715407337</v>
      </c>
    </row>
    <row r="5" spans="1:2" x14ac:dyDescent="0.25">
      <c r="A5" s="11" t="s">
        <v>20</v>
      </c>
      <c r="B5" s="6">
        <v>1844747186</v>
      </c>
    </row>
    <row r="6" spans="1:2" x14ac:dyDescent="0.25">
      <c r="A6" s="11" t="s">
        <v>28</v>
      </c>
      <c r="B6" s="6">
        <v>1639189658</v>
      </c>
    </row>
    <row r="7" spans="1:2" x14ac:dyDescent="0.25">
      <c r="A7" s="11" t="s">
        <v>30</v>
      </c>
      <c r="B7" s="6">
        <v>1616616926</v>
      </c>
    </row>
    <row r="8" spans="1:2" x14ac:dyDescent="0.25">
      <c r="A8" s="11" t="s">
        <v>27</v>
      </c>
      <c r="B8" s="6">
        <v>1545669058</v>
      </c>
    </row>
    <row r="9" spans="1:2" x14ac:dyDescent="0.25">
      <c r="A9" s="11" t="s">
        <v>96</v>
      </c>
      <c r="B9" s="6">
        <v>1066571074</v>
      </c>
    </row>
    <row r="10" spans="1:2" x14ac:dyDescent="0.25">
      <c r="A10" s="11" t="s">
        <v>26</v>
      </c>
      <c r="B10" s="6">
        <v>1049988141</v>
      </c>
    </row>
    <row r="11" spans="1:2" x14ac:dyDescent="0.25">
      <c r="A11" s="11" t="s">
        <v>21</v>
      </c>
      <c r="B11" s="6">
        <v>798488345</v>
      </c>
    </row>
    <row r="12" spans="1:2" x14ac:dyDescent="0.25">
      <c r="A12" s="11" t="s">
        <v>29</v>
      </c>
      <c r="B12" s="6">
        <v>631478199</v>
      </c>
    </row>
    <row r="13" spans="1:2" x14ac:dyDescent="0.25">
      <c r="A13" s="11" t="s">
        <v>116</v>
      </c>
      <c r="B13" s="6">
        <v>626158733.29999995</v>
      </c>
    </row>
    <row r="14" spans="1:2" x14ac:dyDescent="0.25">
      <c r="A14" s="11" t="s">
        <v>18</v>
      </c>
      <c r="B14" s="6">
        <v>615617733</v>
      </c>
    </row>
    <row r="15" spans="1:2" x14ac:dyDescent="0.25">
      <c r="A15" s="11" t="s">
        <v>101</v>
      </c>
      <c r="B15" s="6">
        <v>613841629.70000005</v>
      </c>
    </row>
    <row r="16" spans="1:2" x14ac:dyDescent="0.25">
      <c r="A16" s="11" t="s">
        <v>110</v>
      </c>
      <c r="B16" s="6">
        <v>483833245.60000002</v>
      </c>
    </row>
    <row r="17" spans="1:2" x14ac:dyDescent="0.25">
      <c r="A17" s="11" t="s">
        <v>48</v>
      </c>
      <c r="B17" s="6">
        <v>376932670</v>
      </c>
    </row>
    <row r="18" spans="1:2" x14ac:dyDescent="0.25">
      <c r="A18" s="11" t="s">
        <v>112</v>
      </c>
      <c r="B18" s="6">
        <v>336371938.80000001</v>
      </c>
    </row>
    <row r="19" spans="1:2" x14ac:dyDescent="0.25">
      <c r="A19" s="11" t="s">
        <v>109</v>
      </c>
      <c r="B19" s="6">
        <v>309522505.30000001</v>
      </c>
    </row>
    <row r="20" spans="1:2" x14ac:dyDescent="0.25">
      <c r="A20" s="11" t="s">
        <v>102</v>
      </c>
      <c r="B20" s="6">
        <v>300897576.5</v>
      </c>
    </row>
    <row r="21" spans="1:2" x14ac:dyDescent="0.25">
      <c r="A21" s="11" t="s">
        <v>111</v>
      </c>
      <c r="B21" s="6">
        <v>287682655.5</v>
      </c>
    </row>
    <row r="22" spans="1:2" x14ac:dyDescent="0.25">
      <c r="A22" s="11" t="s">
        <v>100</v>
      </c>
      <c r="B22" s="6">
        <v>260025016.69999999</v>
      </c>
    </row>
    <row r="23" spans="1:2" x14ac:dyDescent="0.25">
      <c r="A23" s="11" t="s">
        <v>105</v>
      </c>
      <c r="B23" s="6">
        <v>257887829.69999999</v>
      </c>
    </row>
    <row r="24" spans="1:2" x14ac:dyDescent="0.25">
      <c r="A24" s="11" t="s">
        <v>123</v>
      </c>
      <c r="B24" s="6">
        <v>247255409.90000001</v>
      </c>
    </row>
    <row r="25" spans="1:2" x14ac:dyDescent="0.25">
      <c r="A25" s="11" t="s">
        <v>122</v>
      </c>
      <c r="B25" s="6">
        <v>228691150.5</v>
      </c>
    </row>
    <row r="26" spans="1:2" x14ac:dyDescent="0.25">
      <c r="A26" s="11" t="s">
        <v>107</v>
      </c>
      <c r="B26" s="6">
        <v>224789592.59999999</v>
      </c>
    </row>
    <row r="27" spans="1:2" x14ac:dyDescent="0.25">
      <c r="A27" s="11" t="s">
        <v>10</v>
      </c>
      <c r="B27" s="6">
        <v>207672648</v>
      </c>
    </row>
    <row r="28" spans="1:2" x14ac:dyDescent="0.25">
      <c r="A28" s="11" t="s">
        <v>80</v>
      </c>
      <c r="B28" s="6">
        <v>203131707</v>
      </c>
    </row>
    <row r="29" spans="1:2" x14ac:dyDescent="0.25">
      <c r="A29" s="11" t="s">
        <v>106</v>
      </c>
      <c r="B29" s="6">
        <v>194720198.80000001</v>
      </c>
    </row>
    <row r="30" spans="1:2" x14ac:dyDescent="0.25">
      <c r="A30" s="11" t="s">
        <v>9</v>
      </c>
      <c r="B30" s="6">
        <v>193288141</v>
      </c>
    </row>
    <row r="31" spans="1:2" x14ac:dyDescent="0.25">
      <c r="A31" s="11" t="s">
        <v>69</v>
      </c>
      <c r="B31" s="6">
        <v>150552315</v>
      </c>
    </row>
    <row r="32" spans="1:2" x14ac:dyDescent="0.25">
      <c r="A32" s="11" t="s">
        <v>17</v>
      </c>
      <c r="B32" s="6">
        <v>138018905</v>
      </c>
    </row>
    <row r="33" spans="1:2" x14ac:dyDescent="0.25">
      <c r="A33" s="11" t="s">
        <v>19</v>
      </c>
      <c r="B33" s="6">
        <v>121151094</v>
      </c>
    </row>
    <row r="34" spans="1:2" x14ac:dyDescent="0.25">
      <c r="A34" s="11" t="s">
        <v>95</v>
      </c>
      <c r="B34" s="6">
        <v>118836420</v>
      </c>
    </row>
    <row r="35" spans="1:2" x14ac:dyDescent="0.25">
      <c r="A35" s="11" t="s">
        <v>99</v>
      </c>
      <c r="B35" s="6">
        <v>117432498.3</v>
      </c>
    </row>
    <row r="36" spans="1:2" x14ac:dyDescent="0.25">
      <c r="A36" s="11" t="s">
        <v>67</v>
      </c>
      <c r="B36" s="6">
        <v>111210638</v>
      </c>
    </row>
    <row r="37" spans="1:2" x14ac:dyDescent="0.25">
      <c r="A37" s="11" t="s">
        <v>120</v>
      </c>
      <c r="B37" s="6">
        <v>95493493.859999999</v>
      </c>
    </row>
    <row r="38" spans="1:2" x14ac:dyDescent="0.25">
      <c r="A38" s="11" t="s">
        <v>45</v>
      </c>
      <c r="B38" s="6">
        <v>93703089</v>
      </c>
    </row>
    <row r="39" spans="1:2" x14ac:dyDescent="0.25">
      <c r="A39" s="11" t="s">
        <v>104</v>
      </c>
      <c r="B39" s="6">
        <v>87343257.280000001</v>
      </c>
    </row>
    <row r="40" spans="1:2" x14ac:dyDescent="0.25">
      <c r="A40" s="11" t="s">
        <v>68</v>
      </c>
      <c r="B40" s="6">
        <v>82245302</v>
      </c>
    </row>
    <row r="41" spans="1:2" x14ac:dyDescent="0.25">
      <c r="A41" s="11" t="s">
        <v>49</v>
      </c>
      <c r="B41" s="6">
        <v>78843473</v>
      </c>
    </row>
    <row r="42" spans="1:2" x14ac:dyDescent="0.25">
      <c r="A42" s="11" t="s">
        <v>108</v>
      </c>
      <c r="B42" s="6">
        <v>71841008.150000006</v>
      </c>
    </row>
    <row r="43" spans="1:2" x14ac:dyDescent="0.25">
      <c r="A43" s="11" t="s">
        <v>8</v>
      </c>
      <c r="B43" s="6">
        <v>65087210</v>
      </c>
    </row>
    <row r="44" spans="1:2" x14ac:dyDescent="0.25">
      <c r="A44" s="11" t="s">
        <v>44</v>
      </c>
      <c r="B44" s="6">
        <v>57713995</v>
      </c>
    </row>
    <row r="45" spans="1:2" x14ac:dyDescent="0.25">
      <c r="A45" s="11" t="s">
        <v>118</v>
      </c>
      <c r="B45" s="6">
        <v>57251407.609999999</v>
      </c>
    </row>
    <row r="46" spans="1:2" x14ac:dyDescent="0.25">
      <c r="A46" s="11" t="s">
        <v>87</v>
      </c>
      <c r="B46" s="6">
        <v>50431038</v>
      </c>
    </row>
    <row r="47" spans="1:2" x14ac:dyDescent="0.25">
      <c r="A47" s="11" t="s">
        <v>50</v>
      </c>
      <c r="B47" s="6">
        <v>45469699</v>
      </c>
    </row>
    <row r="48" spans="1:2" x14ac:dyDescent="0.25">
      <c r="A48" s="11" t="s">
        <v>115</v>
      </c>
      <c r="B48" s="6">
        <v>45278884.299999997</v>
      </c>
    </row>
    <row r="49" spans="1:2" x14ac:dyDescent="0.25">
      <c r="A49" s="11" t="s">
        <v>114</v>
      </c>
      <c r="B49" s="6">
        <v>44432389.670000002</v>
      </c>
    </row>
    <row r="50" spans="1:2" x14ac:dyDescent="0.25">
      <c r="A50" s="11" t="s">
        <v>47</v>
      </c>
      <c r="B50" s="6">
        <v>40191837</v>
      </c>
    </row>
    <row r="51" spans="1:2" x14ac:dyDescent="0.25">
      <c r="A51" s="11" t="s">
        <v>94</v>
      </c>
      <c r="B51" s="6">
        <v>39480147</v>
      </c>
    </row>
    <row r="52" spans="1:2" x14ac:dyDescent="0.25">
      <c r="A52" s="11" t="s">
        <v>89</v>
      </c>
      <c r="B52" s="6">
        <v>37432991</v>
      </c>
    </row>
    <row r="53" spans="1:2" x14ac:dyDescent="0.25">
      <c r="A53" s="11" t="s">
        <v>86</v>
      </c>
      <c r="B53" s="6">
        <v>36054651</v>
      </c>
    </row>
    <row r="54" spans="1:2" x14ac:dyDescent="0.25">
      <c r="A54" s="11" t="s">
        <v>91</v>
      </c>
      <c r="B54" s="6">
        <v>34770169</v>
      </c>
    </row>
    <row r="55" spans="1:2" x14ac:dyDescent="0.25">
      <c r="A55" s="11" t="s">
        <v>117</v>
      </c>
      <c r="B55" s="6">
        <v>33419533.030000001</v>
      </c>
    </row>
    <row r="56" spans="1:2" x14ac:dyDescent="0.25">
      <c r="A56" s="11" t="s">
        <v>82</v>
      </c>
      <c r="B56" s="6">
        <v>30172060</v>
      </c>
    </row>
    <row r="57" spans="1:2" x14ac:dyDescent="0.25">
      <c r="A57" s="11" t="s">
        <v>103</v>
      </c>
      <c r="B57" s="6">
        <v>27925824.920000002</v>
      </c>
    </row>
    <row r="58" spans="1:2" x14ac:dyDescent="0.25">
      <c r="A58" s="11" t="s">
        <v>85</v>
      </c>
      <c r="B58" s="6">
        <v>27109704</v>
      </c>
    </row>
    <row r="59" spans="1:2" x14ac:dyDescent="0.25">
      <c r="A59" s="11" t="s">
        <v>56</v>
      </c>
      <c r="B59" s="6">
        <v>24687613</v>
      </c>
    </row>
    <row r="60" spans="1:2" x14ac:dyDescent="0.25">
      <c r="A60" s="11" t="s">
        <v>11</v>
      </c>
      <c r="B60" s="6">
        <v>17237229</v>
      </c>
    </row>
    <row r="61" spans="1:2" x14ac:dyDescent="0.25">
      <c r="A61" s="11" t="s">
        <v>65</v>
      </c>
      <c r="B61" s="6">
        <v>16804207</v>
      </c>
    </row>
    <row r="62" spans="1:2" x14ac:dyDescent="0.25">
      <c r="A62" s="11" t="s">
        <v>14</v>
      </c>
      <c r="B62" s="6">
        <v>13640985</v>
      </c>
    </row>
    <row r="63" spans="1:2" x14ac:dyDescent="0.25">
      <c r="A63" s="11" t="s">
        <v>15</v>
      </c>
      <c r="B63" s="6">
        <v>12974957</v>
      </c>
    </row>
    <row r="64" spans="1:2" x14ac:dyDescent="0.25">
      <c r="A64" s="11" t="s">
        <v>97</v>
      </c>
      <c r="B64" s="6">
        <v>11416798</v>
      </c>
    </row>
    <row r="65" spans="1:2" x14ac:dyDescent="0.25">
      <c r="A65" s="11" t="s">
        <v>13</v>
      </c>
      <c r="B65" s="6">
        <v>9018787</v>
      </c>
    </row>
    <row r="66" spans="1:2" x14ac:dyDescent="0.25">
      <c r="A66" s="11" t="s">
        <v>12</v>
      </c>
      <c r="B66" s="6">
        <v>8950729</v>
      </c>
    </row>
    <row r="67" spans="1:2" x14ac:dyDescent="0.25">
      <c r="A67" s="11" t="s">
        <v>119</v>
      </c>
      <c r="B67" s="6">
        <v>7843556.3099999996</v>
      </c>
    </row>
    <row r="68" spans="1:2" x14ac:dyDescent="0.25">
      <c r="A68" s="11" t="s">
        <v>33</v>
      </c>
      <c r="B68" s="6">
        <v>6495023</v>
      </c>
    </row>
    <row r="69" spans="1:2" x14ac:dyDescent="0.25">
      <c r="A69" s="11" t="s">
        <v>121</v>
      </c>
      <c r="B69" s="6">
        <v>5199629.5599999996</v>
      </c>
    </row>
    <row r="70" spans="1:2" x14ac:dyDescent="0.25">
      <c r="A70" s="11" t="s">
        <v>83</v>
      </c>
      <c r="B70" s="6">
        <v>4678778</v>
      </c>
    </row>
    <row r="71" spans="1:2" x14ac:dyDescent="0.25">
      <c r="A71" s="11" t="s">
        <v>31</v>
      </c>
      <c r="B71" s="6">
        <v>4014964</v>
      </c>
    </row>
    <row r="72" spans="1:2" x14ac:dyDescent="0.25">
      <c r="A72" s="11" t="s">
        <v>55</v>
      </c>
      <c r="B72" s="6">
        <v>3342037</v>
      </c>
    </row>
    <row r="73" spans="1:2" x14ac:dyDescent="0.25">
      <c r="A73" s="11" t="s">
        <v>66</v>
      </c>
      <c r="B73" s="6">
        <v>2246890</v>
      </c>
    </row>
    <row r="74" spans="1:2" x14ac:dyDescent="0.25">
      <c r="A74" s="11" t="s">
        <v>22</v>
      </c>
      <c r="B74" s="6">
        <v>1997990</v>
      </c>
    </row>
    <row r="75" spans="1:2" x14ac:dyDescent="0.25">
      <c r="A75" s="11" t="s">
        <v>2</v>
      </c>
      <c r="B75" s="6">
        <v>1977402</v>
      </c>
    </row>
    <row r="76" spans="1:2" x14ac:dyDescent="0.25">
      <c r="A76" s="11" t="s">
        <v>57</v>
      </c>
      <c r="B76" s="6">
        <v>1307101</v>
      </c>
    </row>
    <row r="77" spans="1:2" x14ac:dyDescent="0.25">
      <c r="A77" s="11" t="s">
        <v>39</v>
      </c>
      <c r="B77" s="6">
        <v>661255</v>
      </c>
    </row>
    <row r="78" spans="1:2" x14ac:dyDescent="0.25">
      <c r="A78" s="11" t="s">
        <v>35</v>
      </c>
      <c r="B78" s="6">
        <v>548690</v>
      </c>
    </row>
    <row r="79" spans="1:2" x14ac:dyDescent="0.25">
      <c r="A79" s="11" t="s">
        <v>81</v>
      </c>
      <c r="B79" s="6">
        <v>469236</v>
      </c>
    </row>
    <row r="80" spans="1:2" x14ac:dyDescent="0.25">
      <c r="A80" s="11" t="s">
        <v>64</v>
      </c>
      <c r="B80" s="6">
        <v>465519</v>
      </c>
    </row>
    <row r="81" spans="1:2" x14ac:dyDescent="0.25">
      <c r="A81" s="11" t="s">
        <v>36</v>
      </c>
      <c r="B81" s="6">
        <v>396888</v>
      </c>
    </row>
    <row r="82" spans="1:2" x14ac:dyDescent="0.25">
      <c r="A82" s="11" t="s">
        <v>32</v>
      </c>
      <c r="B82" s="6">
        <v>379170</v>
      </c>
    </row>
    <row r="83" spans="1:2" x14ac:dyDescent="0.25">
      <c r="A83" s="11" t="s">
        <v>6</v>
      </c>
      <c r="B83" s="6">
        <v>306720</v>
      </c>
    </row>
    <row r="84" spans="1:2" x14ac:dyDescent="0.25">
      <c r="A84" s="11" t="s">
        <v>41</v>
      </c>
      <c r="B84" s="6">
        <v>305722</v>
      </c>
    </row>
    <row r="85" spans="1:2" x14ac:dyDescent="0.25">
      <c r="A85" s="11" t="s">
        <v>5</v>
      </c>
      <c r="B85" s="6">
        <v>257420</v>
      </c>
    </row>
    <row r="86" spans="1:2" x14ac:dyDescent="0.25">
      <c r="A86" s="11" t="s">
        <v>34</v>
      </c>
      <c r="B86" s="6">
        <v>256366</v>
      </c>
    </row>
    <row r="87" spans="1:2" x14ac:dyDescent="0.25">
      <c r="A87" s="11" t="s">
        <v>3</v>
      </c>
      <c r="B87" s="6">
        <v>205191</v>
      </c>
    </row>
    <row r="88" spans="1:2" x14ac:dyDescent="0.25">
      <c r="A88" s="11" t="s">
        <v>38</v>
      </c>
      <c r="B88" s="6">
        <v>204145</v>
      </c>
    </row>
    <row r="89" spans="1:2" x14ac:dyDescent="0.25">
      <c r="A89" s="11" t="s">
        <v>90</v>
      </c>
      <c r="B89" s="6">
        <v>178650</v>
      </c>
    </row>
    <row r="90" spans="1:2" x14ac:dyDescent="0.25">
      <c r="A90" s="11" t="s">
        <v>37</v>
      </c>
      <c r="B90" s="6">
        <v>172361</v>
      </c>
    </row>
    <row r="91" spans="1:2" x14ac:dyDescent="0.25">
      <c r="A91" s="11" t="s">
        <v>40</v>
      </c>
      <c r="B91" s="6">
        <v>155775</v>
      </c>
    </row>
    <row r="92" spans="1:2" x14ac:dyDescent="0.25">
      <c r="A92" s="11" t="s">
        <v>16</v>
      </c>
      <c r="B92" s="6">
        <v>81606</v>
      </c>
    </row>
    <row r="93" spans="1:2" x14ac:dyDescent="0.25">
      <c r="A93" s="11" t="s">
        <v>46</v>
      </c>
      <c r="B93" s="6">
        <v>75155</v>
      </c>
    </row>
    <row r="94" spans="1:2" x14ac:dyDescent="0.25">
      <c r="A94" s="11" t="s">
        <v>43</v>
      </c>
      <c r="B94" s="6">
        <v>65374</v>
      </c>
    </row>
    <row r="95" spans="1:2" x14ac:dyDescent="0.25">
      <c r="A95" s="11" t="s">
        <v>7</v>
      </c>
      <c r="B95" s="6">
        <v>24042</v>
      </c>
    </row>
    <row r="96" spans="1:2" x14ac:dyDescent="0.25">
      <c r="A96" s="11" t="s">
        <v>42</v>
      </c>
      <c r="B96" s="6">
        <v>16385</v>
      </c>
    </row>
    <row r="97" spans="1:2" x14ac:dyDescent="0.25">
      <c r="A97" s="11" t="s">
        <v>4</v>
      </c>
      <c r="B97" s="6">
        <v>2736</v>
      </c>
    </row>
    <row r="98" spans="1:2" x14ac:dyDescent="0.25">
      <c r="A98" s="11" t="s">
        <v>23</v>
      </c>
      <c r="B98" s="6">
        <v>1</v>
      </c>
    </row>
    <row r="99" spans="1:2" x14ac:dyDescent="0.25">
      <c r="A99" s="11" t="s">
        <v>24</v>
      </c>
      <c r="B99" s="6">
        <v>1</v>
      </c>
    </row>
    <row r="100" spans="1:2" x14ac:dyDescent="0.25">
      <c r="A100" s="11" t="s">
        <v>25</v>
      </c>
      <c r="B100" s="6"/>
    </row>
    <row r="101" spans="1:2" x14ac:dyDescent="0.25">
      <c r="A101" s="11" t="s">
        <v>124</v>
      </c>
      <c r="B101" s="6"/>
    </row>
    <row r="102" spans="1:2" x14ac:dyDescent="0.25">
      <c r="A102" s="11" t="s">
        <v>84</v>
      </c>
      <c r="B102" s="6"/>
    </row>
    <row r="103" spans="1:2" x14ac:dyDescent="0.25">
      <c r="A103" s="11" t="s">
        <v>88</v>
      </c>
      <c r="B103" s="6"/>
    </row>
    <row r="104" spans="1:2" x14ac:dyDescent="0.25">
      <c r="A104" s="11" t="s">
        <v>92</v>
      </c>
      <c r="B104" s="6"/>
    </row>
    <row r="105" spans="1:2" x14ac:dyDescent="0.25">
      <c r="A105" s="11" t="s">
        <v>93</v>
      </c>
      <c r="B105" s="6"/>
    </row>
    <row r="106" spans="1:2" x14ac:dyDescent="0.25">
      <c r="A106" s="11" t="s">
        <v>113</v>
      </c>
      <c r="B106" s="6"/>
    </row>
    <row r="107" spans="1:2" x14ac:dyDescent="0.25">
      <c r="A107" s="3" t="s">
        <v>75</v>
      </c>
      <c r="B107" s="6"/>
    </row>
    <row r="108" spans="1:2" x14ac:dyDescent="0.25">
      <c r="A108" s="3" t="s">
        <v>76</v>
      </c>
      <c r="B108" s="6"/>
    </row>
    <row r="109" spans="1:2" x14ac:dyDescent="0.25">
      <c r="A109" s="3" t="s">
        <v>92</v>
      </c>
      <c r="B109" s="6"/>
    </row>
    <row r="110" spans="1:2" x14ac:dyDescent="0.25">
      <c r="A110" s="3" t="s">
        <v>113</v>
      </c>
      <c r="B110" s="6"/>
    </row>
    <row r="111" spans="1:2" x14ac:dyDescent="0.25">
      <c r="A111" s="3" t="s">
        <v>51</v>
      </c>
      <c r="B111" s="6"/>
    </row>
    <row r="112" spans="1:2" x14ac:dyDescent="0.25">
      <c r="A112" s="3" t="s">
        <v>93</v>
      </c>
      <c r="B112" s="6"/>
    </row>
    <row r="113" spans="1:2" x14ac:dyDescent="0.25">
      <c r="A113" s="3" t="s">
        <v>53</v>
      </c>
      <c r="B113" s="6"/>
    </row>
    <row r="114" spans="1:2" x14ac:dyDescent="0.25">
      <c r="A114" s="3" t="s">
        <v>25</v>
      </c>
      <c r="B114" s="6"/>
    </row>
    <row r="115" spans="1:2" x14ac:dyDescent="0.25">
      <c r="A115" s="3" t="s">
        <v>84</v>
      </c>
      <c r="B115" s="6"/>
    </row>
    <row r="116" spans="1:2" x14ac:dyDescent="0.25">
      <c r="A116" s="3" t="s">
        <v>124</v>
      </c>
      <c r="B116" s="6"/>
    </row>
    <row r="117" spans="1:2" x14ac:dyDescent="0.25">
      <c r="A117" s="3" t="s">
        <v>73</v>
      </c>
      <c r="B117" s="6"/>
    </row>
    <row r="118" spans="1:2" x14ac:dyDescent="0.25">
      <c r="A118" s="3" t="s">
        <v>79</v>
      </c>
      <c r="B118" s="6"/>
    </row>
    <row r="119" spans="1:2" x14ac:dyDescent="0.25">
      <c r="A119" s="3" t="s">
        <v>52</v>
      </c>
      <c r="B119" s="6"/>
    </row>
    <row r="120" spans="1:2" x14ac:dyDescent="0.25">
      <c r="A120" s="3" t="s">
        <v>88</v>
      </c>
      <c r="B120" s="6"/>
    </row>
    <row r="121" spans="1:2" x14ac:dyDescent="0.25">
      <c r="A121" s="3" t="s">
        <v>74</v>
      </c>
      <c r="B121" s="6"/>
    </row>
    <row r="122" spans="1:2" x14ac:dyDescent="0.25">
      <c r="A122" s="3" t="s">
        <v>71</v>
      </c>
      <c r="B122" s="6"/>
    </row>
    <row r="123" spans="1:2" x14ac:dyDescent="0.25">
      <c r="A123" s="3" t="s">
        <v>77</v>
      </c>
      <c r="B123" s="6"/>
    </row>
    <row r="124" spans="1:2" x14ac:dyDescent="0.25">
      <c r="A124" s="3" t="s">
        <v>54</v>
      </c>
      <c r="B124" s="6"/>
    </row>
    <row r="125" spans="1:2" x14ac:dyDescent="0.25">
      <c r="A125" t="s">
        <v>72</v>
      </c>
    </row>
    <row r="126" spans="1:2" x14ac:dyDescent="0.25">
      <c r="A126" t="s">
        <v>78</v>
      </c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126"/>
  <sheetViews>
    <sheetView topLeftCell="A67" workbookViewId="0">
      <selection activeCell="A67" sqref="A1:B1048576"/>
    </sheetView>
  </sheetViews>
  <sheetFormatPr defaultRowHeight="15" x14ac:dyDescent="0.25"/>
  <cols>
    <col min="1" max="1" width="12.85546875" bestFit="1" customWidth="1"/>
    <col min="2" max="2" width="16.5703125" style="7" bestFit="1" customWidth="1"/>
  </cols>
  <sheetData>
    <row r="1" spans="1:2" x14ac:dyDescent="0.25">
      <c r="A1" s="9" t="s">
        <v>0</v>
      </c>
      <c r="B1" s="4" t="s">
        <v>1</v>
      </c>
    </row>
    <row r="2" spans="1:2" x14ac:dyDescent="0.25">
      <c r="A2" s="10"/>
      <c r="B2" s="5"/>
    </row>
    <row r="3" spans="1:2" x14ac:dyDescent="0.25">
      <c r="A3" s="11" t="s">
        <v>125</v>
      </c>
      <c r="B3" s="6">
        <v>8050019034</v>
      </c>
    </row>
    <row r="4" spans="1:2" x14ac:dyDescent="0.25">
      <c r="A4" s="11" t="s">
        <v>98</v>
      </c>
      <c r="B4" s="6">
        <v>2727540013</v>
      </c>
    </row>
    <row r="5" spans="1:2" x14ac:dyDescent="0.25">
      <c r="A5" s="11" t="s">
        <v>20</v>
      </c>
      <c r="B5" s="6">
        <v>1866656549</v>
      </c>
    </row>
    <row r="6" spans="1:2" x14ac:dyDescent="0.25">
      <c r="A6" s="11" t="s">
        <v>28</v>
      </c>
      <c r="B6" s="6">
        <v>1650515987</v>
      </c>
    </row>
    <row r="7" spans="1:2" x14ac:dyDescent="0.25">
      <c r="A7" s="11" t="s">
        <v>30</v>
      </c>
      <c r="B7" s="6">
        <v>1614876950</v>
      </c>
    </row>
    <row r="8" spans="1:2" x14ac:dyDescent="0.25">
      <c r="A8" s="11" t="s">
        <v>27</v>
      </c>
      <c r="B8" s="6">
        <v>1565168113</v>
      </c>
    </row>
    <row r="9" spans="1:2" x14ac:dyDescent="0.25">
      <c r="A9" s="11" t="s">
        <v>26</v>
      </c>
      <c r="B9" s="6">
        <v>1065873383</v>
      </c>
    </row>
    <row r="10" spans="1:2" x14ac:dyDescent="0.25">
      <c r="A10" s="11" t="s">
        <v>96</v>
      </c>
      <c r="B10" s="6">
        <v>1047016625</v>
      </c>
    </row>
    <row r="11" spans="1:2" x14ac:dyDescent="0.25">
      <c r="A11" s="11" t="s">
        <v>21</v>
      </c>
      <c r="B11" s="6">
        <v>808349850</v>
      </c>
    </row>
    <row r="12" spans="1:2" x14ac:dyDescent="0.25">
      <c r="A12" s="11" t="s">
        <v>116</v>
      </c>
      <c r="B12" s="6">
        <v>644522579.12</v>
      </c>
    </row>
    <row r="13" spans="1:2" x14ac:dyDescent="0.25">
      <c r="A13" s="11" t="s">
        <v>29</v>
      </c>
      <c r="B13" s="6">
        <v>627566994</v>
      </c>
    </row>
    <row r="14" spans="1:2" x14ac:dyDescent="0.25">
      <c r="A14" s="11" t="s">
        <v>18</v>
      </c>
      <c r="B14" s="6">
        <v>618169795</v>
      </c>
    </row>
    <row r="15" spans="1:2" x14ac:dyDescent="0.25">
      <c r="A15" s="11" t="s">
        <v>101</v>
      </c>
      <c r="B15" s="6">
        <v>613841629.68999994</v>
      </c>
    </row>
    <row r="16" spans="1:2" x14ac:dyDescent="0.25">
      <c r="A16" s="11" t="s">
        <v>110</v>
      </c>
      <c r="B16" s="6">
        <v>485952659.78000003</v>
      </c>
    </row>
    <row r="17" spans="1:2" x14ac:dyDescent="0.25">
      <c r="A17" s="11" t="s">
        <v>48</v>
      </c>
      <c r="B17" s="6">
        <v>379236579</v>
      </c>
    </row>
    <row r="18" spans="1:2" x14ac:dyDescent="0.25">
      <c r="A18" s="11" t="s">
        <v>112</v>
      </c>
      <c r="B18" s="6">
        <v>335467591.20999998</v>
      </c>
    </row>
    <row r="19" spans="1:2" x14ac:dyDescent="0.25">
      <c r="A19" s="11" t="s">
        <v>109</v>
      </c>
      <c r="B19" s="6">
        <v>309306721.63</v>
      </c>
    </row>
    <row r="20" spans="1:2" x14ac:dyDescent="0.25">
      <c r="A20" s="11" t="s">
        <v>102</v>
      </c>
      <c r="B20" s="6">
        <v>304477331.25999999</v>
      </c>
    </row>
    <row r="21" spans="1:2" x14ac:dyDescent="0.25">
      <c r="A21" s="11" t="s">
        <v>111</v>
      </c>
      <c r="B21" s="6">
        <v>288470160.21000004</v>
      </c>
    </row>
    <row r="22" spans="1:2" x14ac:dyDescent="0.25">
      <c r="A22" s="11" t="s">
        <v>105</v>
      </c>
      <c r="B22" s="6">
        <v>262584571.15000001</v>
      </c>
    </row>
    <row r="23" spans="1:2" x14ac:dyDescent="0.25">
      <c r="A23" s="11" t="s">
        <v>100</v>
      </c>
      <c r="B23" s="6">
        <v>252086907.79999998</v>
      </c>
    </row>
    <row r="24" spans="1:2" x14ac:dyDescent="0.25">
      <c r="A24" s="11" t="s">
        <v>123</v>
      </c>
      <c r="B24" s="6">
        <v>246844446.06000003</v>
      </c>
    </row>
    <row r="25" spans="1:2" x14ac:dyDescent="0.25">
      <c r="A25" s="11" t="s">
        <v>122</v>
      </c>
      <c r="B25" s="6">
        <v>228115485.31</v>
      </c>
    </row>
    <row r="26" spans="1:2" x14ac:dyDescent="0.25">
      <c r="A26" s="11" t="s">
        <v>107</v>
      </c>
      <c r="B26" s="6">
        <v>217338523.36000001</v>
      </c>
    </row>
    <row r="27" spans="1:2" x14ac:dyDescent="0.25">
      <c r="A27" s="11" t="s">
        <v>10</v>
      </c>
      <c r="B27" s="6">
        <v>206174360</v>
      </c>
    </row>
    <row r="28" spans="1:2" x14ac:dyDescent="0.25">
      <c r="A28" s="11" t="s">
        <v>80</v>
      </c>
      <c r="B28" s="6">
        <v>201855716</v>
      </c>
    </row>
    <row r="29" spans="1:2" x14ac:dyDescent="0.25">
      <c r="A29" s="11" t="s">
        <v>9</v>
      </c>
      <c r="B29" s="6">
        <v>200969864</v>
      </c>
    </row>
    <row r="30" spans="1:2" x14ac:dyDescent="0.25">
      <c r="A30" s="11" t="s">
        <v>106</v>
      </c>
      <c r="B30" s="6">
        <v>193592173.19</v>
      </c>
    </row>
    <row r="31" spans="1:2" x14ac:dyDescent="0.25">
      <c r="A31" s="11" t="s">
        <v>69</v>
      </c>
      <c r="B31" s="6">
        <v>154089012</v>
      </c>
    </row>
    <row r="32" spans="1:2" x14ac:dyDescent="0.25">
      <c r="A32" s="11" t="s">
        <v>17</v>
      </c>
      <c r="B32" s="6">
        <v>141623524</v>
      </c>
    </row>
    <row r="33" spans="1:2" x14ac:dyDescent="0.25">
      <c r="A33" s="11" t="s">
        <v>19</v>
      </c>
      <c r="B33" s="6">
        <v>124438641</v>
      </c>
    </row>
    <row r="34" spans="1:2" x14ac:dyDescent="0.25">
      <c r="A34" s="11" t="s">
        <v>99</v>
      </c>
      <c r="B34" s="6">
        <v>120703078.68999998</v>
      </c>
    </row>
    <row r="35" spans="1:2" x14ac:dyDescent="0.25">
      <c r="A35" s="11" t="s">
        <v>95</v>
      </c>
      <c r="B35" s="6">
        <v>120033191</v>
      </c>
    </row>
    <row r="36" spans="1:2" x14ac:dyDescent="0.25">
      <c r="A36" s="11" t="s">
        <v>67</v>
      </c>
      <c r="B36" s="6">
        <v>111968520</v>
      </c>
    </row>
    <row r="37" spans="1:2" x14ac:dyDescent="0.25">
      <c r="A37" s="11" t="s">
        <v>120</v>
      </c>
      <c r="B37" s="6">
        <v>99398125.430000007</v>
      </c>
    </row>
    <row r="38" spans="1:2" x14ac:dyDescent="0.25">
      <c r="A38" s="11" t="s">
        <v>45</v>
      </c>
      <c r="B38" s="6">
        <v>96655761</v>
      </c>
    </row>
    <row r="39" spans="1:2" x14ac:dyDescent="0.25">
      <c r="A39" s="11" t="s">
        <v>104</v>
      </c>
      <c r="B39" s="6">
        <v>89193263.929999992</v>
      </c>
    </row>
    <row r="40" spans="1:2" x14ac:dyDescent="0.25">
      <c r="A40" s="11" t="s">
        <v>68</v>
      </c>
      <c r="B40" s="6">
        <v>83107383</v>
      </c>
    </row>
    <row r="41" spans="1:2" x14ac:dyDescent="0.25">
      <c r="A41" s="11" t="s">
        <v>49</v>
      </c>
      <c r="B41" s="6">
        <v>78796883</v>
      </c>
    </row>
    <row r="42" spans="1:2" x14ac:dyDescent="0.25">
      <c r="A42" s="11" t="s">
        <v>108</v>
      </c>
      <c r="B42" s="6">
        <v>72239914.109999999</v>
      </c>
    </row>
    <row r="43" spans="1:2" x14ac:dyDescent="0.25">
      <c r="A43" s="11" t="s">
        <v>8</v>
      </c>
      <c r="B43" s="6">
        <v>67262960</v>
      </c>
    </row>
    <row r="44" spans="1:2" x14ac:dyDescent="0.25">
      <c r="A44" s="11" t="s">
        <v>118</v>
      </c>
      <c r="B44" s="6">
        <v>59717564.990000002</v>
      </c>
    </row>
    <row r="45" spans="1:2" x14ac:dyDescent="0.25">
      <c r="A45" s="11" t="s">
        <v>44</v>
      </c>
      <c r="B45" s="6">
        <v>58737138</v>
      </c>
    </row>
    <row r="46" spans="1:2" x14ac:dyDescent="0.25">
      <c r="A46" s="11" t="s">
        <v>87</v>
      </c>
      <c r="B46" s="6">
        <v>50037376</v>
      </c>
    </row>
    <row r="47" spans="1:2" x14ac:dyDescent="0.25">
      <c r="A47" s="11" t="s">
        <v>115</v>
      </c>
      <c r="B47" s="6">
        <v>46524673.480000004</v>
      </c>
    </row>
    <row r="48" spans="1:2" x14ac:dyDescent="0.25">
      <c r="A48" s="11" t="s">
        <v>114</v>
      </c>
      <c r="B48" s="6">
        <v>46219537.520000003</v>
      </c>
    </row>
    <row r="49" spans="1:2" x14ac:dyDescent="0.25">
      <c r="A49" s="11" t="s">
        <v>50</v>
      </c>
      <c r="B49" s="6">
        <v>45236695</v>
      </c>
    </row>
    <row r="50" spans="1:2" x14ac:dyDescent="0.25">
      <c r="A50" s="11" t="s">
        <v>47</v>
      </c>
      <c r="B50" s="6">
        <v>40743841</v>
      </c>
    </row>
    <row r="51" spans="1:2" x14ac:dyDescent="0.25">
      <c r="A51" s="11" t="s">
        <v>94</v>
      </c>
      <c r="B51" s="6">
        <v>39677159</v>
      </c>
    </row>
    <row r="52" spans="1:2" x14ac:dyDescent="0.25">
      <c r="A52" s="11" t="s">
        <v>89</v>
      </c>
      <c r="B52" s="6">
        <v>38303933</v>
      </c>
    </row>
    <row r="53" spans="1:2" x14ac:dyDescent="0.25">
      <c r="A53" s="11" t="s">
        <v>86</v>
      </c>
      <c r="B53" s="6">
        <v>36557484</v>
      </c>
    </row>
    <row r="54" spans="1:2" x14ac:dyDescent="0.25">
      <c r="A54" s="11" t="s">
        <v>91</v>
      </c>
      <c r="B54" s="6">
        <v>35886945</v>
      </c>
    </row>
    <row r="55" spans="1:2" x14ac:dyDescent="0.25">
      <c r="A55" s="11" t="s">
        <v>117</v>
      </c>
      <c r="B55" s="6">
        <v>35351290.269999996</v>
      </c>
    </row>
    <row r="56" spans="1:2" x14ac:dyDescent="0.25">
      <c r="A56" s="11" t="s">
        <v>82</v>
      </c>
      <c r="B56" s="6">
        <v>30474390</v>
      </c>
    </row>
    <row r="57" spans="1:2" x14ac:dyDescent="0.25">
      <c r="A57" s="11" t="s">
        <v>103</v>
      </c>
      <c r="B57" s="6">
        <v>27978591.48</v>
      </c>
    </row>
    <row r="58" spans="1:2" x14ac:dyDescent="0.25">
      <c r="A58" s="11" t="s">
        <v>85</v>
      </c>
      <c r="B58" s="6">
        <v>27219005</v>
      </c>
    </row>
    <row r="59" spans="1:2" x14ac:dyDescent="0.25">
      <c r="A59" s="11" t="s">
        <v>56</v>
      </c>
      <c r="B59" s="6">
        <v>24736927</v>
      </c>
    </row>
    <row r="60" spans="1:2" x14ac:dyDescent="0.25">
      <c r="A60" s="11" t="s">
        <v>11</v>
      </c>
      <c r="B60" s="6">
        <v>17607025</v>
      </c>
    </row>
    <row r="61" spans="1:2" x14ac:dyDescent="0.25">
      <c r="A61" s="11" t="s">
        <v>65</v>
      </c>
      <c r="B61" s="6">
        <v>16823310</v>
      </c>
    </row>
    <row r="62" spans="1:2" x14ac:dyDescent="0.25">
      <c r="A62" s="11" t="s">
        <v>14</v>
      </c>
      <c r="B62" s="6">
        <v>13975044</v>
      </c>
    </row>
    <row r="63" spans="1:2" x14ac:dyDescent="0.25">
      <c r="A63" s="11" t="s">
        <v>15</v>
      </c>
      <c r="B63" s="6">
        <v>13696425</v>
      </c>
    </row>
    <row r="64" spans="1:2" x14ac:dyDescent="0.25">
      <c r="A64" s="11" t="s">
        <v>97</v>
      </c>
      <c r="B64" s="6">
        <v>10949061</v>
      </c>
    </row>
    <row r="65" spans="1:2" x14ac:dyDescent="0.25">
      <c r="A65" s="11" t="s">
        <v>13</v>
      </c>
      <c r="B65" s="6">
        <v>9456316</v>
      </c>
    </row>
    <row r="66" spans="1:2" x14ac:dyDescent="0.25">
      <c r="A66" s="11" t="s">
        <v>12</v>
      </c>
      <c r="B66" s="6">
        <v>9152460</v>
      </c>
    </row>
    <row r="67" spans="1:2" x14ac:dyDescent="0.25">
      <c r="A67" s="11" t="s">
        <v>119</v>
      </c>
      <c r="B67" s="6">
        <v>7843556.3099999996</v>
      </c>
    </row>
    <row r="68" spans="1:2" x14ac:dyDescent="0.25">
      <c r="A68" s="11" t="s">
        <v>33</v>
      </c>
      <c r="B68" s="6">
        <v>6495375</v>
      </c>
    </row>
    <row r="69" spans="1:2" x14ac:dyDescent="0.25">
      <c r="A69" s="11" t="s">
        <v>121</v>
      </c>
      <c r="B69" s="6">
        <v>5352991.5599999996</v>
      </c>
    </row>
    <row r="70" spans="1:2" x14ac:dyDescent="0.25">
      <c r="A70" s="11" t="s">
        <v>83</v>
      </c>
      <c r="B70" s="6">
        <v>4686490</v>
      </c>
    </row>
    <row r="71" spans="1:2" x14ac:dyDescent="0.25">
      <c r="A71" s="11" t="s">
        <v>31</v>
      </c>
      <c r="B71" s="6">
        <v>4052138</v>
      </c>
    </row>
    <row r="72" spans="1:2" x14ac:dyDescent="0.25">
      <c r="A72" s="11" t="s">
        <v>55</v>
      </c>
      <c r="B72" s="6">
        <v>3930575</v>
      </c>
    </row>
    <row r="73" spans="1:2" x14ac:dyDescent="0.25">
      <c r="A73" s="11" t="s">
        <v>66</v>
      </c>
      <c r="B73" s="6">
        <v>2271098</v>
      </c>
    </row>
    <row r="74" spans="1:2" x14ac:dyDescent="0.25">
      <c r="A74" s="11" t="s">
        <v>22</v>
      </c>
      <c r="B74" s="6">
        <v>2086332</v>
      </c>
    </row>
    <row r="75" spans="1:2" x14ac:dyDescent="0.25">
      <c r="A75" s="11" t="s">
        <v>2</v>
      </c>
      <c r="B75" s="6">
        <v>2039241</v>
      </c>
    </row>
    <row r="76" spans="1:2" x14ac:dyDescent="0.25">
      <c r="A76" s="11" t="s">
        <v>57</v>
      </c>
      <c r="B76" s="6">
        <v>1338435</v>
      </c>
    </row>
    <row r="77" spans="1:2" x14ac:dyDescent="0.25">
      <c r="A77" s="11" t="s">
        <v>39</v>
      </c>
      <c r="B77" s="6">
        <v>661728</v>
      </c>
    </row>
    <row r="78" spans="1:2" x14ac:dyDescent="0.25">
      <c r="A78" s="11" t="s">
        <v>35</v>
      </c>
      <c r="B78" s="6">
        <v>570504</v>
      </c>
    </row>
    <row r="79" spans="1:2" x14ac:dyDescent="0.25">
      <c r="A79" s="11" t="s">
        <v>81</v>
      </c>
      <c r="B79" s="6">
        <v>470829</v>
      </c>
    </row>
    <row r="80" spans="1:2" x14ac:dyDescent="0.25">
      <c r="A80" s="11" t="s">
        <v>64</v>
      </c>
      <c r="B80" s="6">
        <v>469216</v>
      </c>
    </row>
    <row r="81" spans="1:2" x14ac:dyDescent="0.25">
      <c r="A81" s="11" t="s">
        <v>36</v>
      </c>
      <c r="B81" s="6">
        <v>397203</v>
      </c>
    </row>
    <row r="82" spans="1:2" x14ac:dyDescent="0.25">
      <c r="A82" s="11" t="s">
        <v>32</v>
      </c>
      <c r="B82" s="6">
        <v>379333</v>
      </c>
    </row>
    <row r="83" spans="1:2" x14ac:dyDescent="0.25">
      <c r="A83" s="11" t="s">
        <v>6</v>
      </c>
      <c r="B83" s="6">
        <v>314856</v>
      </c>
    </row>
    <row r="84" spans="1:2" x14ac:dyDescent="0.25">
      <c r="A84" s="11" t="s">
        <v>41</v>
      </c>
      <c r="B84" s="6">
        <v>305938</v>
      </c>
    </row>
    <row r="85" spans="1:2" x14ac:dyDescent="0.25">
      <c r="A85" s="11" t="s">
        <v>5</v>
      </c>
      <c r="B85" s="6">
        <v>268847</v>
      </c>
    </row>
    <row r="86" spans="1:2" x14ac:dyDescent="0.25">
      <c r="A86" s="11" t="s">
        <v>34</v>
      </c>
      <c r="B86" s="6">
        <v>256569</v>
      </c>
    </row>
    <row r="87" spans="1:2" x14ac:dyDescent="0.25">
      <c r="A87" s="11" t="s">
        <v>3</v>
      </c>
      <c r="B87" s="6">
        <v>207125</v>
      </c>
    </row>
    <row r="88" spans="1:2" x14ac:dyDescent="0.25">
      <c r="A88" s="11" t="s">
        <v>38</v>
      </c>
      <c r="B88" s="6">
        <v>204300</v>
      </c>
    </row>
    <row r="89" spans="1:2" x14ac:dyDescent="0.25">
      <c r="A89" s="11" t="s">
        <v>90</v>
      </c>
      <c r="B89" s="6">
        <v>179330</v>
      </c>
    </row>
    <row r="90" spans="1:2" x14ac:dyDescent="0.25">
      <c r="A90" s="11" t="s">
        <v>37</v>
      </c>
      <c r="B90" s="6">
        <v>172503</v>
      </c>
    </row>
    <row r="91" spans="1:2" x14ac:dyDescent="0.25">
      <c r="A91" s="11" t="s">
        <v>40</v>
      </c>
      <c r="B91" s="6">
        <v>155886</v>
      </c>
    </row>
    <row r="92" spans="1:2" x14ac:dyDescent="0.25">
      <c r="A92" s="11" t="s">
        <v>16</v>
      </c>
      <c r="B92" s="6">
        <v>80953</v>
      </c>
    </row>
    <row r="93" spans="1:2" x14ac:dyDescent="0.25">
      <c r="A93" s="11" t="s">
        <v>46</v>
      </c>
      <c r="B93" s="6">
        <v>75369</v>
      </c>
    </row>
    <row r="94" spans="1:2" x14ac:dyDescent="0.25">
      <c r="A94" s="11" t="s">
        <v>43</v>
      </c>
      <c r="B94" s="6">
        <v>65420</v>
      </c>
    </row>
    <row r="95" spans="1:2" x14ac:dyDescent="0.25">
      <c r="A95" s="11" t="s">
        <v>7</v>
      </c>
      <c r="B95" s="6">
        <v>23982</v>
      </c>
    </row>
    <row r="96" spans="1:2" x14ac:dyDescent="0.25">
      <c r="A96" s="11" t="s">
        <v>42</v>
      </c>
      <c r="B96" s="6">
        <v>16396</v>
      </c>
    </row>
    <row r="97" spans="1:2" x14ac:dyDescent="0.25">
      <c r="A97" s="11" t="s">
        <v>4</v>
      </c>
      <c r="B97" s="6">
        <v>2725</v>
      </c>
    </row>
    <row r="98" spans="1:2" x14ac:dyDescent="0.25">
      <c r="A98" s="11" t="s">
        <v>23</v>
      </c>
      <c r="B98" s="6">
        <v>1</v>
      </c>
    </row>
    <row r="99" spans="1:2" x14ac:dyDescent="0.25">
      <c r="A99" s="11" t="s">
        <v>24</v>
      </c>
      <c r="B99" s="6">
        <v>1</v>
      </c>
    </row>
    <row r="100" spans="1:2" x14ac:dyDescent="0.25">
      <c r="A100" s="11" t="s">
        <v>92</v>
      </c>
      <c r="B100" s="6"/>
    </row>
    <row r="101" spans="1:2" x14ac:dyDescent="0.25">
      <c r="A101" s="11" t="s">
        <v>113</v>
      </c>
      <c r="B101" s="6"/>
    </row>
    <row r="102" spans="1:2" x14ac:dyDescent="0.25">
      <c r="A102" s="11" t="s">
        <v>93</v>
      </c>
      <c r="B102" s="6"/>
    </row>
    <row r="103" spans="1:2" x14ac:dyDescent="0.25">
      <c r="A103" s="11" t="s">
        <v>25</v>
      </c>
      <c r="B103" s="6"/>
    </row>
    <row r="104" spans="1:2" x14ac:dyDescent="0.25">
      <c r="A104" s="11" t="s">
        <v>84</v>
      </c>
      <c r="B104" s="6"/>
    </row>
    <row r="105" spans="1:2" x14ac:dyDescent="0.25">
      <c r="A105" s="11" t="s">
        <v>124</v>
      </c>
      <c r="B105" s="6"/>
    </row>
    <row r="106" spans="1:2" x14ac:dyDescent="0.25">
      <c r="A106" s="11" t="s">
        <v>88</v>
      </c>
      <c r="B106" s="6"/>
    </row>
    <row r="107" spans="1:2" x14ac:dyDescent="0.25">
      <c r="A107" s="3" t="s">
        <v>75</v>
      </c>
      <c r="B107" s="6"/>
    </row>
    <row r="108" spans="1:2" x14ac:dyDescent="0.25">
      <c r="A108" s="3" t="s">
        <v>76</v>
      </c>
      <c r="B108" s="6"/>
    </row>
    <row r="109" spans="1:2" x14ac:dyDescent="0.25">
      <c r="A109" s="3" t="s">
        <v>92</v>
      </c>
      <c r="B109" s="6"/>
    </row>
    <row r="110" spans="1:2" x14ac:dyDescent="0.25">
      <c r="A110" s="3" t="s">
        <v>113</v>
      </c>
      <c r="B110" s="6"/>
    </row>
    <row r="111" spans="1:2" x14ac:dyDescent="0.25">
      <c r="A111" s="3" t="s">
        <v>51</v>
      </c>
      <c r="B111" s="6"/>
    </row>
    <row r="112" spans="1:2" x14ac:dyDescent="0.25">
      <c r="A112" s="3" t="s">
        <v>93</v>
      </c>
      <c r="B112" s="6"/>
    </row>
    <row r="113" spans="1:2" x14ac:dyDescent="0.25">
      <c r="A113" s="3" t="s">
        <v>53</v>
      </c>
      <c r="B113" s="6"/>
    </row>
    <row r="114" spans="1:2" x14ac:dyDescent="0.25">
      <c r="A114" s="3" t="s">
        <v>25</v>
      </c>
      <c r="B114" s="6"/>
    </row>
    <row r="115" spans="1:2" x14ac:dyDescent="0.25">
      <c r="A115" s="3" t="s">
        <v>84</v>
      </c>
      <c r="B115" s="6"/>
    </row>
    <row r="116" spans="1:2" x14ac:dyDescent="0.25">
      <c r="A116" s="3" t="s">
        <v>124</v>
      </c>
      <c r="B116" s="6"/>
    </row>
    <row r="117" spans="1:2" x14ac:dyDescent="0.25">
      <c r="A117" s="3" t="s">
        <v>73</v>
      </c>
      <c r="B117" s="6"/>
    </row>
    <row r="118" spans="1:2" x14ac:dyDescent="0.25">
      <c r="A118" s="3" t="s">
        <v>79</v>
      </c>
      <c r="B118" s="6"/>
    </row>
    <row r="119" spans="1:2" x14ac:dyDescent="0.25">
      <c r="A119" s="3" t="s">
        <v>52</v>
      </c>
      <c r="B119" s="6"/>
    </row>
    <row r="120" spans="1:2" x14ac:dyDescent="0.25">
      <c r="A120" s="3" t="s">
        <v>88</v>
      </c>
      <c r="B120" s="6"/>
    </row>
    <row r="121" spans="1:2" x14ac:dyDescent="0.25">
      <c r="A121" s="3" t="s">
        <v>74</v>
      </c>
      <c r="B121" s="6"/>
    </row>
    <row r="122" spans="1:2" x14ac:dyDescent="0.25">
      <c r="A122" s="3" t="s">
        <v>71</v>
      </c>
      <c r="B122" s="6"/>
    </row>
    <row r="123" spans="1:2" x14ac:dyDescent="0.25">
      <c r="A123" s="3" t="s">
        <v>77</v>
      </c>
      <c r="B123" s="6"/>
    </row>
    <row r="124" spans="1:2" x14ac:dyDescent="0.25">
      <c r="A124" s="3" t="s">
        <v>54</v>
      </c>
      <c r="B124" s="6"/>
    </row>
    <row r="125" spans="1:2" x14ac:dyDescent="0.25">
      <c r="A125" t="s">
        <v>72</v>
      </c>
    </row>
    <row r="126" spans="1:2" x14ac:dyDescent="0.25">
      <c r="A126" t="s">
        <v>78</v>
      </c>
    </row>
  </sheetData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126"/>
  <sheetViews>
    <sheetView workbookViewId="0">
      <selection sqref="A1:XFD1048576"/>
    </sheetView>
  </sheetViews>
  <sheetFormatPr defaultRowHeight="15" x14ac:dyDescent="0.25"/>
  <cols>
    <col min="1" max="1" width="12.85546875" bestFit="1" customWidth="1"/>
    <col min="2" max="2" width="16.5703125" style="7" bestFit="1" customWidth="1"/>
  </cols>
  <sheetData>
    <row r="1" spans="1:2" x14ac:dyDescent="0.25">
      <c r="A1" s="1" t="s">
        <v>0</v>
      </c>
      <c r="B1" s="4" t="s">
        <v>1</v>
      </c>
    </row>
    <row r="2" spans="1:2" x14ac:dyDescent="0.25">
      <c r="A2" s="2"/>
      <c r="B2" s="5"/>
    </row>
    <row r="3" spans="1:2" x14ac:dyDescent="0.25">
      <c r="A3" s="3" t="s">
        <v>125</v>
      </c>
      <c r="B3" s="6">
        <v>5998063116</v>
      </c>
    </row>
    <row r="4" spans="1:2" x14ac:dyDescent="0.25">
      <c r="A4" s="3" t="s">
        <v>98</v>
      </c>
      <c r="B4" s="6">
        <v>2541956855</v>
      </c>
    </row>
    <row r="5" spans="1:2" x14ac:dyDescent="0.25">
      <c r="A5" s="3" t="s">
        <v>20</v>
      </c>
      <c r="B5" s="6">
        <v>1831004138</v>
      </c>
    </row>
    <row r="6" spans="1:2" x14ac:dyDescent="0.25">
      <c r="A6" s="3" t="s">
        <v>28</v>
      </c>
      <c r="B6" s="6">
        <v>1660471465</v>
      </c>
    </row>
    <row r="7" spans="1:2" x14ac:dyDescent="0.25">
      <c r="A7" s="3" t="s">
        <v>27</v>
      </c>
      <c r="B7" s="6">
        <v>1571675455</v>
      </c>
    </row>
    <row r="8" spans="1:2" x14ac:dyDescent="0.25">
      <c r="A8" s="3" t="s">
        <v>30</v>
      </c>
      <c r="B8" s="6">
        <v>1571269265</v>
      </c>
    </row>
    <row r="9" spans="1:2" x14ac:dyDescent="0.25">
      <c r="A9" s="3" t="s">
        <v>26</v>
      </c>
      <c r="B9" s="6">
        <v>1068948228</v>
      </c>
    </row>
    <row r="10" spans="1:2" x14ac:dyDescent="0.25">
      <c r="A10" s="3" t="s">
        <v>96</v>
      </c>
      <c r="B10" s="6">
        <v>975789997</v>
      </c>
    </row>
    <row r="11" spans="1:2" x14ac:dyDescent="0.25">
      <c r="A11" s="3" t="s">
        <v>21</v>
      </c>
      <c r="B11" s="6">
        <v>785870214</v>
      </c>
    </row>
    <row r="12" spans="1:2" x14ac:dyDescent="0.25">
      <c r="A12" s="3" t="s">
        <v>116</v>
      </c>
      <c r="B12" s="6">
        <v>667500415.29999995</v>
      </c>
    </row>
    <row r="13" spans="1:2" x14ac:dyDescent="0.25">
      <c r="A13" s="3" t="s">
        <v>101</v>
      </c>
      <c r="B13" s="6">
        <v>613841629.70000005</v>
      </c>
    </row>
    <row r="14" spans="1:2" x14ac:dyDescent="0.25">
      <c r="A14" s="3" t="s">
        <v>18</v>
      </c>
      <c r="B14" s="6">
        <v>610863800</v>
      </c>
    </row>
    <row r="15" spans="1:2" x14ac:dyDescent="0.25">
      <c r="A15" s="3" t="s">
        <v>29</v>
      </c>
      <c r="B15" s="6">
        <v>607797305</v>
      </c>
    </row>
    <row r="16" spans="1:2" x14ac:dyDescent="0.25">
      <c r="A16" s="3" t="s">
        <v>110</v>
      </c>
      <c r="B16" s="6">
        <v>486217708.5</v>
      </c>
    </row>
    <row r="17" spans="1:2" x14ac:dyDescent="0.25">
      <c r="A17" s="3" t="s">
        <v>48</v>
      </c>
      <c r="B17" s="6">
        <v>371149806</v>
      </c>
    </row>
    <row r="18" spans="1:2" x14ac:dyDescent="0.25">
      <c r="A18" s="3" t="s">
        <v>112</v>
      </c>
      <c r="B18" s="6">
        <v>334681440.60000002</v>
      </c>
    </row>
    <row r="19" spans="1:2" x14ac:dyDescent="0.25">
      <c r="A19" s="3" t="s">
        <v>102</v>
      </c>
      <c r="B19" s="6">
        <v>309901283.10000002</v>
      </c>
    </row>
    <row r="20" spans="1:2" x14ac:dyDescent="0.25">
      <c r="A20" s="3" t="s">
        <v>109</v>
      </c>
      <c r="B20" s="6">
        <v>303070808.5</v>
      </c>
    </row>
    <row r="21" spans="1:2" x14ac:dyDescent="0.25">
      <c r="A21" s="3" t="s">
        <v>111</v>
      </c>
      <c r="B21" s="6">
        <v>287753281.80000001</v>
      </c>
    </row>
    <row r="22" spans="1:2" x14ac:dyDescent="0.25">
      <c r="A22" s="3" t="s">
        <v>105</v>
      </c>
      <c r="B22" s="6">
        <v>263376908</v>
      </c>
    </row>
    <row r="23" spans="1:2" x14ac:dyDescent="0.25">
      <c r="A23" s="3" t="s">
        <v>100</v>
      </c>
      <c r="B23" s="6">
        <v>250724258.19999999</v>
      </c>
    </row>
    <row r="24" spans="1:2" x14ac:dyDescent="0.25">
      <c r="A24" s="3" t="s">
        <v>122</v>
      </c>
      <c r="B24" s="6">
        <v>227624077</v>
      </c>
    </row>
    <row r="25" spans="1:2" x14ac:dyDescent="0.25">
      <c r="A25" s="3" t="s">
        <v>107</v>
      </c>
      <c r="B25" s="6">
        <v>211247918.69999999</v>
      </c>
    </row>
    <row r="26" spans="1:2" x14ac:dyDescent="0.25">
      <c r="A26" s="3" t="s">
        <v>9</v>
      </c>
      <c r="B26" s="6">
        <v>206171324</v>
      </c>
    </row>
    <row r="27" spans="1:2" x14ac:dyDescent="0.25">
      <c r="A27" s="3" t="s">
        <v>10</v>
      </c>
      <c r="B27" s="6">
        <v>205914567</v>
      </c>
    </row>
    <row r="28" spans="1:2" x14ac:dyDescent="0.25">
      <c r="A28" s="3" t="s">
        <v>80</v>
      </c>
      <c r="B28" s="6">
        <v>201200674</v>
      </c>
    </row>
    <row r="29" spans="1:2" x14ac:dyDescent="0.25">
      <c r="A29" s="3" t="s">
        <v>123</v>
      </c>
      <c r="B29" s="6">
        <v>190944465.80000001</v>
      </c>
    </row>
    <row r="30" spans="1:2" x14ac:dyDescent="0.25">
      <c r="A30" s="3" t="s">
        <v>106</v>
      </c>
      <c r="B30" s="6">
        <v>186764764.59999999</v>
      </c>
    </row>
    <row r="31" spans="1:2" x14ac:dyDescent="0.25">
      <c r="A31" s="3" t="s">
        <v>69</v>
      </c>
      <c r="B31" s="6">
        <v>150435014</v>
      </c>
    </row>
    <row r="32" spans="1:2" x14ac:dyDescent="0.25">
      <c r="A32" s="3" t="s">
        <v>17</v>
      </c>
      <c r="B32" s="6">
        <v>142894004</v>
      </c>
    </row>
    <row r="33" spans="1:2" x14ac:dyDescent="0.25">
      <c r="A33" s="3" t="s">
        <v>19</v>
      </c>
      <c r="B33" s="6">
        <v>125638039</v>
      </c>
    </row>
    <row r="34" spans="1:2" x14ac:dyDescent="0.25">
      <c r="A34" s="3" t="s">
        <v>95</v>
      </c>
      <c r="B34" s="6">
        <v>118080914</v>
      </c>
    </row>
    <row r="35" spans="1:2" x14ac:dyDescent="0.25">
      <c r="A35" s="3" t="s">
        <v>67</v>
      </c>
      <c r="B35" s="6">
        <v>110936051</v>
      </c>
    </row>
    <row r="36" spans="1:2" x14ac:dyDescent="0.25">
      <c r="A36" s="3" t="s">
        <v>99</v>
      </c>
      <c r="B36" s="6">
        <v>107204440.7</v>
      </c>
    </row>
    <row r="37" spans="1:2" x14ac:dyDescent="0.25">
      <c r="A37" s="3" t="s">
        <v>120</v>
      </c>
      <c r="B37" s="6">
        <v>102661619.09999999</v>
      </c>
    </row>
    <row r="38" spans="1:2" x14ac:dyDescent="0.25">
      <c r="A38" s="3" t="s">
        <v>45</v>
      </c>
      <c r="B38" s="6">
        <v>96466260</v>
      </c>
    </row>
    <row r="39" spans="1:2" x14ac:dyDescent="0.25">
      <c r="A39" s="3" t="s">
        <v>104</v>
      </c>
      <c r="B39" s="6">
        <v>88736964.829999998</v>
      </c>
    </row>
    <row r="40" spans="1:2" x14ac:dyDescent="0.25">
      <c r="A40" s="3" t="s">
        <v>68</v>
      </c>
      <c r="B40" s="6">
        <v>81924925</v>
      </c>
    </row>
    <row r="41" spans="1:2" x14ac:dyDescent="0.25">
      <c r="A41" s="3" t="s">
        <v>49</v>
      </c>
      <c r="B41" s="6">
        <v>77984768</v>
      </c>
    </row>
    <row r="42" spans="1:2" x14ac:dyDescent="0.25">
      <c r="A42" s="3" t="s">
        <v>108</v>
      </c>
      <c r="B42" s="6">
        <v>70579737.680000007</v>
      </c>
    </row>
    <row r="43" spans="1:2" x14ac:dyDescent="0.25">
      <c r="A43" s="3" t="s">
        <v>8</v>
      </c>
      <c r="B43" s="6">
        <v>66753351</v>
      </c>
    </row>
    <row r="44" spans="1:2" x14ac:dyDescent="0.25">
      <c r="A44" s="3" t="s">
        <v>118</v>
      </c>
      <c r="B44" s="6">
        <v>61892957.450000003</v>
      </c>
    </row>
    <row r="45" spans="1:2" x14ac:dyDescent="0.25">
      <c r="A45" s="3" t="s">
        <v>44</v>
      </c>
      <c r="B45" s="6">
        <v>58959147</v>
      </c>
    </row>
    <row r="46" spans="1:2" x14ac:dyDescent="0.25">
      <c r="A46" s="3" t="s">
        <v>87</v>
      </c>
      <c r="B46" s="6">
        <v>50485459</v>
      </c>
    </row>
    <row r="47" spans="1:2" x14ac:dyDescent="0.25">
      <c r="A47" s="3" t="s">
        <v>115</v>
      </c>
      <c r="B47" s="6">
        <v>47709650.969999999</v>
      </c>
    </row>
    <row r="48" spans="1:2" x14ac:dyDescent="0.25">
      <c r="A48" s="3" t="s">
        <v>114</v>
      </c>
      <c r="B48" s="6">
        <v>47011109.75</v>
      </c>
    </row>
    <row r="49" spans="1:2" x14ac:dyDescent="0.25">
      <c r="A49" s="3" t="s">
        <v>50</v>
      </c>
      <c r="B49" s="6">
        <v>45448135</v>
      </c>
    </row>
    <row r="50" spans="1:2" x14ac:dyDescent="0.25">
      <c r="A50" s="3" t="s">
        <v>47</v>
      </c>
      <c r="B50" s="6">
        <v>40198901</v>
      </c>
    </row>
    <row r="51" spans="1:2" x14ac:dyDescent="0.25">
      <c r="A51" s="3" t="s">
        <v>94</v>
      </c>
      <c r="B51" s="6">
        <v>39630791</v>
      </c>
    </row>
    <row r="52" spans="1:2" x14ac:dyDescent="0.25">
      <c r="A52" s="3" t="s">
        <v>89</v>
      </c>
      <c r="B52" s="6">
        <v>38231156</v>
      </c>
    </row>
    <row r="53" spans="1:2" x14ac:dyDescent="0.25">
      <c r="A53" s="3" t="s">
        <v>86</v>
      </c>
      <c r="B53" s="6">
        <v>36489358</v>
      </c>
    </row>
    <row r="54" spans="1:2" x14ac:dyDescent="0.25">
      <c r="A54" s="3" t="s">
        <v>91</v>
      </c>
      <c r="B54" s="6">
        <v>36216059</v>
      </c>
    </row>
    <row r="55" spans="1:2" x14ac:dyDescent="0.25">
      <c r="A55" s="3" t="s">
        <v>117</v>
      </c>
      <c r="B55" s="6">
        <v>35985875.590000004</v>
      </c>
    </row>
    <row r="56" spans="1:2" x14ac:dyDescent="0.25">
      <c r="A56" s="3" t="s">
        <v>82</v>
      </c>
      <c r="B56" s="6">
        <v>30008460</v>
      </c>
    </row>
    <row r="57" spans="1:2" x14ac:dyDescent="0.25">
      <c r="A57" s="3" t="s">
        <v>103</v>
      </c>
      <c r="B57" s="6">
        <v>27782412.350000001</v>
      </c>
    </row>
    <row r="58" spans="1:2" x14ac:dyDescent="0.25">
      <c r="A58" s="3" t="s">
        <v>85</v>
      </c>
      <c r="B58" s="6">
        <v>27316308</v>
      </c>
    </row>
    <row r="59" spans="1:2" x14ac:dyDescent="0.25">
      <c r="A59" s="3" t="s">
        <v>56</v>
      </c>
      <c r="B59" s="6">
        <v>24153100</v>
      </c>
    </row>
    <row r="60" spans="1:2" x14ac:dyDescent="0.25">
      <c r="A60" s="3" t="s">
        <v>11</v>
      </c>
      <c r="B60" s="6">
        <v>17923773</v>
      </c>
    </row>
    <row r="61" spans="1:2" x14ac:dyDescent="0.25">
      <c r="A61" s="3" t="s">
        <v>58</v>
      </c>
      <c r="B61" s="6">
        <v>17215717</v>
      </c>
    </row>
    <row r="62" spans="1:2" x14ac:dyDescent="0.25">
      <c r="A62" s="3" t="s">
        <v>65</v>
      </c>
      <c r="B62" s="6">
        <v>17030664</v>
      </c>
    </row>
    <row r="63" spans="1:2" x14ac:dyDescent="0.25">
      <c r="A63" s="3" t="s">
        <v>62</v>
      </c>
      <c r="B63" s="6">
        <v>16364026</v>
      </c>
    </row>
    <row r="64" spans="1:2" x14ac:dyDescent="0.25">
      <c r="A64" s="3" t="s">
        <v>14</v>
      </c>
      <c r="B64" s="6">
        <v>14005515</v>
      </c>
    </row>
    <row r="65" spans="1:2" x14ac:dyDescent="0.25">
      <c r="A65" s="3" t="s">
        <v>15</v>
      </c>
      <c r="B65" s="6">
        <v>13509538</v>
      </c>
    </row>
    <row r="66" spans="1:2" x14ac:dyDescent="0.25">
      <c r="A66" s="3" t="s">
        <v>63</v>
      </c>
      <c r="B66" s="6">
        <v>11185238</v>
      </c>
    </row>
    <row r="67" spans="1:2" x14ac:dyDescent="0.25">
      <c r="A67" s="3" t="s">
        <v>97</v>
      </c>
      <c r="B67" s="6">
        <v>10609010</v>
      </c>
    </row>
    <row r="68" spans="1:2" x14ac:dyDescent="0.25">
      <c r="A68" s="3" t="s">
        <v>61</v>
      </c>
      <c r="B68" s="6">
        <v>9752544</v>
      </c>
    </row>
    <row r="69" spans="1:2" x14ac:dyDescent="0.25">
      <c r="A69" s="3" t="s">
        <v>13</v>
      </c>
      <c r="B69" s="6">
        <v>9689035</v>
      </c>
    </row>
    <row r="70" spans="1:2" x14ac:dyDescent="0.25">
      <c r="A70" s="3" t="s">
        <v>12</v>
      </c>
      <c r="B70" s="6">
        <v>9380293</v>
      </c>
    </row>
    <row r="71" spans="1:2" x14ac:dyDescent="0.25">
      <c r="A71" s="3" t="s">
        <v>119</v>
      </c>
      <c r="B71" s="6">
        <v>7843556.3099999996</v>
      </c>
    </row>
    <row r="72" spans="1:2" x14ac:dyDescent="0.25">
      <c r="A72" s="3" t="s">
        <v>33</v>
      </c>
      <c r="B72" s="6">
        <v>6495558</v>
      </c>
    </row>
    <row r="73" spans="1:2" x14ac:dyDescent="0.25">
      <c r="A73" s="3" t="s">
        <v>121</v>
      </c>
      <c r="B73" s="6">
        <v>5469273.0800000001</v>
      </c>
    </row>
    <row r="74" spans="1:2" x14ac:dyDescent="0.25">
      <c r="A74" s="3" t="s">
        <v>83</v>
      </c>
      <c r="B74" s="6">
        <v>4608383</v>
      </c>
    </row>
    <row r="75" spans="1:2" x14ac:dyDescent="0.25">
      <c r="A75" s="3" t="s">
        <v>59</v>
      </c>
      <c r="B75" s="6">
        <v>4585738</v>
      </c>
    </row>
    <row r="76" spans="1:2" x14ac:dyDescent="0.25">
      <c r="A76" s="3" t="s">
        <v>31</v>
      </c>
      <c r="B76" s="6">
        <v>4223114</v>
      </c>
    </row>
    <row r="77" spans="1:2" x14ac:dyDescent="0.25">
      <c r="A77" s="3" t="s">
        <v>55</v>
      </c>
      <c r="B77" s="6">
        <v>3921585</v>
      </c>
    </row>
    <row r="78" spans="1:2" x14ac:dyDescent="0.25">
      <c r="A78" s="3" t="s">
        <v>60</v>
      </c>
      <c r="B78" s="6">
        <v>3791600</v>
      </c>
    </row>
    <row r="79" spans="1:2" x14ac:dyDescent="0.25">
      <c r="A79" s="3" t="s">
        <v>66</v>
      </c>
      <c r="B79" s="6">
        <v>2264300</v>
      </c>
    </row>
    <row r="80" spans="1:2" x14ac:dyDescent="0.25">
      <c r="A80" s="3" t="s">
        <v>22</v>
      </c>
      <c r="B80" s="6">
        <v>2094145</v>
      </c>
    </row>
    <row r="81" spans="1:2" x14ac:dyDescent="0.25">
      <c r="A81" s="3" t="s">
        <v>2</v>
      </c>
      <c r="B81" s="6">
        <v>2067413</v>
      </c>
    </row>
    <row r="82" spans="1:2" x14ac:dyDescent="0.25">
      <c r="A82" s="3" t="s">
        <v>57</v>
      </c>
      <c r="B82" s="6">
        <v>1315407</v>
      </c>
    </row>
    <row r="83" spans="1:2" x14ac:dyDescent="0.25">
      <c r="A83" s="3" t="s">
        <v>39</v>
      </c>
      <c r="B83" s="6">
        <v>661893</v>
      </c>
    </row>
    <row r="84" spans="1:2" x14ac:dyDescent="0.25">
      <c r="A84" s="3" t="s">
        <v>35</v>
      </c>
      <c r="B84" s="6">
        <v>571040</v>
      </c>
    </row>
    <row r="85" spans="1:2" x14ac:dyDescent="0.25">
      <c r="A85" s="3" t="s">
        <v>64</v>
      </c>
      <c r="B85" s="6">
        <v>486064</v>
      </c>
    </row>
    <row r="86" spans="1:2" x14ac:dyDescent="0.25">
      <c r="A86" s="3" t="s">
        <v>81</v>
      </c>
      <c r="B86" s="6">
        <v>474245</v>
      </c>
    </row>
    <row r="87" spans="1:2" x14ac:dyDescent="0.25">
      <c r="A87" s="3" t="s">
        <v>36</v>
      </c>
      <c r="B87" s="6">
        <v>397393</v>
      </c>
    </row>
    <row r="88" spans="1:2" x14ac:dyDescent="0.25">
      <c r="A88" s="3" t="s">
        <v>32</v>
      </c>
      <c r="B88" s="6">
        <v>381413</v>
      </c>
    </row>
    <row r="89" spans="1:2" x14ac:dyDescent="0.25">
      <c r="A89" s="3" t="s">
        <v>41</v>
      </c>
      <c r="B89" s="6">
        <v>306037</v>
      </c>
    </row>
    <row r="90" spans="1:2" x14ac:dyDescent="0.25">
      <c r="A90" s="3" t="s">
        <v>6</v>
      </c>
      <c r="B90" s="6">
        <v>301594</v>
      </c>
    </row>
    <row r="91" spans="1:2" x14ac:dyDescent="0.25">
      <c r="A91" s="3" t="s">
        <v>5</v>
      </c>
      <c r="B91" s="6">
        <v>269038</v>
      </c>
    </row>
    <row r="92" spans="1:2" x14ac:dyDescent="0.25">
      <c r="A92" s="3" t="s">
        <v>34</v>
      </c>
      <c r="B92" s="6">
        <v>256711</v>
      </c>
    </row>
    <row r="93" spans="1:2" x14ac:dyDescent="0.25">
      <c r="A93" s="3" t="s">
        <v>38</v>
      </c>
      <c r="B93" s="6">
        <v>209708</v>
      </c>
    </row>
    <row r="94" spans="1:2" x14ac:dyDescent="0.25">
      <c r="A94" s="3" t="s">
        <v>3</v>
      </c>
      <c r="B94" s="6">
        <v>205694</v>
      </c>
    </row>
    <row r="95" spans="1:2" x14ac:dyDescent="0.25">
      <c r="A95" s="3" t="s">
        <v>90</v>
      </c>
      <c r="B95" s="6">
        <v>176121</v>
      </c>
    </row>
    <row r="96" spans="1:2" x14ac:dyDescent="0.25">
      <c r="A96" s="3" t="s">
        <v>37</v>
      </c>
      <c r="B96" s="6">
        <v>172620</v>
      </c>
    </row>
    <row r="97" spans="1:2" x14ac:dyDescent="0.25">
      <c r="A97" s="3" t="s">
        <v>40</v>
      </c>
      <c r="B97" s="6">
        <v>155931</v>
      </c>
    </row>
    <row r="98" spans="1:2" x14ac:dyDescent="0.25">
      <c r="A98" s="3" t="s">
        <v>16</v>
      </c>
      <c r="B98" s="6">
        <v>81095</v>
      </c>
    </row>
    <row r="99" spans="1:2" x14ac:dyDescent="0.25">
      <c r="A99" s="3" t="s">
        <v>46</v>
      </c>
      <c r="B99" s="6">
        <v>75009</v>
      </c>
    </row>
    <row r="100" spans="1:2" x14ac:dyDescent="0.25">
      <c r="A100" s="3" t="s">
        <v>43</v>
      </c>
      <c r="B100" s="6">
        <v>65423</v>
      </c>
    </row>
    <row r="101" spans="1:2" x14ac:dyDescent="0.25">
      <c r="A101" s="3" t="s">
        <v>7</v>
      </c>
      <c r="B101" s="6">
        <v>23919</v>
      </c>
    </row>
    <row r="102" spans="1:2" x14ac:dyDescent="0.25">
      <c r="A102" s="3" t="s">
        <v>42</v>
      </c>
      <c r="B102" s="6">
        <v>16402</v>
      </c>
    </row>
    <row r="103" spans="1:2" x14ac:dyDescent="0.25">
      <c r="A103" s="3" t="s">
        <v>4</v>
      </c>
      <c r="B103" s="6">
        <v>2744</v>
      </c>
    </row>
    <row r="104" spans="1:2" x14ac:dyDescent="0.25">
      <c r="A104" s="3" t="s">
        <v>23</v>
      </c>
      <c r="B104" s="6">
        <v>1</v>
      </c>
    </row>
    <row r="105" spans="1:2" x14ac:dyDescent="0.25">
      <c r="A105" s="3" t="s">
        <v>24</v>
      </c>
      <c r="B105" s="6">
        <v>1</v>
      </c>
    </row>
    <row r="106" spans="1:2" x14ac:dyDescent="0.25">
      <c r="A106" s="3" t="s">
        <v>70</v>
      </c>
      <c r="B106" s="6"/>
    </row>
    <row r="107" spans="1:2" x14ac:dyDescent="0.25">
      <c r="A107" s="3" t="s">
        <v>75</v>
      </c>
      <c r="B107" s="6"/>
    </row>
    <row r="108" spans="1:2" x14ac:dyDescent="0.25">
      <c r="A108" s="3" t="s">
        <v>76</v>
      </c>
      <c r="B108" s="6"/>
    </row>
    <row r="109" spans="1:2" x14ac:dyDescent="0.25">
      <c r="A109" s="3" t="s">
        <v>92</v>
      </c>
      <c r="B109" s="6"/>
    </row>
    <row r="110" spans="1:2" x14ac:dyDescent="0.25">
      <c r="A110" s="3" t="s">
        <v>113</v>
      </c>
      <c r="B110" s="6"/>
    </row>
    <row r="111" spans="1:2" x14ac:dyDescent="0.25">
      <c r="A111" s="3" t="s">
        <v>51</v>
      </c>
      <c r="B111" s="6"/>
    </row>
    <row r="112" spans="1:2" x14ac:dyDescent="0.25">
      <c r="A112" s="3" t="s">
        <v>93</v>
      </c>
      <c r="B112" s="6"/>
    </row>
    <row r="113" spans="1:2" x14ac:dyDescent="0.25">
      <c r="A113" s="3" t="s">
        <v>53</v>
      </c>
      <c r="B113" s="6"/>
    </row>
    <row r="114" spans="1:2" x14ac:dyDescent="0.25">
      <c r="A114" s="3" t="s">
        <v>25</v>
      </c>
      <c r="B114" s="6"/>
    </row>
    <row r="115" spans="1:2" x14ac:dyDescent="0.25">
      <c r="A115" s="3" t="s">
        <v>84</v>
      </c>
      <c r="B115" s="6"/>
    </row>
    <row r="116" spans="1:2" x14ac:dyDescent="0.25">
      <c r="A116" s="3" t="s">
        <v>124</v>
      </c>
      <c r="B116" s="6"/>
    </row>
    <row r="117" spans="1:2" x14ac:dyDescent="0.25">
      <c r="A117" s="3" t="s">
        <v>73</v>
      </c>
      <c r="B117" s="6"/>
    </row>
    <row r="118" spans="1:2" x14ac:dyDescent="0.25">
      <c r="A118" s="3" t="s">
        <v>79</v>
      </c>
      <c r="B118" s="6"/>
    </row>
    <row r="119" spans="1:2" x14ac:dyDescent="0.25">
      <c r="A119" s="3" t="s">
        <v>52</v>
      </c>
      <c r="B119" s="6"/>
    </row>
    <row r="120" spans="1:2" x14ac:dyDescent="0.25">
      <c r="A120" s="3" t="s">
        <v>88</v>
      </c>
      <c r="B120" s="6"/>
    </row>
    <row r="121" spans="1:2" x14ac:dyDescent="0.25">
      <c r="A121" s="3" t="s">
        <v>74</v>
      </c>
      <c r="B121" s="6"/>
    </row>
    <row r="122" spans="1:2" x14ac:dyDescent="0.25">
      <c r="A122" s="3" t="s">
        <v>71</v>
      </c>
      <c r="B122" s="6"/>
    </row>
    <row r="123" spans="1:2" x14ac:dyDescent="0.25">
      <c r="A123" s="3" t="s">
        <v>77</v>
      </c>
      <c r="B123" s="6"/>
    </row>
    <row r="124" spans="1:2" x14ac:dyDescent="0.25">
      <c r="A124" s="3" t="s">
        <v>54</v>
      </c>
      <c r="B124" s="6"/>
    </row>
    <row r="125" spans="1:2" x14ac:dyDescent="0.25">
      <c r="A125" t="s">
        <v>72</v>
      </c>
    </row>
    <row r="126" spans="1:2" x14ac:dyDescent="0.25">
      <c r="A126" t="s">
        <v>78</v>
      </c>
    </row>
  </sheetData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126"/>
  <sheetViews>
    <sheetView workbookViewId="0">
      <selection activeCell="M14" sqref="M14"/>
    </sheetView>
  </sheetViews>
  <sheetFormatPr defaultRowHeight="15" x14ac:dyDescent="0.25"/>
  <cols>
    <col min="2" max="2" width="16.5703125" style="7" bestFit="1" customWidth="1"/>
  </cols>
  <sheetData>
    <row r="1" spans="1:2" x14ac:dyDescent="0.25">
      <c r="A1" s="1" t="s">
        <v>0</v>
      </c>
      <c r="B1" s="4" t="s">
        <v>1</v>
      </c>
    </row>
    <row r="2" spans="1:2" x14ac:dyDescent="0.25">
      <c r="A2" s="2"/>
      <c r="B2" s="5"/>
    </row>
    <row r="3" spans="1:2" x14ac:dyDescent="0.25">
      <c r="A3" s="3" t="s">
        <v>2</v>
      </c>
      <c r="B3" s="6">
        <v>2050746</v>
      </c>
    </row>
    <row r="4" spans="1:2" x14ac:dyDescent="0.25">
      <c r="A4" s="3" t="s">
        <v>3</v>
      </c>
      <c r="B4" s="6">
        <v>205460</v>
      </c>
    </row>
    <row r="5" spans="1:2" x14ac:dyDescent="0.25">
      <c r="A5" s="3" t="s">
        <v>4</v>
      </c>
      <c r="B5" s="6">
        <v>2746</v>
      </c>
    </row>
    <row r="6" spans="1:2" x14ac:dyDescent="0.25">
      <c r="A6" s="3" t="s">
        <v>5</v>
      </c>
      <c r="B6" s="6">
        <v>269114</v>
      </c>
    </row>
    <row r="7" spans="1:2" x14ac:dyDescent="0.25">
      <c r="A7" s="3" t="s">
        <v>6</v>
      </c>
      <c r="B7" s="6">
        <v>299020</v>
      </c>
    </row>
    <row r="8" spans="1:2" x14ac:dyDescent="0.25">
      <c r="A8" s="3" t="s">
        <v>7</v>
      </c>
      <c r="B8" s="6">
        <v>23869</v>
      </c>
    </row>
    <row r="9" spans="1:2" x14ac:dyDescent="0.25">
      <c r="A9" s="3" t="s">
        <v>8</v>
      </c>
      <c r="B9" s="6">
        <v>66506218</v>
      </c>
    </row>
    <row r="10" spans="1:2" x14ac:dyDescent="0.25">
      <c r="A10" s="3" t="s">
        <v>9</v>
      </c>
      <c r="B10" s="6">
        <v>206800297</v>
      </c>
    </row>
    <row r="11" spans="1:2" x14ac:dyDescent="0.25">
      <c r="A11" s="3" t="s">
        <v>10</v>
      </c>
      <c r="B11" s="6">
        <v>205218717</v>
      </c>
    </row>
    <row r="12" spans="1:2" x14ac:dyDescent="0.25">
      <c r="A12" s="3" t="s">
        <v>11</v>
      </c>
      <c r="B12" s="6">
        <v>18044126</v>
      </c>
    </row>
    <row r="13" spans="1:2" x14ac:dyDescent="0.25">
      <c r="A13" s="3" t="s">
        <v>12</v>
      </c>
      <c r="B13" s="6">
        <v>9496808</v>
      </c>
    </row>
    <row r="14" spans="1:2" x14ac:dyDescent="0.25">
      <c r="A14" s="3" t="s">
        <v>13</v>
      </c>
      <c r="B14" s="6">
        <v>9678809</v>
      </c>
    </row>
    <row r="15" spans="1:2" x14ac:dyDescent="0.25">
      <c r="A15" s="3" t="s">
        <v>14</v>
      </c>
      <c r="B15" s="6">
        <v>14041555</v>
      </c>
    </row>
    <row r="16" spans="1:2" x14ac:dyDescent="0.25">
      <c r="A16" s="3" t="s">
        <v>15</v>
      </c>
      <c r="B16" s="6">
        <v>13622434</v>
      </c>
    </row>
    <row r="17" spans="1:2" x14ac:dyDescent="0.25">
      <c r="A17" s="3" t="s">
        <v>16</v>
      </c>
      <c r="B17" s="6">
        <v>81214</v>
      </c>
    </row>
    <row r="18" spans="1:2" x14ac:dyDescent="0.25">
      <c r="A18" s="3" t="s">
        <v>17</v>
      </c>
      <c r="B18" s="6">
        <v>144513182</v>
      </c>
    </row>
    <row r="19" spans="1:2" x14ac:dyDescent="0.25">
      <c r="A19" s="3" t="s">
        <v>18</v>
      </c>
      <c r="B19" s="6">
        <v>611232138</v>
      </c>
    </row>
    <row r="20" spans="1:2" x14ac:dyDescent="0.25">
      <c r="A20" s="3" t="s">
        <v>19</v>
      </c>
      <c r="B20" s="6">
        <v>127172319</v>
      </c>
    </row>
    <row r="21" spans="1:2" x14ac:dyDescent="0.25">
      <c r="A21" s="3" t="s">
        <v>20</v>
      </c>
      <c r="B21" s="6">
        <v>1827853274</v>
      </c>
    </row>
    <row r="22" spans="1:2" x14ac:dyDescent="0.25">
      <c r="A22" s="3" t="s">
        <v>21</v>
      </c>
      <c r="B22" s="6">
        <v>784432742</v>
      </c>
    </row>
    <row r="23" spans="1:2" x14ac:dyDescent="0.25">
      <c r="A23" s="3" t="s">
        <v>22</v>
      </c>
      <c r="B23" s="6">
        <v>2106958</v>
      </c>
    </row>
    <row r="24" spans="1:2" x14ac:dyDescent="0.25">
      <c r="A24" s="3" t="s">
        <v>23</v>
      </c>
      <c r="B24" s="6">
        <v>1</v>
      </c>
    </row>
    <row r="25" spans="1:2" x14ac:dyDescent="0.25">
      <c r="A25" s="3" t="s">
        <v>24</v>
      </c>
      <c r="B25" s="6">
        <v>1</v>
      </c>
    </row>
    <row r="26" spans="1:2" x14ac:dyDescent="0.25">
      <c r="A26" s="3" t="s">
        <v>25</v>
      </c>
      <c r="B26" s="6"/>
    </row>
    <row r="27" spans="1:2" x14ac:dyDescent="0.25">
      <c r="A27" s="3" t="s">
        <v>26</v>
      </c>
      <c r="B27" s="6">
        <v>1078974290</v>
      </c>
    </row>
    <row r="28" spans="1:2" x14ac:dyDescent="0.25">
      <c r="A28" s="3" t="s">
        <v>27</v>
      </c>
      <c r="B28" s="6">
        <v>1587789406</v>
      </c>
    </row>
    <row r="29" spans="1:2" x14ac:dyDescent="0.25">
      <c r="A29" s="3" t="s">
        <v>28</v>
      </c>
      <c r="B29" s="6">
        <v>1666288970</v>
      </c>
    </row>
    <row r="30" spans="1:2" x14ac:dyDescent="0.25">
      <c r="A30" s="3" t="s">
        <v>29</v>
      </c>
      <c r="B30" s="6">
        <v>600627833</v>
      </c>
    </row>
    <row r="31" spans="1:2" x14ac:dyDescent="0.25">
      <c r="A31" s="3" t="s">
        <v>30</v>
      </c>
      <c r="B31" s="6">
        <v>1556283877</v>
      </c>
    </row>
    <row r="32" spans="1:2" x14ac:dyDescent="0.25">
      <c r="A32" s="3" t="s">
        <v>31</v>
      </c>
      <c r="B32" s="6">
        <v>4256627</v>
      </c>
    </row>
    <row r="33" spans="1:2" x14ac:dyDescent="0.25">
      <c r="A33" s="3" t="s">
        <v>32</v>
      </c>
      <c r="B33" s="6">
        <v>397651</v>
      </c>
    </row>
    <row r="34" spans="1:2" x14ac:dyDescent="0.25">
      <c r="A34" s="3" t="s">
        <v>33</v>
      </c>
      <c r="B34" s="6">
        <v>6535169</v>
      </c>
    </row>
    <row r="35" spans="1:2" x14ac:dyDescent="0.25">
      <c r="A35" s="3" t="s">
        <v>34</v>
      </c>
      <c r="B35" s="6">
        <v>256686</v>
      </c>
    </row>
    <row r="36" spans="1:2" x14ac:dyDescent="0.25">
      <c r="A36" s="3" t="s">
        <v>35</v>
      </c>
      <c r="B36" s="6">
        <v>570954</v>
      </c>
    </row>
    <row r="37" spans="1:2" x14ac:dyDescent="0.25">
      <c r="A37" s="3" t="s">
        <v>36</v>
      </c>
      <c r="B37" s="6">
        <v>397307</v>
      </c>
    </row>
    <row r="38" spans="1:2" x14ac:dyDescent="0.25">
      <c r="A38" s="3" t="s">
        <v>37</v>
      </c>
      <c r="B38" s="6">
        <v>172597</v>
      </c>
    </row>
    <row r="39" spans="1:2" x14ac:dyDescent="0.25">
      <c r="A39" s="3" t="s">
        <v>38</v>
      </c>
      <c r="B39" s="6">
        <v>220313</v>
      </c>
    </row>
    <row r="40" spans="1:2" x14ac:dyDescent="0.25">
      <c r="A40" s="3" t="s">
        <v>39</v>
      </c>
      <c r="B40" s="6">
        <v>667044</v>
      </c>
    </row>
    <row r="41" spans="1:2" x14ac:dyDescent="0.25">
      <c r="A41" s="3" t="s">
        <v>40</v>
      </c>
      <c r="B41" s="6">
        <v>155916</v>
      </c>
    </row>
    <row r="42" spans="1:2" x14ac:dyDescent="0.25">
      <c r="A42" s="3" t="s">
        <v>41</v>
      </c>
      <c r="B42" s="6">
        <v>305989</v>
      </c>
    </row>
    <row r="43" spans="1:2" x14ac:dyDescent="0.25">
      <c r="A43" s="3" t="s">
        <v>42</v>
      </c>
      <c r="B43" s="6">
        <v>16399</v>
      </c>
    </row>
    <row r="44" spans="1:2" x14ac:dyDescent="0.25">
      <c r="A44" s="3" t="s">
        <v>43</v>
      </c>
      <c r="B44" s="6">
        <v>65403</v>
      </c>
    </row>
    <row r="45" spans="1:2" x14ac:dyDescent="0.25">
      <c r="A45" s="3" t="s">
        <v>44</v>
      </c>
      <c r="B45" s="6">
        <v>59412343</v>
      </c>
    </row>
    <row r="46" spans="1:2" x14ac:dyDescent="0.25">
      <c r="A46" s="3" t="s">
        <v>45</v>
      </c>
      <c r="B46" s="6">
        <v>97930980</v>
      </c>
    </row>
    <row r="47" spans="1:2" x14ac:dyDescent="0.25">
      <c r="A47" s="3" t="s">
        <v>46</v>
      </c>
      <c r="B47" s="6">
        <v>75036</v>
      </c>
    </row>
    <row r="48" spans="1:2" x14ac:dyDescent="0.25">
      <c r="A48" s="3" t="s">
        <v>124</v>
      </c>
      <c r="B48" s="6"/>
    </row>
    <row r="49" spans="1:2" x14ac:dyDescent="0.25">
      <c r="A49" s="3" t="s">
        <v>47</v>
      </c>
      <c r="B49" s="6">
        <v>40244231</v>
      </c>
    </row>
    <row r="50" spans="1:2" x14ac:dyDescent="0.25">
      <c r="A50" s="3" t="s">
        <v>48</v>
      </c>
      <c r="B50" s="6">
        <v>370151085</v>
      </c>
    </row>
    <row r="51" spans="1:2" x14ac:dyDescent="0.25">
      <c r="A51" s="3" t="s">
        <v>49</v>
      </c>
      <c r="B51" s="6">
        <v>77772390</v>
      </c>
    </row>
    <row r="52" spans="1:2" x14ac:dyDescent="0.25">
      <c r="A52" s="3" t="s">
        <v>50</v>
      </c>
      <c r="B52" s="6">
        <v>45769125</v>
      </c>
    </row>
    <row r="53" spans="1:2" x14ac:dyDescent="0.25">
      <c r="A53" s="3" t="s">
        <v>51</v>
      </c>
      <c r="B53" s="6"/>
    </row>
    <row r="54" spans="1:2" x14ac:dyDescent="0.25">
      <c r="A54" s="3" t="s">
        <v>52</v>
      </c>
      <c r="B54" s="6"/>
    </row>
    <row r="55" spans="1:2" x14ac:dyDescent="0.25">
      <c r="A55" s="3" t="s">
        <v>53</v>
      </c>
      <c r="B55" s="6"/>
    </row>
    <row r="56" spans="1:2" x14ac:dyDescent="0.25">
      <c r="A56" s="3" t="s">
        <v>54</v>
      </c>
      <c r="B56" s="6"/>
    </row>
    <row r="57" spans="1:2" x14ac:dyDescent="0.25">
      <c r="A57" s="3" t="s">
        <v>55</v>
      </c>
      <c r="B57" s="6">
        <v>3971045</v>
      </c>
    </row>
    <row r="58" spans="1:2" x14ac:dyDescent="0.25">
      <c r="A58" s="3" t="s">
        <v>56</v>
      </c>
      <c r="B58" s="6">
        <v>24018982</v>
      </c>
    </row>
    <row r="59" spans="1:2" x14ac:dyDescent="0.25">
      <c r="A59" s="3" t="s">
        <v>57</v>
      </c>
      <c r="B59" s="6">
        <v>1312964</v>
      </c>
    </row>
    <row r="60" spans="1:2" x14ac:dyDescent="0.25">
      <c r="A60" s="3" t="s">
        <v>58</v>
      </c>
      <c r="B60" s="6">
        <v>17211288</v>
      </c>
    </row>
    <row r="61" spans="1:2" x14ac:dyDescent="0.25">
      <c r="A61" s="3" t="s">
        <v>59</v>
      </c>
      <c r="B61" s="6">
        <v>4735348</v>
      </c>
    </row>
    <row r="62" spans="1:2" x14ac:dyDescent="0.25">
      <c r="A62" s="3" t="s">
        <v>60</v>
      </c>
      <c r="B62" s="6">
        <v>3796110</v>
      </c>
    </row>
    <row r="63" spans="1:2" x14ac:dyDescent="0.25">
      <c r="A63" s="3" t="s">
        <v>61</v>
      </c>
      <c r="B63" s="6">
        <v>9798870</v>
      </c>
    </row>
    <row r="64" spans="1:2" x14ac:dyDescent="0.25">
      <c r="A64" s="3" t="s">
        <v>62</v>
      </c>
      <c r="B64" s="6">
        <v>16352469</v>
      </c>
    </row>
    <row r="65" spans="1:2" x14ac:dyDescent="0.25">
      <c r="A65" s="3" t="s">
        <v>63</v>
      </c>
      <c r="B65" s="6">
        <v>11201783</v>
      </c>
    </row>
    <row r="66" spans="1:2" x14ac:dyDescent="0.25">
      <c r="A66" s="3" t="s">
        <v>64</v>
      </c>
      <c r="B66" s="6">
        <v>484511</v>
      </c>
    </row>
    <row r="67" spans="1:2" x14ac:dyDescent="0.25">
      <c r="A67" s="3" t="s">
        <v>65</v>
      </c>
      <c r="B67" s="6">
        <v>17204167</v>
      </c>
    </row>
    <row r="68" spans="1:2" x14ac:dyDescent="0.25">
      <c r="A68" s="3" t="s">
        <v>66</v>
      </c>
      <c r="B68" s="6">
        <v>2264585</v>
      </c>
    </row>
    <row r="69" spans="1:2" x14ac:dyDescent="0.25">
      <c r="A69" s="3" t="s">
        <v>67</v>
      </c>
      <c r="B69" s="6">
        <v>111084968</v>
      </c>
    </row>
    <row r="70" spans="1:2" x14ac:dyDescent="0.25">
      <c r="A70" s="3" t="s">
        <v>68</v>
      </c>
      <c r="B70" s="6">
        <v>82189164</v>
      </c>
    </row>
    <row r="71" spans="1:2" x14ac:dyDescent="0.25">
      <c r="A71" s="3" t="s">
        <v>69</v>
      </c>
      <c r="B71" s="6">
        <v>150730021</v>
      </c>
    </row>
    <row r="72" spans="1:2" x14ac:dyDescent="0.25">
      <c r="A72" s="3" t="s">
        <v>70</v>
      </c>
      <c r="B72" s="6"/>
    </row>
    <row r="73" spans="1:2" x14ac:dyDescent="0.25">
      <c r="A73" s="3" t="s">
        <v>71</v>
      </c>
      <c r="B73" s="6"/>
    </row>
    <row r="74" spans="1:2" x14ac:dyDescent="0.25">
      <c r="A74" s="3" t="s">
        <v>72</v>
      </c>
      <c r="B74" s="6"/>
    </row>
    <row r="75" spans="1:2" x14ac:dyDescent="0.25">
      <c r="A75" s="3" t="s">
        <v>73</v>
      </c>
      <c r="B75" s="6"/>
    </row>
    <row r="76" spans="1:2" x14ac:dyDescent="0.25">
      <c r="A76" s="3" t="s">
        <v>74</v>
      </c>
      <c r="B76" s="6"/>
    </row>
    <row r="77" spans="1:2" x14ac:dyDescent="0.25">
      <c r="A77" s="3" t="s">
        <v>75</v>
      </c>
      <c r="B77" s="6"/>
    </row>
    <row r="78" spans="1:2" x14ac:dyDescent="0.25">
      <c r="A78" s="3" t="s">
        <v>76</v>
      </c>
      <c r="B78" s="6"/>
    </row>
    <row r="79" spans="1:2" x14ac:dyDescent="0.25">
      <c r="A79" s="3" t="s">
        <v>77</v>
      </c>
      <c r="B79" s="6"/>
    </row>
    <row r="80" spans="1:2" x14ac:dyDescent="0.25">
      <c r="A80" s="3" t="s">
        <v>78</v>
      </c>
      <c r="B80" s="6"/>
    </row>
    <row r="81" spans="1:2" x14ac:dyDescent="0.25">
      <c r="A81" s="3" t="s">
        <v>79</v>
      </c>
      <c r="B81" s="6"/>
    </row>
    <row r="82" spans="1:2" x14ac:dyDescent="0.25">
      <c r="A82" s="3" t="s">
        <v>80</v>
      </c>
      <c r="B82" s="6">
        <v>202135616</v>
      </c>
    </row>
    <row r="83" spans="1:2" x14ac:dyDescent="0.25">
      <c r="A83" s="3" t="s">
        <v>81</v>
      </c>
      <c r="B83" s="6">
        <v>473856</v>
      </c>
    </row>
    <row r="84" spans="1:2" x14ac:dyDescent="0.25">
      <c r="A84" s="3" t="s">
        <v>82</v>
      </c>
      <c r="B84" s="6">
        <v>30030765</v>
      </c>
    </row>
    <row r="85" spans="1:2" x14ac:dyDescent="0.25">
      <c r="A85" s="3" t="s">
        <v>83</v>
      </c>
      <c r="B85" s="6">
        <v>4583654</v>
      </c>
    </row>
    <row r="86" spans="1:2" x14ac:dyDescent="0.25">
      <c r="A86" s="3" t="s">
        <v>84</v>
      </c>
      <c r="B86" s="6"/>
    </row>
    <row r="87" spans="1:2" x14ac:dyDescent="0.25">
      <c r="A87" s="3" t="s">
        <v>85</v>
      </c>
      <c r="B87" s="6">
        <v>27603853</v>
      </c>
    </row>
    <row r="88" spans="1:2" x14ac:dyDescent="0.25">
      <c r="A88" s="3" t="s">
        <v>86</v>
      </c>
      <c r="B88" s="6">
        <v>36962740</v>
      </c>
    </row>
    <row r="89" spans="1:2" x14ac:dyDescent="0.25">
      <c r="A89" s="3" t="s">
        <v>87</v>
      </c>
      <c r="B89" s="6">
        <v>50765179</v>
      </c>
    </row>
    <row r="90" spans="1:2" x14ac:dyDescent="0.25">
      <c r="A90" s="3" t="s">
        <v>88</v>
      </c>
      <c r="B90" s="6"/>
    </row>
    <row r="91" spans="1:2" x14ac:dyDescent="0.25">
      <c r="A91" s="3" t="s">
        <v>89</v>
      </c>
      <c r="B91" s="6">
        <v>38455256</v>
      </c>
    </row>
    <row r="92" spans="1:2" x14ac:dyDescent="0.25">
      <c r="A92" s="3" t="s">
        <v>90</v>
      </c>
      <c r="B92" s="6">
        <v>175722</v>
      </c>
    </row>
    <row r="93" spans="1:2" x14ac:dyDescent="0.25">
      <c r="A93" s="3" t="s">
        <v>91</v>
      </c>
      <c r="B93" s="6">
        <v>36358288</v>
      </c>
    </row>
    <row r="94" spans="1:2" x14ac:dyDescent="0.25">
      <c r="A94" s="3" t="s">
        <v>92</v>
      </c>
      <c r="B94" s="6"/>
    </row>
    <row r="95" spans="1:2" x14ac:dyDescent="0.25">
      <c r="A95" s="3" t="s">
        <v>93</v>
      </c>
      <c r="B95" s="6"/>
    </row>
    <row r="96" spans="1:2" x14ac:dyDescent="0.25">
      <c r="A96" s="3" t="s">
        <v>94</v>
      </c>
      <c r="B96" s="6">
        <v>39801960</v>
      </c>
    </row>
    <row r="97" spans="1:2" x14ac:dyDescent="0.25">
      <c r="A97" s="3" t="s">
        <v>95</v>
      </c>
      <c r="B97" s="6">
        <v>120883139</v>
      </c>
    </row>
    <row r="98" spans="1:2" x14ac:dyDescent="0.25">
      <c r="A98" s="3" t="s">
        <v>96</v>
      </c>
      <c r="B98" s="6">
        <v>950873859</v>
      </c>
    </row>
    <row r="99" spans="1:2" x14ac:dyDescent="0.25">
      <c r="A99" s="3" t="s">
        <v>97</v>
      </c>
      <c r="B99" s="6">
        <v>10004184</v>
      </c>
    </row>
    <row r="100" spans="1:2" x14ac:dyDescent="0.25">
      <c r="A100" s="3" t="s">
        <v>98</v>
      </c>
      <c r="B100" s="6">
        <v>2522453198</v>
      </c>
    </row>
    <row r="101" spans="1:2" x14ac:dyDescent="0.25">
      <c r="A101" s="3" t="s">
        <v>99</v>
      </c>
      <c r="B101" s="6">
        <v>109229885.8</v>
      </c>
    </row>
    <row r="102" spans="1:2" x14ac:dyDescent="0.25">
      <c r="A102" s="3" t="s">
        <v>100</v>
      </c>
      <c r="B102" s="6">
        <v>246324324.80000001</v>
      </c>
    </row>
    <row r="103" spans="1:2" x14ac:dyDescent="0.25">
      <c r="A103" s="3" t="s">
        <v>101</v>
      </c>
      <c r="B103" s="6">
        <v>613841629.70000005</v>
      </c>
    </row>
    <row r="104" spans="1:2" x14ac:dyDescent="0.25">
      <c r="A104" s="3" t="s">
        <v>102</v>
      </c>
      <c r="B104" s="6">
        <v>311693677</v>
      </c>
    </row>
    <row r="105" spans="1:2" x14ac:dyDescent="0.25">
      <c r="A105" s="3" t="s">
        <v>103</v>
      </c>
      <c r="B105" s="6">
        <v>27995298.390000001</v>
      </c>
    </row>
    <row r="106" spans="1:2" x14ac:dyDescent="0.25">
      <c r="A106" s="3" t="s">
        <v>104</v>
      </c>
      <c r="B106" s="6">
        <v>90768183.069999993</v>
      </c>
    </row>
    <row r="107" spans="1:2" x14ac:dyDescent="0.25">
      <c r="A107" s="3" t="s">
        <v>105</v>
      </c>
      <c r="B107" s="6">
        <v>266408241.90000001</v>
      </c>
    </row>
    <row r="108" spans="1:2" x14ac:dyDescent="0.25">
      <c r="A108" s="3" t="s">
        <v>106</v>
      </c>
      <c r="B108" s="6">
        <v>186780143</v>
      </c>
    </row>
    <row r="109" spans="1:2" x14ac:dyDescent="0.25">
      <c r="A109" s="3" t="s">
        <v>107</v>
      </c>
      <c r="B109" s="6">
        <v>210510699</v>
      </c>
    </row>
    <row r="110" spans="1:2" x14ac:dyDescent="0.25">
      <c r="A110" s="3" t="s">
        <v>108</v>
      </c>
      <c r="B110" s="6">
        <v>70612918.310000002</v>
      </c>
    </row>
    <row r="111" spans="1:2" x14ac:dyDescent="0.25">
      <c r="A111" s="3" t="s">
        <v>109</v>
      </c>
      <c r="B111" s="6">
        <v>303824886.60000002</v>
      </c>
    </row>
    <row r="112" spans="1:2" x14ac:dyDescent="0.25">
      <c r="A112" s="3" t="s">
        <v>110</v>
      </c>
      <c r="B112" s="6">
        <v>487606461.10000002</v>
      </c>
    </row>
    <row r="113" spans="1:2" x14ac:dyDescent="0.25">
      <c r="A113" s="3" t="s">
        <v>111</v>
      </c>
      <c r="B113" s="6">
        <v>288388536.39999998</v>
      </c>
    </row>
    <row r="114" spans="1:2" x14ac:dyDescent="0.25">
      <c r="A114" s="3" t="s">
        <v>112</v>
      </c>
      <c r="B114" s="6">
        <v>335299584.10000002</v>
      </c>
    </row>
    <row r="115" spans="1:2" x14ac:dyDescent="0.25">
      <c r="A115" s="3" t="s">
        <v>113</v>
      </c>
      <c r="B115" s="6"/>
    </row>
    <row r="116" spans="1:2" x14ac:dyDescent="0.25">
      <c r="A116" s="3" t="s">
        <v>114</v>
      </c>
      <c r="B116" s="6">
        <v>48465839.869999997</v>
      </c>
    </row>
    <row r="117" spans="1:2" x14ac:dyDescent="0.25">
      <c r="A117" s="3" t="s">
        <v>115</v>
      </c>
      <c r="B117" s="6">
        <v>48820120.640000001</v>
      </c>
    </row>
    <row r="118" spans="1:2" x14ac:dyDescent="0.25">
      <c r="A118" s="3" t="s">
        <v>116</v>
      </c>
      <c r="B118" s="6">
        <v>686554077.39999998</v>
      </c>
    </row>
    <row r="119" spans="1:2" x14ac:dyDescent="0.25">
      <c r="A119" s="3" t="s">
        <v>117</v>
      </c>
      <c r="B119" s="6">
        <v>37092788.240000002</v>
      </c>
    </row>
    <row r="120" spans="1:2" x14ac:dyDescent="0.25">
      <c r="A120" s="3" t="s">
        <v>118</v>
      </c>
      <c r="B120" s="6">
        <v>64152689.049999997</v>
      </c>
    </row>
    <row r="121" spans="1:2" x14ac:dyDescent="0.25">
      <c r="A121" s="3" t="s">
        <v>119</v>
      </c>
      <c r="B121" s="6">
        <v>7843556.3099999996</v>
      </c>
    </row>
    <row r="122" spans="1:2" x14ac:dyDescent="0.25">
      <c r="A122" s="3" t="s">
        <v>120</v>
      </c>
      <c r="B122" s="6">
        <v>105977688.8</v>
      </c>
    </row>
    <row r="123" spans="1:2" x14ac:dyDescent="0.25">
      <c r="A123" s="3" t="s">
        <v>121</v>
      </c>
      <c r="B123" s="6">
        <v>5635250.9699999997</v>
      </c>
    </row>
    <row r="124" spans="1:2" x14ac:dyDescent="0.25">
      <c r="A124" s="3" t="s">
        <v>122</v>
      </c>
      <c r="B124" s="6">
        <v>227861303.90000001</v>
      </c>
    </row>
    <row r="125" spans="1:2" x14ac:dyDescent="0.25">
      <c r="A125" t="s">
        <v>123</v>
      </c>
      <c r="B125" s="7">
        <v>150451243.80000001</v>
      </c>
    </row>
    <row r="126" spans="1:2" x14ac:dyDescent="0.25">
      <c r="A126" t="s">
        <v>125</v>
      </c>
      <c r="B126" s="7">
        <v>5983474403</v>
      </c>
    </row>
  </sheetData>
  <pageMargins left="0.7" right="0.7" top="0.75" bottom="0.75" header="0.3" footer="0.3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124"/>
  <sheetViews>
    <sheetView topLeftCell="A91" workbookViewId="0">
      <selection activeCell="B114" sqref="B114"/>
    </sheetView>
  </sheetViews>
  <sheetFormatPr defaultRowHeight="15" x14ac:dyDescent="0.25"/>
  <cols>
    <col min="1" max="1" width="12.85546875" bestFit="1" customWidth="1"/>
    <col min="2" max="2" width="16.5703125" style="7" bestFit="1" customWidth="1"/>
  </cols>
  <sheetData>
    <row r="1" spans="1:2" x14ac:dyDescent="0.25">
      <c r="A1" s="1" t="s">
        <v>0</v>
      </c>
      <c r="B1" s="4" t="s">
        <v>1</v>
      </c>
    </row>
    <row r="2" spans="1:2" x14ac:dyDescent="0.25">
      <c r="A2" s="2"/>
      <c r="B2" s="5"/>
    </row>
    <row r="3" spans="1:2" x14ac:dyDescent="0.25">
      <c r="A3" s="3" t="s">
        <v>2</v>
      </c>
      <c r="B3" s="6">
        <v>2040821</v>
      </c>
    </row>
    <row r="4" spans="1:2" x14ac:dyDescent="0.25">
      <c r="A4" s="3" t="s">
        <v>3</v>
      </c>
      <c r="B4" s="6">
        <v>205352</v>
      </c>
    </row>
    <row r="5" spans="1:2" x14ac:dyDescent="0.25">
      <c r="A5" s="3" t="s">
        <v>4</v>
      </c>
      <c r="B5" s="6">
        <v>2759</v>
      </c>
    </row>
    <row r="6" spans="1:2" x14ac:dyDescent="0.25">
      <c r="A6" s="3" t="s">
        <v>5</v>
      </c>
      <c r="B6" s="6">
        <v>270197</v>
      </c>
    </row>
    <row r="7" spans="1:2" x14ac:dyDescent="0.25">
      <c r="A7" s="3" t="s">
        <v>6</v>
      </c>
      <c r="B7" s="6">
        <v>295899</v>
      </c>
    </row>
    <row r="8" spans="1:2" x14ac:dyDescent="0.25">
      <c r="A8" s="3" t="s">
        <v>7</v>
      </c>
      <c r="B8" s="6">
        <v>23797</v>
      </c>
    </row>
    <row r="9" spans="1:2" x14ac:dyDescent="0.25">
      <c r="A9" s="3" t="s">
        <v>8</v>
      </c>
      <c r="B9" s="6">
        <v>67385863</v>
      </c>
    </row>
    <row r="10" spans="1:2" x14ac:dyDescent="0.25">
      <c r="A10" s="3" t="s">
        <v>9</v>
      </c>
      <c r="B10" s="6">
        <v>210227721</v>
      </c>
    </row>
    <row r="11" spans="1:2" x14ac:dyDescent="0.25">
      <c r="A11" s="3" t="s">
        <v>10</v>
      </c>
      <c r="B11" s="6">
        <v>206866328</v>
      </c>
    </row>
    <row r="12" spans="1:2" x14ac:dyDescent="0.25">
      <c r="A12" s="3" t="s">
        <v>11</v>
      </c>
      <c r="B12" s="6">
        <v>18137128</v>
      </c>
    </row>
    <row r="13" spans="1:2" x14ac:dyDescent="0.25">
      <c r="A13" s="3" t="s">
        <v>12</v>
      </c>
      <c r="B13" s="6">
        <v>9571064</v>
      </c>
    </row>
    <row r="14" spans="1:2" x14ac:dyDescent="0.25">
      <c r="A14" s="3" t="s">
        <v>13</v>
      </c>
      <c r="B14" s="6">
        <v>9946077</v>
      </c>
    </row>
    <row r="15" spans="1:2" x14ac:dyDescent="0.25">
      <c r="A15" s="3" t="s">
        <v>14</v>
      </c>
      <c r="B15" s="6">
        <v>14119475</v>
      </c>
    </row>
    <row r="16" spans="1:2" x14ac:dyDescent="0.25">
      <c r="A16" s="3" t="s">
        <v>15</v>
      </c>
      <c r="B16" s="6">
        <v>13779171</v>
      </c>
    </row>
    <row r="17" spans="1:2" x14ac:dyDescent="0.25">
      <c r="A17" s="3" t="s">
        <v>16</v>
      </c>
      <c r="B17" s="6">
        <v>81655</v>
      </c>
    </row>
    <row r="18" spans="1:2" x14ac:dyDescent="0.25">
      <c r="A18" s="3" t="s">
        <v>17</v>
      </c>
      <c r="B18" s="6">
        <v>147124450</v>
      </c>
    </row>
    <row r="19" spans="1:2" x14ac:dyDescent="0.25">
      <c r="A19" s="3" t="s">
        <v>18</v>
      </c>
      <c r="B19" s="6">
        <v>614259904</v>
      </c>
    </row>
    <row r="20" spans="1:2" x14ac:dyDescent="0.25">
      <c r="A20" s="3" t="s">
        <v>19</v>
      </c>
      <c r="B20" s="6">
        <v>130694077</v>
      </c>
    </row>
    <row r="21" spans="1:2" x14ac:dyDescent="0.25">
      <c r="A21" s="3" t="s">
        <v>20</v>
      </c>
      <c r="B21" s="6">
        <v>1833347455</v>
      </c>
    </row>
    <row r="22" spans="1:2" x14ac:dyDescent="0.25">
      <c r="A22" s="3" t="s">
        <v>21</v>
      </c>
      <c r="B22" s="6">
        <v>783860149</v>
      </c>
    </row>
    <row r="23" spans="1:2" x14ac:dyDescent="0.25">
      <c r="A23" s="3" t="s">
        <v>22</v>
      </c>
      <c r="B23" s="6">
        <v>2107460</v>
      </c>
    </row>
    <row r="24" spans="1:2" x14ac:dyDescent="0.25">
      <c r="A24" s="3" t="s">
        <v>23</v>
      </c>
      <c r="B24" s="6">
        <v>1</v>
      </c>
    </row>
    <row r="25" spans="1:2" x14ac:dyDescent="0.25">
      <c r="A25" s="3" t="s">
        <v>24</v>
      </c>
      <c r="B25" s="6">
        <v>1</v>
      </c>
    </row>
    <row r="26" spans="1:2" x14ac:dyDescent="0.25">
      <c r="A26" s="3" t="s">
        <v>25</v>
      </c>
      <c r="B26" s="6"/>
    </row>
    <row r="27" spans="1:2" x14ac:dyDescent="0.25">
      <c r="A27" s="3" t="s">
        <v>26</v>
      </c>
      <c r="B27" s="6">
        <v>1099098042</v>
      </c>
    </row>
    <row r="28" spans="1:2" x14ac:dyDescent="0.25">
      <c r="A28" s="3" t="s">
        <v>27</v>
      </c>
      <c r="B28" s="6">
        <v>1612982442</v>
      </c>
    </row>
    <row r="29" spans="1:2" x14ac:dyDescent="0.25">
      <c r="A29" s="3" t="s">
        <v>28</v>
      </c>
      <c r="B29" s="6">
        <v>1682631052</v>
      </c>
    </row>
    <row r="30" spans="1:2" x14ac:dyDescent="0.25">
      <c r="A30" s="3" t="s">
        <v>29</v>
      </c>
      <c r="B30" s="6">
        <v>594173387</v>
      </c>
    </row>
    <row r="31" spans="1:2" x14ac:dyDescent="0.25">
      <c r="A31" s="3" t="s">
        <v>30</v>
      </c>
      <c r="B31" s="6">
        <v>1548827443</v>
      </c>
    </row>
    <row r="32" spans="1:2" x14ac:dyDescent="0.25">
      <c r="A32" s="3" t="s">
        <v>31</v>
      </c>
      <c r="B32" s="6">
        <v>4272758</v>
      </c>
    </row>
    <row r="33" spans="1:2" x14ac:dyDescent="0.25">
      <c r="A33" s="3" t="s">
        <v>32</v>
      </c>
      <c r="B33" s="6">
        <v>398092</v>
      </c>
    </row>
    <row r="34" spans="1:2" x14ac:dyDescent="0.25">
      <c r="A34" s="3" t="s">
        <v>33</v>
      </c>
      <c r="B34" s="6">
        <v>6576623</v>
      </c>
    </row>
    <row r="35" spans="1:2" x14ac:dyDescent="0.25">
      <c r="A35" s="3" t="s">
        <v>34</v>
      </c>
      <c r="B35" s="6">
        <v>264967</v>
      </c>
    </row>
    <row r="36" spans="1:2" x14ac:dyDescent="0.25">
      <c r="A36" s="3" t="s">
        <v>35</v>
      </c>
      <c r="B36" s="6">
        <v>571599</v>
      </c>
    </row>
    <row r="37" spans="1:2" x14ac:dyDescent="0.25">
      <c r="A37" s="3" t="s">
        <v>36</v>
      </c>
      <c r="B37" s="6">
        <v>421526</v>
      </c>
    </row>
    <row r="38" spans="1:2" x14ac:dyDescent="0.25">
      <c r="A38" s="3" t="s">
        <v>37</v>
      </c>
      <c r="B38" s="6">
        <v>172851</v>
      </c>
    </row>
    <row r="39" spans="1:2" x14ac:dyDescent="0.25">
      <c r="A39" s="3" t="s">
        <v>38</v>
      </c>
      <c r="B39" s="6">
        <v>220588</v>
      </c>
    </row>
    <row r="40" spans="1:2" x14ac:dyDescent="0.25">
      <c r="A40" s="3" t="s">
        <v>39</v>
      </c>
      <c r="B40" s="6">
        <v>667894</v>
      </c>
    </row>
    <row r="41" spans="1:2" x14ac:dyDescent="0.25">
      <c r="A41" s="3" t="s">
        <v>40</v>
      </c>
      <c r="B41" s="6">
        <v>156115</v>
      </c>
    </row>
    <row r="42" spans="1:2" x14ac:dyDescent="0.25">
      <c r="A42" s="3" t="s">
        <v>41</v>
      </c>
      <c r="B42" s="6">
        <v>306397</v>
      </c>
    </row>
    <row r="43" spans="1:2" x14ac:dyDescent="0.25">
      <c r="A43" s="3" t="s">
        <v>42</v>
      </c>
      <c r="B43" s="6">
        <v>16425</v>
      </c>
    </row>
    <row r="44" spans="1:2" x14ac:dyDescent="0.25">
      <c r="A44" s="3" t="s">
        <v>43</v>
      </c>
      <c r="B44" s="6">
        <v>65508</v>
      </c>
    </row>
    <row r="45" spans="1:2" x14ac:dyDescent="0.25">
      <c r="A45" s="3" t="s">
        <v>44</v>
      </c>
      <c r="B45" s="6">
        <v>60678054</v>
      </c>
    </row>
    <row r="46" spans="1:2" x14ac:dyDescent="0.25">
      <c r="A46" s="3" t="s">
        <v>45</v>
      </c>
      <c r="B46" s="6">
        <v>99728636</v>
      </c>
    </row>
    <row r="47" spans="1:2" x14ac:dyDescent="0.25">
      <c r="A47" s="3" t="s">
        <v>46</v>
      </c>
      <c r="B47" s="6">
        <v>75114</v>
      </c>
    </row>
    <row r="48" spans="1:2" x14ac:dyDescent="0.25">
      <c r="A48" s="3" t="s">
        <v>47</v>
      </c>
      <c r="B48" s="6">
        <v>40861353</v>
      </c>
    </row>
    <row r="49" spans="1:2" x14ac:dyDescent="0.25">
      <c r="A49" s="3" t="s">
        <v>48</v>
      </c>
      <c r="B49" s="6">
        <v>365992928</v>
      </c>
    </row>
    <row r="50" spans="1:2" x14ac:dyDescent="0.25">
      <c r="A50" s="3" t="s">
        <v>49</v>
      </c>
      <c r="B50" s="6">
        <v>77778508</v>
      </c>
    </row>
    <row r="51" spans="1:2" x14ac:dyDescent="0.25">
      <c r="A51" s="3" t="s">
        <v>50</v>
      </c>
      <c r="B51" s="6">
        <v>45994851</v>
      </c>
    </row>
    <row r="52" spans="1:2" x14ac:dyDescent="0.25">
      <c r="A52" s="3" t="s">
        <v>51</v>
      </c>
      <c r="B52" s="6"/>
    </row>
    <row r="53" spans="1:2" x14ac:dyDescent="0.25">
      <c r="A53" s="3" t="s">
        <v>52</v>
      </c>
      <c r="B53" s="6"/>
    </row>
    <row r="54" spans="1:2" x14ac:dyDescent="0.25">
      <c r="A54" s="3" t="s">
        <v>53</v>
      </c>
      <c r="B54" s="6"/>
    </row>
    <row r="55" spans="1:2" x14ac:dyDescent="0.25">
      <c r="A55" s="3" t="s">
        <v>54</v>
      </c>
      <c r="B55" s="6"/>
    </row>
    <row r="56" spans="1:2" x14ac:dyDescent="0.25">
      <c r="A56" s="3" t="s">
        <v>55</v>
      </c>
      <c r="B56" s="6">
        <v>4287753</v>
      </c>
    </row>
    <row r="57" spans="1:2" x14ac:dyDescent="0.25">
      <c r="A57" s="3" t="s">
        <v>56</v>
      </c>
      <c r="B57" s="6">
        <v>23889852</v>
      </c>
    </row>
    <row r="58" spans="1:2" x14ac:dyDescent="0.25">
      <c r="A58" s="3" t="s">
        <v>57</v>
      </c>
      <c r="B58" s="6">
        <v>1312113</v>
      </c>
    </row>
    <row r="59" spans="1:2" x14ac:dyDescent="0.25">
      <c r="A59" s="3" t="s">
        <v>58</v>
      </c>
      <c r="B59" s="6">
        <v>17502064</v>
      </c>
    </row>
    <row r="60" spans="1:2" x14ac:dyDescent="0.25">
      <c r="A60" s="3" t="s">
        <v>59</v>
      </c>
      <c r="B60" s="6">
        <v>4849389</v>
      </c>
    </row>
    <row r="61" spans="1:2" x14ac:dyDescent="0.25">
      <c r="A61" s="3" t="s">
        <v>60</v>
      </c>
      <c r="B61" s="6">
        <v>3826162</v>
      </c>
    </row>
    <row r="62" spans="1:2" x14ac:dyDescent="0.25">
      <c r="A62" s="3" t="s">
        <v>61</v>
      </c>
      <c r="B62" s="6">
        <v>10100818</v>
      </c>
    </row>
    <row r="63" spans="1:2" x14ac:dyDescent="0.25">
      <c r="A63" s="3" t="s">
        <v>62</v>
      </c>
      <c r="B63" s="6">
        <v>16535322</v>
      </c>
    </row>
    <row r="64" spans="1:2" x14ac:dyDescent="0.25">
      <c r="A64" s="3" t="s">
        <v>63</v>
      </c>
      <c r="B64" s="6">
        <v>11234818</v>
      </c>
    </row>
    <row r="65" spans="1:2" x14ac:dyDescent="0.25">
      <c r="A65" s="3" t="s">
        <v>64</v>
      </c>
      <c r="B65" s="6">
        <v>482417</v>
      </c>
    </row>
    <row r="66" spans="1:2" x14ac:dyDescent="0.25">
      <c r="A66" s="3" t="s">
        <v>65</v>
      </c>
      <c r="B66" s="6">
        <v>17272310</v>
      </c>
    </row>
    <row r="67" spans="1:2" x14ac:dyDescent="0.25">
      <c r="A67" s="3" t="s">
        <v>66</v>
      </c>
      <c r="B67" s="6">
        <v>2317930</v>
      </c>
    </row>
    <row r="68" spans="1:2" x14ac:dyDescent="0.25">
      <c r="A68" s="3" t="s">
        <v>67</v>
      </c>
      <c r="B68" s="6">
        <v>112234503</v>
      </c>
    </row>
    <row r="69" spans="1:2" x14ac:dyDescent="0.25">
      <c r="A69" s="3" t="s">
        <v>68</v>
      </c>
      <c r="B69" s="6">
        <v>82218604</v>
      </c>
    </row>
    <row r="70" spans="1:2" x14ac:dyDescent="0.25">
      <c r="A70" s="3" t="s">
        <v>69</v>
      </c>
      <c r="B70" s="6">
        <v>150750256</v>
      </c>
    </row>
    <row r="71" spans="1:2" x14ac:dyDescent="0.25">
      <c r="A71" s="3" t="s">
        <v>70</v>
      </c>
      <c r="B71" s="6"/>
    </row>
    <row r="72" spans="1:2" x14ac:dyDescent="0.25">
      <c r="A72" s="3" t="s">
        <v>71</v>
      </c>
      <c r="B72" s="6"/>
    </row>
    <row r="73" spans="1:2" x14ac:dyDescent="0.25">
      <c r="A73" s="3" t="s">
        <v>72</v>
      </c>
      <c r="B73" s="6"/>
    </row>
    <row r="74" spans="1:2" x14ac:dyDescent="0.25">
      <c r="A74" s="3" t="s">
        <v>73</v>
      </c>
      <c r="B74" s="6"/>
    </row>
    <row r="75" spans="1:2" x14ac:dyDescent="0.25">
      <c r="A75" s="3" t="s">
        <v>74</v>
      </c>
      <c r="B75" s="6"/>
    </row>
    <row r="76" spans="1:2" x14ac:dyDescent="0.25">
      <c r="A76" s="3" t="s">
        <v>75</v>
      </c>
      <c r="B76" s="6"/>
    </row>
    <row r="77" spans="1:2" x14ac:dyDescent="0.25">
      <c r="A77" s="3" t="s">
        <v>76</v>
      </c>
      <c r="B77" s="6"/>
    </row>
    <row r="78" spans="1:2" x14ac:dyDescent="0.25">
      <c r="A78" s="3" t="s">
        <v>77</v>
      </c>
      <c r="B78" s="6"/>
    </row>
    <row r="79" spans="1:2" x14ac:dyDescent="0.25">
      <c r="A79" s="3" t="s">
        <v>78</v>
      </c>
      <c r="B79" s="6"/>
    </row>
    <row r="80" spans="1:2" x14ac:dyDescent="0.25">
      <c r="A80" s="3" t="s">
        <v>79</v>
      </c>
      <c r="B80" s="6"/>
    </row>
    <row r="81" spans="1:2" x14ac:dyDescent="0.25">
      <c r="A81" s="3" t="s">
        <v>80</v>
      </c>
      <c r="B81" s="6">
        <v>203730173</v>
      </c>
    </row>
    <row r="82" spans="1:2" x14ac:dyDescent="0.25">
      <c r="A82" s="3" t="s">
        <v>81</v>
      </c>
      <c r="B82" s="6">
        <v>474480</v>
      </c>
    </row>
    <row r="83" spans="1:2" x14ac:dyDescent="0.25">
      <c r="A83" s="3" t="s">
        <v>82</v>
      </c>
      <c r="B83" s="6">
        <v>30071997</v>
      </c>
    </row>
    <row r="84" spans="1:2" x14ac:dyDescent="0.25">
      <c r="A84" s="3" t="s">
        <v>83</v>
      </c>
      <c r="B84" s="6">
        <v>4549336</v>
      </c>
    </row>
    <row r="85" spans="1:2" x14ac:dyDescent="0.25">
      <c r="A85" s="3" t="s">
        <v>84</v>
      </c>
      <c r="B85" s="6"/>
    </row>
    <row r="86" spans="1:2" x14ac:dyDescent="0.25">
      <c r="A86" s="3" t="s">
        <v>85</v>
      </c>
      <c r="B86" s="6">
        <v>27852075</v>
      </c>
    </row>
    <row r="87" spans="1:2" x14ac:dyDescent="0.25">
      <c r="A87" s="3" t="s">
        <v>86</v>
      </c>
      <c r="B87" s="6">
        <v>37168640</v>
      </c>
    </row>
    <row r="88" spans="1:2" x14ac:dyDescent="0.25">
      <c r="A88" s="3" t="s">
        <v>87</v>
      </c>
      <c r="B88" s="6">
        <v>51092544</v>
      </c>
    </row>
    <row r="89" spans="1:2" x14ac:dyDescent="0.25">
      <c r="A89" s="3" t="s">
        <v>88</v>
      </c>
      <c r="B89" s="6"/>
    </row>
    <row r="90" spans="1:2" x14ac:dyDescent="0.25">
      <c r="A90" s="3" t="s">
        <v>89</v>
      </c>
      <c r="B90" s="6">
        <v>38511207</v>
      </c>
    </row>
    <row r="91" spans="1:2" x14ac:dyDescent="0.25">
      <c r="A91" s="3" t="s">
        <v>90</v>
      </c>
      <c r="B91" s="6">
        <v>175302</v>
      </c>
    </row>
    <row r="92" spans="1:2" x14ac:dyDescent="0.25">
      <c r="A92" s="3" t="s">
        <v>91</v>
      </c>
      <c r="B92" s="6">
        <v>36755667</v>
      </c>
    </row>
    <row r="93" spans="1:2" x14ac:dyDescent="0.25">
      <c r="A93" s="3" t="s">
        <v>92</v>
      </c>
      <c r="B93" s="6"/>
    </row>
    <row r="94" spans="1:2" x14ac:dyDescent="0.25">
      <c r="A94" s="3" t="s">
        <v>93</v>
      </c>
      <c r="B94" s="6"/>
    </row>
    <row r="95" spans="1:2" x14ac:dyDescent="0.25">
      <c r="A95" s="3" t="s">
        <v>94</v>
      </c>
      <c r="B95" s="6">
        <v>40086019</v>
      </c>
    </row>
    <row r="96" spans="1:2" x14ac:dyDescent="0.25">
      <c r="A96" s="3" t="s">
        <v>95</v>
      </c>
      <c r="B96" s="6">
        <v>120648873</v>
      </c>
    </row>
    <row r="97" spans="1:2" x14ac:dyDescent="0.25">
      <c r="A97" s="3" t="s">
        <v>96</v>
      </c>
      <c r="B97" s="6">
        <v>924639140</v>
      </c>
    </row>
    <row r="98" spans="1:2" x14ac:dyDescent="0.25">
      <c r="A98" s="3" t="s">
        <v>97</v>
      </c>
      <c r="B98" s="6">
        <v>9986423</v>
      </c>
    </row>
    <row r="99" spans="1:2" x14ac:dyDescent="0.25">
      <c r="A99" s="3" t="s">
        <v>98</v>
      </c>
      <c r="B99" s="6">
        <v>2503482987</v>
      </c>
    </row>
    <row r="100" spans="1:2" x14ac:dyDescent="0.25">
      <c r="A100" s="3" t="s">
        <v>99</v>
      </c>
      <c r="B100" s="6">
        <v>110254911.25</v>
      </c>
    </row>
    <row r="101" spans="1:2" x14ac:dyDescent="0.25">
      <c r="A101" s="3" t="s">
        <v>100</v>
      </c>
      <c r="B101" s="6">
        <v>232006193.12</v>
      </c>
    </row>
    <row r="102" spans="1:2" x14ac:dyDescent="0.25">
      <c r="A102" s="3" t="s">
        <v>101</v>
      </c>
      <c r="B102" s="6">
        <v>613841629.69000006</v>
      </c>
    </row>
    <row r="103" spans="1:2" x14ac:dyDescent="0.25">
      <c r="A103" s="3" t="s">
        <v>102</v>
      </c>
      <c r="B103" s="6">
        <v>318036318.20000005</v>
      </c>
    </row>
    <row r="104" spans="1:2" x14ac:dyDescent="0.25">
      <c r="A104" s="3" t="s">
        <v>103</v>
      </c>
      <c r="B104" s="6">
        <v>28436644.059999999</v>
      </c>
    </row>
    <row r="105" spans="1:2" x14ac:dyDescent="0.25">
      <c r="A105" s="3" t="s">
        <v>104</v>
      </c>
      <c r="B105" s="6">
        <v>91726804.019999996</v>
      </c>
    </row>
    <row r="106" spans="1:2" x14ac:dyDescent="0.25">
      <c r="A106" s="3" t="s">
        <v>105</v>
      </c>
      <c r="B106" s="6">
        <v>269694586.71000004</v>
      </c>
    </row>
    <row r="107" spans="1:2" x14ac:dyDescent="0.25">
      <c r="A107" s="3" t="s">
        <v>106</v>
      </c>
      <c r="B107" s="6">
        <v>183845211.72999999</v>
      </c>
    </row>
    <row r="108" spans="1:2" x14ac:dyDescent="0.25">
      <c r="A108" s="3" t="s">
        <v>107</v>
      </c>
      <c r="B108" s="6">
        <v>209692851.06999999</v>
      </c>
    </row>
    <row r="109" spans="1:2" x14ac:dyDescent="0.25">
      <c r="A109" s="3" t="s">
        <v>108</v>
      </c>
      <c r="B109" s="6">
        <v>70564617.99000001</v>
      </c>
    </row>
    <row r="110" spans="1:2" x14ac:dyDescent="0.25">
      <c r="A110" s="3" t="s">
        <v>109</v>
      </c>
      <c r="B110" s="6">
        <v>302609723.87</v>
      </c>
    </row>
    <row r="111" spans="1:2" x14ac:dyDescent="0.25">
      <c r="A111" s="3" t="s">
        <v>110</v>
      </c>
      <c r="B111" s="6">
        <v>489849775.79999995</v>
      </c>
    </row>
    <row r="112" spans="1:2" x14ac:dyDescent="0.25">
      <c r="A112" s="3" t="s">
        <v>111</v>
      </c>
      <c r="B112" s="6">
        <v>289622737.34000003</v>
      </c>
    </row>
    <row r="113" spans="1:2" x14ac:dyDescent="0.25">
      <c r="A113" s="3" t="s">
        <v>112</v>
      </c>
      <c r="B113" s="6">
        <v>336259755.97999996</v>
      </c>
    </row>
    <row r="114" spans="1:2" x14ac:dyDescent="0.25">
      <c r="A114" s="3" t="s">
        <v>113</v>
      </c>
      <c r="B114" s="8">
        <v>123062564.37853201</v>
      </c>
    </row>
    <row r="115" spans="1:2" x14ac:dyDescent="0.25">
      <c r="A115" s="3" t="s">
        <v>114</v>
      </c>
      <c r="B115" s="6">
        <v>50005541.360000007</v>
      </c>
    </row>
    <row r="116" spans="1:2" x14ac:dyDescent="0.25">
      <c r="A116" s="3" t="s">
        <v>115</v>
      </c>
      <c r="B116" s="6">
        <v>50007618.75</v>
      </c>
    </row>
    <row r="117" spans="1:2" x14ac:dyDescent="0.25">
      <c r="A117" s="3" t="s">
        <v>116</v>
      </c>
      <c r="B117" s="6">
        <v>710254241.58999991</v>
      </c>
    </row>
    <row r="118" spans="1:2" x14ac:dyDescent="0.25">
      <c r="A118" s="3" t="s">
        <v>117</v>
      </c>
      <c r="B118" s="6">
        <v>37959464.130000003</v>
      </c>
    </row>
    <row r="119" spans="1:2" x14ac:dyDescent="0.25">
      <c r="A119" s="3" t="s">
        <v>118</v>
      </c>
      <c r="B119" s="6">
        <v>66263755.829999998</v>
      </c>
    </row>
    <row r="120" spans="1:2" x14ac:dyDescent="0.25">
      <c r="A120" s="3" t="s">
        <v>119</v>
      </c>
      <c r="B120" s="6">
        <v>7854228.8499999996</v>
      </c>
    </row>
    <row r="121" spans="1:2" x14ac:dyDescent="0.25">
      <c r="A121" s="3" t="s">
        <v>120</v>
      </c>
      <c r="B121" s="6">
        <v>109200779.53</v>
      </c>
    </row>
    <row r="122" spans="1:2" x14ac:dyDescent="0.25">
      <c r="A122" s="3" t="s">
        <v>121</v>
      </c>
      <c r="B122" s="6">
        <v>5769477.0899999999</v>
      </c>
    </row>
    <row r="123" spans="1:2" x14ac:dyDescent="0.25">
      <c r="A123" s="3" t="s">
        <v>122</v>
      </c>
      <c r="B123" s="6">
        <v>228607208.95999998</v>
      </c>
    </row>
    <row r="124" spans="1:2" x14ac:dyDescent="0.25">
      <c r="A124" s="3" t="s">
        <v>123</v>
      </c>
      <c r="B124" s="6">
        <v>118758803.31999999</v>
      </c>
    </row>
  </sheetData>
  <pageMargins left="0.7" right="0.7" top="0.75" bottom="0.75" header="0.3" footer="0.3"/>
  <pageSetup paperSize="9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103"/>
  <sheetViews>
    <sheetView workbookViewId="0">
      <selection activeCell="E6" sqref="E6"/>
    </sheetView>
  </sheetViews>
  <sheetFormatPr defaultRowHeight="15" x14ac:dyDescent="0.25"/>
  <cols>
    <col min="1" max="1" width="15.140625" bestFit="1" customWidth="1"/>
    <col min="2" max="2" width="14.28515625" bestFit="1" customWidth="1"/>
  </cols>
  <sheetData>
    <row r="1" spans="1:2" ht="45" x14ac:dyDescent="0.25">
      <c r="A1" s="12" t="s">
        <v>126</v>
      </c>
      <c r="B1" s="13" t="s">
        <v>127</v>
      </c>
    </row>
    <row r="2" spans="1:2" x14ac:dyDescent="0.25">
      <c r="A2" t="s">
        <v>106</v>
      </c>
      <c r="B2" s="14">
        <v>180160367.59</v>
      </c>
    </row>
    <row r="3" spans="1:2" x14ac:dyDescent="0.25">
      <c r="A3" t="s">
        <v>107</v>
      </c>
      <c r="B3" s="14">
        <v>204734959.59</v>
      </c>
    </row>
    <row r="4" spans="1:2" x14ac:dyDescent="0.25">
      <c r="A4" t="s">
        <v>108</v>
      </c>
      <c r="B4" s="14">
        <v>69579183.039999992</v>
      </c>
    </row>
    <row r="5" spans="1:2" x14ac:dyDescent="0.25">
      <c r="A5" t="s">
        <v>119</v>
      </c>
      <c r="B5" s="14">
        <v>8278144.4800000004</v>
      </c>
    </row>
    <row r="6" spans="1:2" x14ac:dyDescent="0.25">
      <c r="A6" t="s">
        <v>112</v>
      </c>
      <c r="B6" s="14">
        <v>336291906.66000003</v>
      </c>
    </row>
    <row r="7" spans="1:2" x14ac:dyDescent="0.25">
      <c r="A7" t="s">
        <v>118</v>
      </c>
      <c r="B7" s="14">
        <v>72194946.140000001</v>
      </c>
    </row>
    <row r="8" spans="1:2" x14ac:dyDescent="0.25">
      <c r="A8" t="s">
        <v>103</v>
      </c>
      <c r="B8" s="14">
        <v>29054500.720000003</v>
      </c>
    </row>
    <row r="9" spans="1:2" x14ac:dyDescent="0.25">
      <c r="A9" t="s">
        <v>104</v>
      </c>
      <c r="B9" s="14">
        <v>96751805.280000001</v>
      </c>
    </row>
    <row r="10" spans="1:2" x14ac:dyDescent="0.25">
      <c r="A10" t="s">
        <v>105</v>
      </c>
      <c r="B10" s="14">
        <v>280191937.93000001</v>
      </c>
    </row>
    <row r="11" spans="1:2" x14ac:dyDescent="0.25">
      <c r="A11" t="s">
        <v>128</v>
      </c>
      <c r="B11" s="14">
        <v>11007976.199999999</v>
      </c>
    </row>
    <row r="12" spans="1:2" x14ac:dyDescent="0.25">
      <c r="A12" t="s">
        <v>116</v>
      </c>
      <c r="B12" s="14">
        <v>753110833.27999997</v>
      </c>
    </row>
    <row r="13" spans="1:2" x14ac:dyDescent="0.25">
      <c r="A13" t="s">
        <v>117</v>
      </c>
      <c r="B13" s="14">
        <v>40703008.519999996</v>
      </c>
    </row>
    <row r="14" spans="1:2" x14ac:dyDescent="0.25">
      <c r="A14" t="s">
        <v>101</v>
      </c>
      <c r="B14" s="14">
        <v>611275519.91999996</v>
      </c>
    </row>
    <row r="15" spans="1:2" x14ac:dyDescent="0.25">
      <c r="A15" t="s">
        <v>115</v>
      </c>
      <c r="B15" s="14">
        <v>53289302.059999995</v>
      </c>
    </row>
    <row r="16" spans="1:2" x14ac:dyDescent="0.25">
      <c r="A16" t="s">
        <v>120</v>
      </c>
      <c r="B16" s="14">
        <v>115938304.55000001</v>
      </c>
    </row>
    <row r="17" spans="1:2" x14ac:dyDescent="0.25">
      <c r="A17" t="s">
        <v>114</v>
      </c>
      <c r="B17" s="14">
        <v>53302816.240000002</v>
      </c>
    </row>
    <row r="18" spans="1:2" x14ac:dyDescent="0.25">
      <c r="A18" t="s">
        <v>121</v>
      </c>
      <c r="B18" s="14">
        <v>5875568.6200000001</v>
      </c>
    </row>
    <row r="19" spans="1:2" x14ac:dyDescent="0.25">
      <c r="A19" s="15" t="s">
        <v>125</v>
      </c>
      <c r="B19" s="16">
        <v>50000000</v>
      </c>
    </row>
    <row r="20" spans="1:2" x14ac:dyDescent="0.25">
      <c r="A20" s="15" t="s">
        <v>129</v>
      </c>
      <c r="B20" s="16">
        <v>162000000</v>
      </c>
    </row>
    <row r="21" spans="1:2" x14ac:dyDescent="0.25">
      <c r="A21" s="15" t="s">
        <v>113</v>
      </c>
      <c r="B21" s="16">
        <v>123062564.37853201</v>
      </c>
    </row>
    <row r="22" spans="1:2" x14ac:dyDescent="0.25">
      <c r="A22" t="s">
        <v>122</v>
      </c>
      <c r="B22" s="14">
        <v>228673489.05000001</v>
      </c>
    </row>
    <row r="23" spans="1:2" x14ac:dyDescent="0.25">
      <c r="A23" t="s">
        <v>110</v>
      </c>
      <c r="B23" s="14">
        <v>492568757.26999998</v>
      </c>
    </row>
    <row r="24" spans="1:2" x14ac:dyDescent="0.25">
      <c r="A24" t="s">
        <v>111</v>
      </c>
      <c r="B24" s="14">
        <v>290738323.06999999</v>
      </c>
    </row>
    <row r="25" spans="1:2" x14ac:dyDescent="0.25">
      <c r="A25" t="s">
        <v>102</v>
      </c>
      <c r="B25" s="14">
        <v>331860075.80000001</v>
      </c>
    </row>
    <row r="26" spans="1:2" x14ac:dyDescent="0.25">
      <c r="A26" t="s">
        <v>100</v>
      </c>
      <c r="B26" s="14">
        <v>213838720.47999999</v>
      </c>
    </row>
    <row r="27" spans="1:2" x14ac:dyDescent="0.25">
      <c r="A27" t="s">
        <v>99</v>
      </c>
      <c r="B27" s="14">
        <v>103061286.8</v>
      </c>
    </row>
    <row r="28" spans="1:2" x14ac:dyDescent="0.25">
      <c r="A28" t="s">
        <v>109</v>
      </c>
      <c r="B28" s="14">
        <v>303304295.19</v>
      </c>
    </row>
    <row r="29" spans="1:2" x14ac:dyDescent="0.25">
      <c r="A29" t="s">
        <v>48</v>
      </c>
      <c r="B29" s="14">
        <v>365057746</v>
      </c>
    </row>
    <row r="30" spans="1:2" x14ac:dyDescent="0.25">
      <c r="A30" t="s">
        <v>49</v>
      </c>
      <c r="B30" s="14">
        <v>78803238</v>
      </c>
    </row>
    <row r="31" spans="1:2" x14ac:dyDescent="0.25">
      <c r="A31" t="s">
        <v>50</v>
      </c>
      <c r="B31" s="14">
        <v>47145590</v>
      </c>
    </row>
    <row r="32" spans="1:2" x14ac:dyDescent="0.25">
      <c r="A32" t="s">
        <v>82</v>
      </c>
      <c r="B32" s="14">
        <v>30169569</v>
      </c>
    </row>
    <row r="33" spans="1:2" x14ac:dyDescent="0.25">
      <c r="A33" t="s">
        <v>2</v>
      </c>
      <c r="B33" s="14">
        <v>2004082</v>
      </c>
    </row>
    <row r="34" spans="1:2" x14ac:dyDescent="0.25">
      <c r="A34" t="s">
        <v>3</v>
      </c>
      <c r="B34" s="14">
        <v>205891</v>
      </c>
    </row>
    <row r="35" spans="1:2" x14ac:dyDescent="0.25">
      <c r="A35" t="s">
        <v>4</v>
      </c>
      <c r="B35" s="14">
        <v>2800</v>
      </c>
    </row>
    <row r="36" spans="1:2" x14ac:dyDescent="0.25">
      <c r="A36" t="s">
        <v>5</v>
      </c>
      <c r="B36" s="14">
        <v>272728</v>
      </c>
    </row>
    <row r="37" spans="1:2" x14ac:dyDescent="0.25">
      <c r="A37" t="s">
        <v>16</v>
      </c>
      <c r="B37" s="14">
        <v>81442</v>
      </c>
    </row>
    <row r="38" spans="1:2" x14ac:dyDescent="0.25">
      <c r="A38" t="s">
        <v>6</v>
      </c>
      <c r="B38" s="14">
        <v>289906</v>
      </c>
    </row>
    <row r="39" spans="1:2" x14ac:dyDescent="0.25">
      <c r="A39" t="s">
        <v>7</v>
      </c>
      <c r="B39" s="14">
        <v>23686</v>
      </c>
    </row>
    <row r="40" spans="1:2" x14ac:dyDescent="0.25">
      <c r="A40" t="s">
        <v>80</v>
      </c>
      <c r="B40" s="14">
        <v>204744109</v>
      </c>
    </row>
    <row r="41" spans="1:2" x14ac:dyDescent="0.25">
      <c r="A41" t="s">
        <v>45</v>
      </c>
      <c r="B41" s="14">
        <v>102097327</v>
      </c>
    </row>
    <row r="42" spans="1:2" x14ac:dyDescent="0.25">
      <c r="A42" t="s">
        <v>9</v>
      </c>
      <c r="B42" s="14">
        <v>214832897</v>
      </c>
    </row>
    <row r="43" spans="1:2" x14ac:dyDescent="0.25">
      <c r="A43" t="s">
        <v>8</v>
      </c>
      <c r="B43" s="14">
        <v>67050530</v>
      </c>
    </row>
    <row r="44" spans="1:2" x14ac:dyDescent="0.25">
      <c r="A44" t="s">
        <v>85</v>
      </c>
      <c r="B44" s="14">
        <v>28400980</v>
      </c>
    </row>
    <row r="45" spans="1:2" x14ac:dyDescent="0.25">
      <c r="A45" t="s">
        <v>86</v>
      </c>
      <c r="B45" s="14">
        <v>37840641</v>
      </c>
    </row>
    <row r="46" spans="1:2" x14ac:dyDescent="0.25">
      <c r="A46" t="s">
        <v>89</v>
      </c>
      <c r="B46" s="14">
        <v>38387451</v>
      </c>
    </row>
    <row r="47" spans="1:2" x14ac:dyDescent="0.25">
      <c r="A47" t="s">
        <v>91</v>
      </c>
      <c r="B47" s="14">
        <v>37659257</v>
      </c>
    </row>
    <row r="48" spans="1:2" x14ac:dyDescent="0.25">
      <c r="A48" t="s">
        <v>94</v>
      </c>
      <c r="B48" s="14">
        <v>40595474</v>
      </c>
    </row>
    <row r="49" spans="1:2" x14ac:dyDescent="0.25">
      <c r="A49" t="s">
        <v>55</v>
      </c>
      <c r="B49" s="14">
        <v>4433409</v>
      </c>
    </row>
    <row r="50" spans="1:2" x14ac:dyDescent="0.25">
      <c r="A50" t="s">
        <v>56</v>
      </c>
      <c r="B50" s="14">
        <v>23789759</v>
      </c>
    </row>
    <row r="51" spans="1:2" x14ac:dyDescent="0.25">
      <c r="A51" t="s">
        <v>57</v>
      </c>
      <c r="B51" s="14">
        <v>1294713</v>
      </c>
    </row>
    <row r="52" spans="1:2" x14ac:dyDescent="0.25">
      <c r="A52" t="s">
        <v>44</v>
      </c>
      <c r="B52" s="14">
        <v>61873487</v>
      </c>
    </row>
    <row r="53" spans="1:2" x14ac:dyDescent="0.25">
      <c r="A53" t="s">
        <v>81</v>
      </c>
      <c r="B53" s="14">
        <v>473846</v>
      </c>
    </row>
    <row r="54" spans="1:2" x14ac:dyDescent="0.25">
      <c r="A54" t="s">
        <v>65</v>
      </c>
      <c r="B54" s="14">
        <v>17625507</v>
      </c>
    </row>
    <row r="55" spans="1:2" x14ac:dyDescent="0.25">
      <c r="A55" t="s">
        <v>67</v>
      </c>
      <c r="B55" s="14">
        <v>113220931</v>
      </c>
    </row>
    <row r="56" spans="1:2" x14ac:dyDescent="0.25">
      <c r="A56" t="s">
        <v>68</v>
      </c>
      <c r="B56" s="14">
        <v>81926812</v>
      </c>
    </row>
    <row r="57" spans="1:2" x14ac:dyDescent="0.25">
      <c r="A57" t="s">
        <v>69</v>
      </c>
      <c r="B57" s="14">
        <v>148631469</v>
      </c>
    </row>
    <row r="58" spans="1:2" x14ac:dyDescent="0.25">
      <c r="A58" t="s">
        <v>90</v>
      </c>
      <c r="B58" s="14">
        <v>173709</v>
      </c>
    </row>
    <row r="59" spans="1:2" x14ac:dyDescent="0.25">
      <c r="A59" t="s">
        <v>64</v>
      </c>
      <c r="B59" s="14">
        <v>476385</v>
      </c>
    </row>
    <row r="60" spans="1:2" x14ac:dyDescent="0.25">
      <c r="A60" t="s">
        <v>66</v>
      </c>
      <c r="B60" s="14">
        <v>2317273</v>
      </c>
    </row>
    <row r="61" spans="1:2" x14ac:dyDescent="0.25">
      <c r="A61" t="s">
        <v>17</v>
      </c>
      <c r="B61" s="14">
        <v>152820391</v>
      </c>
    </row>
    <row r="62" spans="1:2" x14ac:dyDescent="0.25">
      <c r="A62" t="s">
        <v>18</v>
      </c>
      <c r="B62" s="14">
        <v>618205631</v>
      </c>
    </row>
    <row r="63" spans="1:2" x14ac:dyDescent="0.25">
      <c r="A63" t="s">
        <v>19</v>
      </c>
      <c r="B63" s="14">
        <v>136083401</v>
      </c>
    </row>
    <row r="64" spans="1:2" x14ac:dyDescent="0.25">
      <c r="A64" t="s">
        <v>21</v>
      </c>
      <c r="B64" s="14">
        <v>772892147</v>
      </c>
    </row>
    <row r="65" spans="1:2" x14ac:dyDescent="0.25">
      <c r="A65" t="s">
        <v>20</v>
      </c>
      <c r="B65" s="14">
        <v>1825704243</v>
      </c>
    </row>
    <row r="66" spans="1:2" x14ac:dyDescent="0.25">
      <c r="A66" t="s">
        <v>10</v>
      </c>
      <c r="B66" s="14">
        <v>207935921</v>
      </c>
    </row>
    <row r="67" spans="1:2" x14ac:dyDescent="0.25">
      <c r="A67" t="s">
        <v>41</v>
      </c>
      <c r="B67" s="14">
        <v>306679</v>
      </c>
    </row>
    <row r="68" spans="1:2" x14ac:dyDescent="0.25">
      <c r="A68" t="s">
        <v>37</v>
      </c>
      <c r="B68" s="14">
        <v>277264</v>
      </c>
    </row>
    <row r="69" spans="1:2" x14ac:dyDescent="0.25">
      <c r="A69" t="s">
        <v>33</v>
      </c>
      <c r="B69" s="14">
        <v>6664440</v>
      </c>
    </row>
    <row r="70" spans="1:2" x14ac:dyDescent="0.25">
      <c r="A70" t="s">
        <v>35</v>
      </c>
      <c r="B70" s="14">
        <v>572066</v>
      </c>
    </row>
    <row r="71" spans="1:2" x14ac:dyDescent="0.25">
      <c r="A71" t="s">
        <v>34</v>
      </c>
      <c r="B71" s="14">
        <v>265086</v>
      </c>
    </row>
    <row r="72" spans="1:2" x14ac:dyDescent="0.25">
      <c r="A72" t="s">
        <v>39</v>
      </c>
      <c r="B72" s="14">
        <v>668282</v>
      </c>
    </row>
    <row r="73" spans="1:2" x14ac:dyDescent="0.25">
      <c r="A73" t="s">
        <v>38</v>
      </c>
      <c r="B73" s="14">
        <v>226044</v>
      </c>
    </row>
    <row r="74" spans="1:2" x14ac:dyDescent="0.25">
      <c r="A74" t="s">
        <v>36</v>
      </c>
      <c r="B74" s="14">
        <v>424383</v>
      </c>
    </row>
    <row r="75" spans="1:2" x14ac:dyDescent="0.25">
      <c r="A75" t="s">
        <v>32</v>
      </c>
      <c r="B75" s="14">
        <v>398343</v>
      </c>
    </row>
    <row r="76" spans="1:2" x14ac:dyDescent="0.25">
      <c r="A76" t="s">
        <v>43</v>
      </c>
      <c r="B76" s="14">
        <v>68982</v>
      </c>
    </row>
    <row r="77" spans="1:2" x14ac:dyDescent="0.25">
      <c r="A77" t="s">
        <v>42</v>
      </c>
      <c r="B77" s="14">
        <v>14699</v>
      </c>
    </row>
    <row r="78" spans="1:2" x14ac:dyDescent="0.25">
      <c r="A78" t="s">
        <v>29</v>
      </c>
      <c r="B78" s="14">
        <v>579073409</v>
      </c>
    </row>
    <row r="79" spans="1:2" x14ac:dyDescent="0.25">
      <c r="A79" t="s">
        <v>30</v>
      </c>
      <c r="B79" s="14">
        <v>1511648038</v>
      </c>
    </row>
    <row r="80" spans="1:2" x14ac:dyDescent="0.25">
      <c r="A80" t="s">
        <v>26</v>
      </c>
      <c r="B80" s="14">
        <v>1117623468</v>
      </c>
    </row>
    <row r="81" spans="1:2" x14ac:dyDescent="0.25">
      <c r="A81" t="s">
        <v>27</v>
      </c>
      <c r="B81" s="14">
        <v>1649363670</v>
      </c>
    </row>
    <row r="82" spans="1:2" x14ac:dyDescent="0.25">
      <c r="A82" t="s">
        <v>47</v>
      </c>
      <c r="B82" s="14">
        <v>41064173</v>
      </c>
    </row>
    <row r="83" spans="1:2" x14ac:dyDescent="0.25">
      <c r="A83" t="s">
        <v>28</v>
      </c>
      <c r="B83" s="14">
        <v>1703203594</v>
      </c>
    </row>
    <row r="84" spans="1:2" x14ac:dyDescent="0.25">
      <c r="A84" t="s">
        <v>40</v>
      </c>
      <c r="B84" s="14">
        <v>156210</v>
      </c>
    </row>
    <row r="85" spans="1:2" x14ac:dyDescent="0.25">
      <c r="A85" t="s">
        <v>84</v>
      </c>
      <c r="B85" s="14">
        <v>0</v>
      </c>
    </row>
    <row r="86" spans="1:2" x14ac:dyDescent="0.25">
      <c r="A86" t="s">
        <v>88</v>
      </c>
      <c r="B86" s="14">
        <v>0</v>
      </c>
    </row>
    <row r="87" spans="1:2" x14ac:dyDescent="0.25">
      <c r="A87" t="s">
        <v>93</v>
      </c>
      <c r="B87" s="14">
        <v>0</v>
      </c>
    </row>
    <row r="88" spans="1:2" x14ac:dyDescent="0.25">
      <c r="A88" t="s">
        <v>92</v>
      </c>
      <c r="B88" s="14">
        <v>0</v>
      </c>
    </row>
    <row r="89" spans="1:2" x14ac:dyDescent="0.25">
      <c r="A89" t="s">
        <v>83</v>
      </c>
      <c r="B89" s="14">
        <v>4514294</v>
      </c>
    </row>
    <row r="90" spans="1:2" x14ac:dyDescent="0.25">
      <c r="A90" t="s">
        <v>87</v>
      </c>
      <c r="B90" s="14">
        <v>52177578</v>
      </c>
    </row>
    <row r="91" spans="1:2" x14ac:dyDescent="0.25">
      <c r="A91" t="s">
        <v>130</v>
      </c>
      <c r="B91" s="14">
        <v>862762410</v>
      </c>
    </row>
    <row r="92" spans="1:2" x14ac:dyDescent="0.25">
      <c r="A92" t="s">
        <v>95</v>
      </c>
      <c r="B92" s="14">
        <v>119676701</v>
      </c>
    </row>
    <row r="93" spans="1:2" x14ac:dyDescent="0.25">
      <c r="A93" s="17" t="s">
        <v>97</v>
      </c>
      <c r="B93" s="14">
        <v>9442570</v>
      </c>
    </row>
    <row r="94" spans="1:2" x14ac:dyDescent="0.25">
      <c r="A94" s="15" t="s">
        <v>131</v>
      </c>
      <c r="B94" s="16">
        <v>11650045.330915684</v>
      </c>
    </row>
    <row r="95" spans="1:2" x14ac:dyDescent="0.25">
      <c r="A95" s="15" t="s">
        <v>132</v>
      </c>
      <c r="B95" s="16">
        <v>58875793.291024476</v>
      </c>
    </row>
    <row r="96" spans="1:2" x14ac:dyDescent="0.25">
      <c r="A96" s="17" t="s">
        <v>133</v>
      </c>
      <c r="B96" s="14">
        <v>0</v>
      </c>
    </row>
    <row r="97" spans="1:2" x14ac:dyDescent="0.25">
      <c r="A97" s="17" t="s">
        <v>134</v>
      </c>
      <c r="B97" s="14">
        <v>0</v>
      </c>
    </row>
    <row r="98" spans="1:2" x14ac:dyDescent="0.25">
      <c r="A98" s="17" t="s">
        <v>135</v>
      </c>
      <c r="B98" s="14">
        <v>0</v>
      </c>
    </row>
    <row r="99" spans="1:2" x14ac:dyDescent="0.25">
      <c r="A99" s="17" t="s">
        <v>136</v>
      </c>
      <c r="B99" s="14">
        <v>0</v>
      </c>
    </row>
    <row r="100" spans="1:2" x14ac:dyDescent="0.25">
      <c r="A100" s="15" t="s">
        <v>137</v>
      </c>
      <c r="B100" s="16">
        <v>15339981.867633726</v>
      </c>
    </row>
    <row r="101" spans="1:2" x14ac:dyDescent="0.25">
      <c r="A101" s="15" t="s">
        <v>138</v>
      </c>
      <c r="B101" s="16">
        <v>7461468.7216681782</v>
      </c>
    </row>
    <row r="102" spans="1:2" x14ac:dyDescent="0.25">
      <c r="A102" s="18" t="s">
        <v>123</v>
      </c>
      <c r="B102" s="14">
        <v>0</v>
      </c>
    </row>
    <row r="103" spans="1:2" x14ac:dyDescent="0.25">
      <c r="A103" t="s">
        <v>98</v>
      </c>
      <c r="B103" s="14">
        <v>1200427981.5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AUM</vt:lpstr>
      <vt:lpstr>Last Aum File</vt:lpstr>
      <vt:lpstr>breakdown by model New Date</vt:lpstr>
      <vt:lpstr>breakdown by model OLD Date</vt:lpstr>
      <vt:lpstr>31st Dec 22</vt:lpstr>
      <vt:lpstr>30th June 2021</vt:lpstr>
      <vt:lpstr>16th June 2021</vt:lpstr>
      <vt:lpstr>10th March 2021</vt:lpstr>
      <vt:lpstr>17th Feb 2021</vt:lpstr>
      <vt:lpstr>27th Jan 2021</vt:lpstr>
      <vt:lpstr>31st December 2020</vt:lpstr>
      <vt:lpstr>31st Nov 2020</vt:lpstr>
      <vt:lpstr>18th Nov 2020</vt:lpstr>
      <vt:lpstr>10th Nov 2020</vt:lpstr>
      <vt:lpstr>17th Oct</vt:lpstr>
      <vt:lpstr>13th Sept 2020</vt:lpstr>
      <vt:lpstr>30th Sept 2020</vt:lpstr>
      <vt:lpstr>09th Septmber</vt:lpstr>
      <vt:lpstr>1st of July 2020</vt:lpstr>
      <vt:lpstr>17th June 2020</vt:lpstr>
      <vt:lpstr>31st May 2020</vt:lpstr>
      <vt:lpstr>30th of April 2020</vt:lpstr>
      <vt:lpstr>8th April</vt:lpstr>
      <vt:lpstr>31st March Update</vt:lpstr>
      <vt:lpstr>31st March 2020</vt:lpstr>
      <vt:lpstr>22nd March 2020</vt:lpstr>
      <vt:lpstr>26th Feb 2020</vt:lpstr>
      <vt:lpstr>13th Feb 2020</vt:lpstr>
      <vt:lpstr>Jan 29th 2020</vt:lpstr>
      <vt:lpstr>Jan 6th 2020</vt:lpstr>
      <vt:lpstr>Dec 2nd 2019</vt:lpstr>
      <vt:lpstr>Nov 20th 2019</vt:lpstr>
      <vt:lpstr>Nov 6th 2019</vt:lpstr>
      <vt:lpstr>AUM End September </vt:lpstr>
    </vt:vector>
  </TitlesOfParts>
  <Company>Amundi Asset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Moore Craig (AMUNDI.IRL)</dc:creator>
  <cp:lastModifiedBy>Annicchini Victoria (AMUNDI.IRL)</cp:lastModifiedBy>
  <dcterms:created xsi:type="dcterms:W3CDTF">2019-11-06T10:59:42Z</dcterms:created>
  <dcterms:modified xsi:type="dcterms:W3CDTF">2024-12-23T14:25:59Z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2022-06-08T10:53:04Z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bc6fb8e4-d962-4df2-a103-a26b4ae80e21</vt:lpwstr>
  </property>
  <property fmtid="{D5CDD505-2E9C-101B-9397-08002B2CF9AE}" pid="8" name="MSIP_Label_6ac45191-74e4-40a9-a4c5-ab5c9391e33a_ContentBits">
    <vt:lpwstr>0</vt:lpwstr>
  </property>
</Properties>
</file>