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4.xml" ContentType="application/vnd.openxmlformats-officedocument.spreadsheetml.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Amundi_Multi-Asset\Multi-Asset_Fund_Solutions\Portfolio_Management\Dublin\MAP\Salvatore\AUM Files\"/>
    </mc:Choice>
  </mc:AlternateContent>
  <xr:revisionPtr revIDLastSave="0" documentId="13_ncr:1_{9E05D0EA-3316-4B3A-A049-684F978857E5}" xr6:coauthVersionLast="47" xr6:coauthVersionMax="47" xr10:uidLastSave="{00000000-0000-0000-0000-000000000000}"/>
  <bookViews>
    <workbookView xWindow="28680" yWindow="-120" windowWidth="29040" windowHeight="15720" firstSheet="4" activeTab="8" xr2:uid="{00000000-000D-0000-FFFF-FFFF00000000}"/>
  </bookViews>
  <sheets>
    <sheet name="Startegy Changes Mod or Fun (QT" sheetId="26" r:id="rId1"/>
    <sheet name="Startegy Changes (QTD)" sheetId="25" r:id="rId2"/>
    <sheet name="Total Flows File (QTD)" sheetId="27" r:id="rId3"/>
    <sheet name="Startegy Changes Mod or Fun" sheetId="24" r:id="rId4"/>
    <sheet name="Total Flows File" sheetId="19" r:id="rId5"/>
    <sheet name="Startegy Changes" sheetId="21" r:id="rId6"/>
    <sheet name="Startegy Changes (Model Fund)" sheetId="28" r:id="rId7"/>
    <sheet name="Startegy Changes (List)" sheetId="31" r:id="rId8"/>
    <sheet name="AUM Data Sheet Dublin" sheetId="3" r:id="rId9"/>
    <sheet name="List Sheet" sheetId="33" r:id="rId10"/>
    <sheet name="Sheet3" sheetId="34" r:id="rId11"/>
    <sheet name="List of Portfolios and AUM" sheetId="32" r:id="rId12"/>
    <sheet name="Total AUM Sheet" sheetId="14" r:id="rId13"/>
    <sheet name="This Period AUM by Fund" sheetId="17" r:id="rId14"/>
    <sheet name="AUM by Fund" sheetId="16" r:id="rId15"/>
    <sheet name="AUM by Model" sheetId="18" r:id="rId16"/>
    <sheet name="Startegy Changes (2)" sheetId="23" r:id="rId17"/>
    <sheet name="Fund by Strategy" sheetId="5" r:id="rId18"/>
    <sheet name="Audit AUM File" sheetId="4" r:id="rId19"/>
    <sheet name="Sheet1 (QTD Flows)" sheetId="22" r:id="rId20"/>
    <sheet name="Breakdown by Strategy" sheetId="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8" hidden="1">'AUM Data Sheet Dublin'!$A$2:$Z$125</definedName>
    <definedName name="_xlnm.Print_Area" localSheetId="11">'List of Portfolios and AUM'!$A:$H</definedName>
  </definedNames>
  <calcPr calcId="191029"/>
  <pivotCaches>
    <pivotCache cacheId="310" r:id="rId28"/>
    <pivotCache cacheId="315" r:id="rId29"/>
    <pivotCache cacheId="319" r:id="rId30"/>
    <pivotCache cacheId="322" r:id="rId31"/>
    <pivotCache cacheId="326" r:id="rId32"/>
    <pivotCache cacheId="329" r:id="rId33"/>
    <pivotCache cacheId="334" r:id="rId34"/>
    <pivotCache cacheId="338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8" i="3" l="1"/>
  <c r="AD108" i="3" s="1"/>
  <c r="U108" i="3"/>
  <c r="V108" i="3" s="1"/>
  <c r="P108" i="3"/>
  <c r="Y108" i="3" s="1"/>
  <c r="T10" i="3"/>
  <c r="T11" i="3"/>
  <c r="T12" i="3"/>
  <c r="T13" i="3"/>
  <c r="T14" i="3"/>
  <c r="T16" i="3"/>
  <c r="T17" i="3"/>
  <c r="T18" i="3"/>
  <c r="T19" i="3"/>
  <c r="T20" i="3"/>
  <c r="T21" i="3"/>
  <c r="T23" i="3"/>
  <c r="W108" i="3" l="1"/>
  <c r="X108" i="3" s="1"/>
  <c r="Z108" i="3" s="1"/>
  <c r="U34" i="3"/>
  <c r="P34" i="3"/>
  <c r="U25" i="3"/>
  <c r="P25" i="3"/>
  <c r="V15" i="3" l="1"/>
  <c r="AB15" i="3"/>
  <c r="AD15" i="3" s="1"/>
  <c r="P15" i="3"/>
  <c r="AC59" i="3"/>
  <c r="AC106" i="3"/>
  <c r="AB40" i="3"/>
  <c r="P40" i="3"/>
  <c r="Y15" i="3" l="1"/>
  <c r="T15" i="3"/>
  <c r="AA15" i="3" s="1"/>
  <c r="W15" i="3"/>
  <c r="X15" i="3" s="1"/>
  <c r="Z15" i="3" s="1"/>
  <c r="AC14" i="3"/>
  <c r="AB14" i="3"/>
  <c r="U40" i="3"/>
  <c r="P14" i="3"/>
  <c r="Y14" i="3" s="1"/>
  <c r="U14" i="3"/>
  <c r="V14" i="3" s="1"/>
  <c r="AA14" i="3"/>
  <c r="W14" i="3" l="1"/>
  <c r="X14" i="3" s="1"/>
  <c r="Z14" i="3" s="1"/>
  <c r="AD14" i="3"/>
  <c r="U110" i="3"/>
  <c r="U107" i="3"/>
  <c r="U106" i="3"/>
  <c r="U105" i="3"/>
  <c r="U104" i="3"/>
  <c r="U103" i="3"/>
  <c r="U102" i="3"/>
  <c r="U101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39" i="3"/>
  <c r="U38" i="3"/>
  <c r="U37" i="3"/>
  <c r="U36" i="3"/>
  <c r="U35" i="3"/>
  <c r="U33" i="3"/>
  <c r="D32" i="32"/>
  <c r="E32" i="32"/>
  <c r="H32" i="32"/>
  <c r="D33" i="32"/>
  <c r="E33" i="32"/>
  <c r="H33" i="32"/>
  <c r="D34" i="32"/>
  <c r="E34" i="32"/>
  <c r="H34" i="32"/>
  <c r="H69" i="32"/>
  <c r="H68" i="32"/>
  <c r="H70" i="32"/>
  <c r="D75" i="32"/>
  <c r="E75" i="32"/>
  <c r="H75" i="32"/>
  <c r="H71" i="32"/>
  <c r="D29" i="32"/>
  <c r="E29" i="32"/>
  <c r="H29" i="32"/>
  <c r="D30" i="32"/>
  <c r="E30" i="32"/>
  <c r="H30" i="32"/>
  <c r="D31" i="32"/>
  <c r="E31" i="32"/>
  <c r="H31" i="32"/>
  <c r="H82" i="32"/>
  <c r="D38" i="32"/>
  <c r="E38" i="32"/>
  <c r="H38" i="32"/>
  <c r="H79" i="32"/>
  <c r="H80" i="32"/>
  <c r="H84" i="32"/>
  <c r="H85" i="32"/>
  <c r="H72" i="32"/>
  <c r="D90" i="32"/>
  <c r="E90" i="32"/>
  <c r="H90" i="32"/>
  <c r="D76" i="32"/>
  <c r="E76" i="32"/>
  <c r="H76" i="32"/>
  <c r="D73" i="32"/>
  <c r="E73" i="32"/>
  <c r="H73" i="32"/>
  <c r="D74" i="32"/>
  <c r="E74" i="32"/>
  <c r="H74" i="32"/>
  <c r="H81" i="32"/>
  <c r="H83" i="32"/>
  <c r="D39" i="32"/>
  <c r="E39" i="32"/>
  <c r="H39" i="32"/>
  <c r="D37" i="32"/>
  <c r="E37" i="32"/>
  <c r="H37" i="32"/>
  <c r="H107" i="32"/>
  <c r="H40" i="32"/>
  <c r="D36" i="32"/>
  <c r="E36" i="32"/>
  <c r="H36" i="32"/>
  <c r="B35" i="32"/>
  <c r="D35" i="32"/>
  <c r="E35" i="32"/>
  <c r="H35" i="32"/>
  <c r="D2" i="32"/>
  <c r="E2" i="32"/>
  <c r="H2" i="32"/>
  <c r="D3" i="32"/>
  <c r="E3" i="32"/>
  <c r="H3" i="32"/>
  <c r="D4" i="32"/>
  <c r="E4" i="32"/>
  <c r="H4" i="32"/>
  <c r="D91" i="32"/>
  <c r="E91" i="32"/>
  <c r="H91" i="32"/>
  <c r="D10" i="32"/>
  <c r="E10" i="32"/>
  <c r="H10" i="32"/>
  <c r="D11" i="32"/>
  <c r="E11" i="32"/>
  <c r="H11" i="32"/>
  <c r="D15" i="32"/>
  <c r="E15" i="32"/>
  <c r="H15" i="32"/>
  <c r="D16" i="32"/>
  <c r="E16" i="32"/>
  <c r="H16" i="32"/>
  <c r="D94" i="32"/>
  <c r="E94" i="32"/>
  <c r="H94" i="32"/>
  <c r="D20" i="32"/>
  <c r="E20" i="32"/>
  <c r="H20" i="32"/>
  <c r="D21" i="32"/>
  <c r="E21" i="32"/>
  <c r="H21" i="32"/>
  <c r="D59" i="32"/>
  <c r="E59" i="32"/>
  <c r="H59" i="32"/>
  <c r="D61" i="32"/>
  <c r="E61" i="32"/>
  <c r="H61" i="32"/>
  <c r="D88" i="32"/>
  <c r="E88" i="32"/>
  <c r="H88" i="32"/>
  <c r="D86" i="32"/>
  <c r="E86" i="32"/>
  <c r="H86" i="32"/>
  <c r="D102" i="32"/>
  <c r="E102" i="32"/>
  <c r="H102" i="32"/>
  <c r="D103" i="32"/>
  <c r="E103" i="32"/>
  <c r="H103" i="32"/>
  <c r="D106" i="32"/>
  <c r="E106" i="32"/>
  <c r="H106" i="32"/>
  <c r="D111" i="32"/>
  <c r="E111" i="32"/>
  <c r="H111" i="32"/>
  <c r="D114" i="32"/>
  <c r="E114" i="32"/>
  <c r="H114" i="32"/>
  <c r="D22" i="32"/>
  <c r="E22" i="32"/>
  <c r="H22" i="32"/>
  <c r="D23" i="32"/>
  <c r="E23" i="32"/>
  <c r="H23" i="32"/>
  <c r="D24" i="32"/>
  <c r="E24" i="32"/>
  <c r="H24" i="32"/>
  <c r="D52" i="32"/>
  <c r="E52" i="32"/>
  <c r="H52" i="32"/>
  <c r="D65" i="32"/>
  <c r="E65" i="32"/>
  <c r="H65" i="32"/>
  <c r="D54" i="32"/>
  <c r="E54" i="32"/>
  <c r="H54" i="32"/>
  <c r="D56" i="32"/>
  <c r="E56" i="32"/>
  <c r="H56" i="32"/>
  <c r="D57" i="32"/>
  <c r="E57" i="32"/>
  <c r="H57" i="32"/>
  <c r="D58" i="32"/>
  <c r="E58" i="32"/>
  <c r="H58" i="32"/>
  <c r="D109" i="32"/>
  <c r="E109" i="32"/>
  <c r="H109" i="32"/>
  <c r="D53" i="32"/>
  <c r="E53" i="32"/>
  <c r="H53" i="32"/>
  <c r="D55" i="32"/>
  <c r="E55" i="32"/>
  <c r="H55" i="32"/>
  <c r="D95" i="32"/>
  <c r="E95" i="32"/>
  <c r="H95" i="32"/>
  <c r="D96" i="32"/>
  <c r="E96" i="32"/>
  <c r="H96" i="32"/>
  <c r="D97" i="32"/>
  <c r="E97" i="32"/>
  <c r="H97" i="32"/>
  <c r="D99" i="32"/>
  <c r="E99" i="32"/>
  <c r="H99" i="32"/>
  <c r="D98" i="32"/>
  <c r="E98" i="32"/>
  <c r="H98" i="32"/>
  <c r="D89" i="32"/>
  <c r="E89" i="32"/>
  <c r="H89" i="32"/>
  <c r="D49" i="32"/>
  <c r="E49" i="32"/>
  <c r="H49" i="32"/>
  <c r="D46" i="32"/>
  <c r="E46" i="32"/>
  <c r="H46" i="32"/>
  <c r="D42" i="32"/>
  <c r="E42" i="32"/>
  <c r="H42" i="32"/>
  <c r="D44" i="32"/>
  <c r="E44" i="32"/>
  <c r="H44" i="32"/>
  <c r="D43" i="32"/>
  <c r="E43" i="32"/>
  <c r="H43" i="32"/>
  <c r="D48" i="32"/>
  <c r="E48" i="32"/>
  <c r="H48" i="32"/>
  <c r="D47" i="32"/>
  <c r="E47" i="32"/>
  <c r="H47" i="32"/>
  <c r="D45" i="32"/>
  <c r="E45" i="32"/>
  <c r="H45" i="32"/>
  <c r="D41" i="32"/>
  <c r="E41" i="32"/>
  <c r="H41" i="32"/>
  <c r="D51" i="32"/>
  <c r="E51" i="32"/>
  <c r="H51" i="32"/>
  <c r="D50" i="32"/>
  <c r="E50" i="32"/>
  <c r="H50" i="32"/>
  <c r="H14" i="32"/>
  <c r="H19" i="32"/>
  <c r="D12" i="32"/>
  <c r="E12" i="32"/>
  <c r="H12" i="32"/>
  <c r="D17" i="32"/>
  <c r="E17" i="32"/>
  <c r="H17" i="32"/>
  <c r="H13" i="32"/>
  <c r="H18" i="32"/>
  <c r="D60" i="32"/>
  <c r="E60" i="32"/>
  <c r="H60" i="32"/>
  <c r="D62" i="32"/>
  <c r="E62" i="32"/>
  <c r="H62" i="32"/>
  <c r="D100" i="32"/>
  <c r="E100" i="32"/>
  <c r="H100" i="32"/>
  <c r="D67" i="32"/>
  <c r="E67" i="32"/>
  <c r="H67" i="32"/>
  <c r="D87" i="32"/>
  <c r="E87" i="32"/>
  <c r="H87" i="32"/>
  <c r="D101" i="32"/>
  <c r="E101" i="32"/>
  <c r="H101" i="32"/>
  <c r="D105" i="32"/>
  <c r="E105" i="32"/>
  <c r="H105" i="32"/>
  <c r="D112" i="32"/>
  <c r="E112" i="32"/>
  <c r="H112" i="32"/>
  <c r="D113" i="32"/>
  <c r="E113" i="32"/>
  <c r="H113" i="32"/>
  <c r="B92" i="32"/>
  <c r="D92" i="32"/>
  <c r="E92" i="32"/>
  <c r="H92" i="32"/>
  <c r="D104" i="32"/>
  <c r="E104" i="32"/>
  <c r="H104" i="32"/>
  <c r="H115" i="32"/>
  <c r="H110" i="32"/>
  <c r="D64" i="32"/>
  <c r="E64" i="32"/>
  <c r="H64" i="32"/>
  <c r="B5" i="32"/>
  <c r="D5" i="32"/>
  <c r="E5" i="32"/>
  <c r="H5" i="32"/>
  <c r="D63" i="32"/>
  <c r="E63" i="32"/>
  <c r="H63" i="32"/>
  <c r="H6" i="32"/>
  <c r="H8" i="32"/>
  <c r="H7" i="32"/>
  <c r="H9" i="32"/>
  <c r="H78" i="32"/>
  <c r="H77" i="32"/>
  <c r="D66" i="32"/>
  <c r="E66" i="32"/>
  <c r="H66" i="32"/>
  <c r="U10" i="3" l="1"/>
  <c r="N58" i="31" l="1"/>
  <c r="AB10" i="3" l="1"/>
  <c r="V10" i="3"/>
  <c r="AA10" i="3" l="1"/>
  <c r="P10" i="3"/>
  <c r="W10" i="3" l="1"/>
  <c r="X10" i="3" s="1"/>
  <c r="Z10" i="3" s="1"/>
  <c r="Y10" i="3"/>
  <c r="N89" i="27"/>
  <c r="M89" i="27"/>
  <c r="J88" i="27"/>
  <c r="I88" i="27"/>
  <c r="N79" i="27"/>
  <c r="M79" i="27"/>
  <c r="J79" i="27"/>
  <c r="I79" i="27"/>
  <c r="N74" i="27"/>
  <c r="M74" i="27"/>
  <c r="J74" i="27"/>
  <c r="I74" i="27"/>
  <c r="N68" i="27"/>
  <c r="M68" i="27"/>
  <c r="J68" i="27"/>
  <c r="I68" i="27"/>
  <c r="J46" i="27"/>
  <c r="J35" i="27"/>
  <c r="I35" i="27"/>
  <c r="M94" i="27" l="1"/>
  <c r="N94" i="27"/>
  <c r="U20" i="3" l="1"/>
  <c r="J46" i="19" l="1"/>
  <c r="R8" i="3" l="1"/>
  <c r="R7" i="3"/>
  <c r="R6" i="3"/>
  <c r="R108" i="3" l="1"/>
  <c r="AC107" i="3"/>
  <c r="AB107" i="3"/>
  <c r="V107" i="3"/>
  <c r="R107" i="3"/>
  <c r="P107" i="3"/>
  <c r="Y107" i="3" s="1"/>
  <c r="AC94" i="3"/>
  <c r="AB94" i="3"/>
  <c r="V94" i="3"/>
  <c r="R94" i="3"/>
  <c r="P94" i="3"/>
  <c r="W94" i="3" s="1"/>
  <c r="X94" i="3" s="1"/>
  <c r="Z94" i="3" s="1"/>
  <c r="AC93" i="3"/>
  <c r="AB93" i="3"/>
  <c r="V93" i="3"/>
  <c r="R93" i="3"/>
  <c r="P93" i="3"/>
  <c r="U21" i="3"/>
  <c r="W107" i="3" l="1"/>
  <c r="X107" i="3" s="1"/>
  <c r="Z107" i="3" s="1"/>
  <c r="AD107" i="3"/>
  <c r="Y94" i="3"/>
  <c r="W93" i="3"/>
  <c r="X93" i="3" s="1"/>
  <c r="Z93" i="3" s="1"/>
  <c r="AD93" i="3"/>
  <c r="AD94" i="3"/>
  <c r="Y93" i="3"/>
  <c r="V23" i="3" l="1"/>
  <c r="W23" i="3"/>
  <c r="X23" i="3" s="1"/>
  <c r="Z23" i="3" s="1"/>
  <c r="Y23" i="3"/>
  <c r="AD23" i="3"/>
  <c r="AA23" i="3"/>
  <c r="AC21" i="3" l="1"/>
  <c r="AB21" i="3"/>
  <c r="V21" i="3"/>
  <c r="AA21" i="3"/>
  <c r="R21" i="3"/>
  <c r="P21" i="3"/>
  <c r="Y21" i="3" s="1"/>
  <c r="P22" i="3"/>
  <c r="Y22" i="3" s="1"/>
  <c r="AC22" i="3"/>
  <c r="AB22" i="3"/>
  <c r="R22" i="3"/>
  <c r="AD21" i="3" l="1"/>
  <c r="AA22" i="3"/>
  <c r="W21" i="3"/>
  <c r="X21" i="3" s="1"/>
  <c r="Z21" i="3" s="1"/>
  <c r="AD22" i="3"/>
  <c r="W22" i="3"/>
  <c r="X22" i="3" s="1"/>
  <c r="Z22" i="3" s="1"/>
  <c r="V22" i="3"/>
  <c r="N89" i="19" l="1"/>
  <c r="M89" i="19"/>
  <c r="M68" i="19"/>
  <c r="M74" i="19"/>
  <c r="N79" i="19"/>
  <c r="M79" i="19"/>
  <c r="N74" i="19"/>
  <c r="N68" i="19"/>
  <c r="M94" i="19" l="1"/>
  <c r="N94" i="19"/>
  <c r="P20" i="3" l="1"/>
  <c r="AC20" i="3"/>
  <c r="AB20" i="3"/>
  <c r="V20" i="3"/>
  <c r="AA20" i="3"/>
  <c r="R20" i="3"/>
  <c r="T39" i="3"/>
  <c r="T38" i="3"/>
  <c r="T32" i="3"/>
  <c r="T31" i="3"/>
  <c r="T30" i="3"/>
  <c r="T29" i="3"/>
  <c r="T5" i="3"/>
  <c r="T4" i="3"/>
  <c r="T3" i="3"/>
  <c r="Y20" i="3" l="1"/>
  <c r="W20" i="3"/>
  <c r="X20" i="3" s="1"/>
  <c r="Z20" i="3" s="1"/>
  <c r="AD20" i="3"/>
  <c r="U30" i="3"/>
  <c r="J79" i="19" l="1"/>
  <c r="J68" i="19"/>
  <c r="I68" i="19"/>
  <c r="J74" i="19"/>
  <c r="I74" i="19"/>
  <c r="I79" i="19"/>
  <c r="J88" i="19"/>
  <c r="I88" i="19"/>
  <c r="AB106" i="3" l="1"/>
  <c r="R106" i="3"/>
  <c r="P106" i="3"/>
  <c r="Y106" i="3" s="1"/>
  <c r="W106" i="3" l="1"/>
  <c r="X106" i="3" s="1"/>
  <c r="Z106" i="3" s="1"/>
  <c r="AD106" i="3"/>
  <c r="V106" i="3"/>
  <c r="U18" i="3" l="1"/>
  <c r="U19" i="3"/>
  <c r="P18" i="3"/>
  <c r="T34" i="3" l="1"/>
  <c r="U29" i="3"/>
  <c r="P29" i="3" l="1"/>
  <c r="Y29" i="3" s="1"/>
  <c r="AC29" i="3"/>
  <c r="AB29" i="3"/>
  <c r="V29" i="3"/>
  <c r="R29" i="3"/>
  <c r="AD29" i="3" l="1"/>
  <c r="AA29" i="3"/>
  <c r="W29" i="3"/>
  <c r="X29" i="3" s="1"/>
  <c r="Z29" i="3" s="1"/>
  <c r="J30" i="22"/>
  <c r="I30" i="22"/>
  <c r="P30" i="3" l="1"/>
  <c r="P33" i="3" l="1"/>
  <c r="T25" i="3" l="1"/>
  <c r="Y34" i="3" l="1"/>
  <c r="AC34" i="3"/>
  <c r="AB34" i="3"/>
  <c r="V34" i="3"/>
  <c r="R34" i="3"/>
  <c r="AA34" i="3" l="1"/>
  <c r="AD34" i="3"/>
  <c r="W34" i="3"/>
  <c r="X34" i="3" s="1"/>
  <c r="Z34" i="3" s="1"/>
  <c r="U16" i="3" l="1"/>
  <c r="AA30" i="3"/>
  <c r="Y30" i="3"/>
  <c r="AC30" i="3"/>
  <c r="AB30" i="3"/>
  <c r="V30" i="3"/>
  <c r="R30" i="3"/>
  <c r="AD30" i="3" l="1"/>
  <c r="W30" i="3"/>
  <c r="X30" i="3" s="1"/>
  <c r="Z30" i="3" s="1"/>
  <c r="J35" i="19"/>
  <c r="I35" i="19"/>
  <c r="P16" i="3" l="1"/>
  <c r="W16" i="3" s="1"/>
  <c r="Y16" i="3" l="1"/>
  <c r="AC16" i="3"/>
  <c r="AB16" i="3"/>
  <c r="V16" i="3"/>
  <c r="AA16" i="3"/>
  <c r="R16" i="3"/>
  <c r="AD16" i="3" l="1"/>
  <c r="X16" i="3"/>
  <c r="Z16" i="3" s="1"/>
  <c r="AC19" i="3" l="1"/>
  <c r="AB19" i="3"/>
  <c r="R19" i="3"/>
  <c r="P19" i="3"/>
  <c r="AC18" i="3"/>
  <c r="AB18" i="3"/>
  <c r="V18" i="3"/>
  <c r="R18" i="3"/>
  <c r="Y18" i="3" l="1"/>
  <c r="AA18" i="3"/>
  <c r="Y19" i="3"/>
  <c r="AA19" i="3"/>
  <c r="W19" i="3"/>
  <c r="X19" i="3" s="1"/>
  <c r="Z19" i="3" s="1"/>
  <c r="AD19" i="3"/>
  <c r="V19" i="3"/>
  <c r="AD18" i="3"/>
  <c r="W18" i="3"/>
  <c r="X18" i="3" s="1"/>
  <c r="Z18" i="3" s="1"/>
  <c r="AC35" i="3" l="1"/>
  <c r="AB35" i="3"/>
  <c r="V35" i="3"/>
  <c r="R35" i="3"/>
  <c r="P35" i="3"/>
  <c r="AC33" i="3"/>
  <c r="AB33" i="3"/>
  <c r="V33" i="3"/>
  <c r="R33" i="3"/>
  <c r="Y33" i="3"/>
  <c r="AC36" i="3"/>
  <c r="AB36" i="3"/>
  <c r="V36" i="3"/>
  <c r="R36" i="3"/>
  <c r="P36" i="3"/>
  <c r="AC37" i="3"/>
  <c r="AB37" i="3"/>
  <c r="V37" i="3"/>
  <c r="R37" i="3"/>
  <c r="P37" i="3"/>
  <c r="AD35" i="3" l="1"/>
  <c r="W35" i="3"/>
  <c r="X35" i="3" s="1"/>
  <c r="Z35" i="3" s="1"/>
  <c r="AD33" i="3"/>
  <c r="Y35" i="3"/>
  <c r="AD36" i="3"/>
  <c r="W33" i="3"/>
  <c r="X33" i="3" s="1"/>
  <c r="Z33" i="3" s="1"/>
  <c r="W37" i="3"/>
  <c r="X37" i="3" s="1"/>
  <c r="Z37" i="3" s="1"/>
  <c r="W36" i="3"/>
  <c r="X36" i="3" s="1"/>
  <c r="Z36" i="3" s="1"/>
  <c r="AD37" i="3"/>
  <c r="Y36" i="3"/>
  <c r="Y37" i="3"/>
  <c r="P31" i="3" l="1"/>
  <c r="P17" i="3"/>
  <c r="AA119" i="3" l="1"/>
  <c r="AA118" i="3"/>
  <c r="AA117" i="3"/>
  <c r="AA116" i="3"/>
  <c r="AA115" i="3"/>
  <c r="AA114" i="3"/>
  <c r="AA113" i="3"/>
  <c r="AA112" i="3"/>
  <c r="AA103" i="3"/>
  <c r="AA102" i="3"/>
  <c r="AA101" i="3"/>
  <c r="AA100" i="3"/>
  <c r="AA99" i="3"/>
  <c r="AA50" i="3"/>
  <c r="AA49" i="3"/>
  <c r="AA48" i="3"/>
  <c r="AA47" i="3"/>
  <c r="AA46" i="3"/>
  <c r="AA45" i="3"/>
  <c r="AA25" i="3"/>
  <c r="AA39" i="3"/>
  <c r="AA38" i="3"/>
  <c r="AA32" i="3"/>
  <c r="AA31" i="3"/>
  <c r="AA4" i="3"/>
  <c r="AA5" i="3"/>
  <c r="AA11" i="3"/>
  <c r="AA12" i="3"/>
  <c r="AA13" i="3"/>
  <c r="AA17" i="3"/>
  <c r="AA3" i="3" l="1"/>
  <c r="H21" i="14"/>
  <c r="AC3" i="3" l="1"/>
  <c r="AB90" i="3" l="1"/>
  <c r="AD90" i="3" s="1"/>
  <c r="V90" i="3"/>
  <c r="P90" i="3"/>
  <c r="W90" i="3" s="1"/>
  <c r="X90" i="3" s="1"/>
  <c r="Z90" i="3" s="1"/>
  <c r="AB89" i="3"/>
  <c r="V89" i="3"/>
  <c r="P89" i="3"/>
  <c r="R120" i="3"/>
  <c r="Y90" i="3" l="1"/>
  <c r="AD89" i="3"/>
  <c r="W89" i="3"/>
  <c r="X89" i="3" s="1"/>
  <c r="Z89" i="3" s="1"/>
  <c r="Y89" i="3"/>
  <c r="V122" i="3" l="1"/>
  <c r="U32" i="3"/>
  <c r="U31" i="3"/>
  <c r="U4" i="3"/>
  <c r="U5" i="3"/>
  <c r="U11" i="3"/>
  <c r="U12" i="3"/>
  <c r="U13" i="3"/>
  <c r="U17" i="3"/>
  <c r="U3" i="3"/>
  <c r="U124" i="3" l="1"/>
  <c r="U127" i="3"/>
  <c r="V3" i="3"/>
  <c r="P3" i="3"/>
  <c r="Y3" i="3" l="1"/>
  <c r="W3" i="3"/>
  <c r="AC122" i="3"/>
  <c r="AB122" i="3"/>
  <c r="AD112" i="3"/>
  <c r="AD113" i="3"/>
  <c r="AD114" i="3"/>
  <c r="AD115" i="3"/>
  <c r="AD116" i="3"/>
  <c r="AD117" i="3"/>
  <c r="AD118" i="3"/>
  <c r="AD119" i="3"/>
  <c r="AB4" i="3"/>
  <c r="AC4" i="3"/>
  <c r="AB5" i="3"/>
  <c r="AC5" i="3"/>
  <c r="AB11" i="3"/>
  <c r="AC11" i="3"/>
  <c r="AB12" i="3"/>
  <c r="AC12" i="3"/>
  <c r="AB13" i="3"/>
  <c r="AC13" i="3"/>
  <c r="AB17" i="3"/>
  <c r="AC17" i="3"/>
  <c r="AB25" i="3"/>
  <c r="AC25" i="3"/>
  <c r="AB31" i="3"/>
  <c r="AC31" i="3"/>
  <c r="AB32" i="3"/>
  <c r="AC32" i="3"/>
  <c r="AB38" i="3"/>
  <c r="AC38" i="3"/>
  <c r="AB39" i="3"/>
  <c r="AC39" i="3"/>
  <c r="AC40" i="3"/>
  <c r="AB41" i="3"/>
  <c r="AC41" i="3"/>
  <c r="AB42" i="3"/>
  <c r="AC42" i="3"/>
  <c r="AB43" i="3"/>
  <c r="AC43" i="3"/>
  <c r="AB44" i="3"/>
  <c r="AC44" i="3"/>
  <c r="AB45" i="3"/>
  <c r="AC45" i="3"/>
  <c r="AB46" i="3"/>
  <c r="AC46" i="3"/>
  <c r="AB47" i="3"/>
  <c r="AC47" i="3"/>
  <c r="AB48" i="3"/>
  <c r="AC48" i="3"/>
  <c r="AB49" i="3"/>
  <c r="AC49" i="3"/>
  <c r="AB50" i="3"/>
  <c r="AC50" i="3"/>
  <c r="AB51" i="3"/>
  <c r="AC51" i="3"/>
  <c r="AB52" i="3"/>
  <c r="AC52" i="3"/>
  <c r="AB53" i="3"/>
  <c r="AC53" i="3"/>
  <c r="AB54" i="3"/>
  <c r="AC54" i="3"/>
  <c r="AB55" i="3"/>
  <c r="AC55" i="3"/>
  <c r="AB56" i="3"/>
  <c r="AC56" i="3"/>
  <c r="AB57" i="3"/>
  <c r="AC57" i="3"/>
  <c r="AB58" i="3"/>
  <c r="AC58" i="3"/>
  <c r="AB59" i="3"/>
  <c r="AB60" i="3"/>
  <c r="AC60" i="3"/>
  <c r="AB61" i="3"/>
  <c r="AC61" i="3"/>
  <c r="AB62" i="3"/>
  <c r="AC62" i="3"/>
  <c r="AB63" i="3"/>
  <c r="AC63" i="3"/>
  <c r="AB64" i="3"/>
  <c r="AC64" i="3"/>
  <c r="AB65" i="3"/>
  <c r="AC65" i="3"/>
  <c r="AB66" i="3"/>
  <c r="AC66" i="3"/>
  <c r="AB67" i="3"/>
  <c r="AC67" i="3"/>
  <c r="AB68" i="3"/>
  <c r="AC68" i="3"/>
  <c r="AB69" i="3"/>
  <c r="AC69" i="3"/>
  <c r="AB70" i="3"/>
  <c r="AC70" i="3"/>
  <c r="AB71" i="3"/>
  <c r="AC71" i="3"/>
  <c r="AB72" i="3"/>
  <c r="AC72" i="3"/>
  <c r="AB73" i="3"/>
  <c r="AC73" i="3"/>
  <c r="AB74" i="3"/>
  <c r="AC74" i="3"/>
  <c r="AB75" i="3"/>
  <c r="AC75" i="3"/>
  <c r="AB76" i="3"/>
  <c r="AC76" i="3"/>
  <c r="AB77" i="3"/>
  <c r="AC77" i="3"/>
  <c r="AB78" i="3"/>
  <c r="AC78" i="3"/>
  <c r="AB79" i="3"/>
  <c r="AC79" i="3"/>
  <c r="AB80" i="3"/>
  <c r="AC80" i="3"/>
  <c r="AB81" i="3"/>
  <c r="AC81" i="3"/>
  <c r="AB82" i="3"/>
  <c r="AC82" i="3"/>
  <c r="AB83" i="3"/>
  <c r="AC83" i="3"/>
  <c r="AB84" i="3"/>
  <c r="AC84" i="3"/>
  <c r="AB85" i="3"/>
  <c r="AC85" i="3"/>
  <c r="AB86" i="3"/>
  <c r="AC86" i="3"/>
  <c r="AB87" i="3"/>
  <c r="AC87" i="3"/>
  <c r="AB88" i="3"/>
  <c r="AC88" i="3"/>
  <c r="AB91" i="3"/>
  <c r="AC91" i="3"/>
  <c r="AB92" i="3"/>
  <c r="AC92" i="3"/>
  <c r="AB95" i="3"/>
  <c r="AC95" i="3"/>
  <c r="AB96" i="3"/>
  <c r="AC96" i="3"/>
  <c r="AB97" i="3"/>
  <c r="AC97" i="3"/>
  <c r="AB98" i="3"/>
  <c r="AC98" i="3"/>
  <c r="AB99" i="3"/>
  <c r="AC99" i="3"/>
  <c r="AB100" i="3"/>
  <c r="AC100" i="3"/>
  <c r="AB101" i="3"/>
  <c r="AC101" i="3"/>
  <c r="AB102" i="3"/>
  <c r="AC102" i="3"/>
  <c r="AB103" i="3"/>
  <c r="AB104" i="3"/>
  <c r="AC104" i="3"/>
  <c r="AB105" i="3"/>
  <c r="AC105" i="3"/>
  <c r="AB109" i="3"/>
  <c r="AC109" i="3"/>
  <c r="AB110" i="3"/>
  <c r="AC110" i="3"/>
  <c r="AB111" i="3"/>
  <c r="AC111" i="3"/>
  <c r="AB3" i="3"/>
  <c r="AD3" i="3" s="1"/>
  <c r="AD100" i="3" l="1"/>
  <c r="AD98" i="3"/>
  <c r="AD111" i="3"/>
  <c r="AD109" i="3"/>
  <c r="AD104" i="3"/>
  <c r="AD102" i="3"/>
  <c r="AD96" i="3"/>
  <c r="AD92" i="3"/>
  <c r="AD88" i="3"/>
  <c r="AD86" i="3"/>
  <c r="AD84" i="3"/>
  <c r="AD82" i="3"/>
  <c r="AD80" i="3"/>
  <c r="AD78" i="3"/>
  <c r="AD76" i="3"/>
  <c r="AD74" i="3"/>
  <c r="AD72" i="3"/>
  <c r="AD70" i="3"/>
  <c r="AD68" i="3"/>
  <c r="AD66" i="3"/>
  <c r="AD64" i="3"/>
  <c r="AD62" i="3"/>
  <c r="AD60" i="3"/>
  <c r="AD58" i="3"/>
  <c r="AD56" i="3"/>
  <c r="AD54" i="3"/>
  <c r="AD52" i="3"/>
  <c r="AD50" i="3"/>
  <c r="AD48" i="3"/>
  <c r="AD46" i="3"/>
  <c r="AD44" i="3"/>
  <c r="AD42" i="3"/>
  <c r="AD40" i="3"/>
  <c r="AD38" i="3"/>
  <c r="AD31" i="3"/>
  <c r="AD25" i="3"/>
  <c r="AD12" i="3"/>
  <c r="AD4" i="3"/>
  <c r="AD110" i="3"/>
  <c r="AD105" i="3"/>
  <c r="AD101" i="3"/>
  <c r="AD99" i="3"/>
  <c r="AD97" i="3"/>
  <c r="AD95" i="3"/>
  <c r="AD91" i="3"/>
  <c r="AD87" i="3"/>
  <c r="AD85" i="3"/>
  <c r="AD83" i="3"/>
  <c r="AD81" i="3"/>
  <c r="AD79" i="3"/>
  <c r="AD77" i="3"/>
  <c r="AD75" i="3"/>
  <c r="AD73" i="3"/>
  <c r="AD71" i="3"/>
  <c r="AD69" i="3"/>
  <c r="AD67" i="3"/>
  <c r="AD65" i="3"/>
  <c r="AD63" i="3"/>
  <c r="AD61" i="3"/>
  <c r="AD59" i="3"/>
  <c r="AD57" i="3"/>
  <c r="AD55" i="3"/>
  <c r="AD53" i="3"/>
  <c r="AD51" i="3"/>
  <c r="AD49" i="3"/>
  <c r="AD47" i="3"/>
  <c r="AD45" i="3"/>
  <c r="AD43" i="3"/>
  <c r="AD41" i="3"/>
  <c r="AD39" i="3"/>
  <c r="AD32" i="3"/>
  <c r="AD17" i="3"/>
  <c r="AD13" i="3"/>
  <c r="AD11" i="3"/>
  <c r="AD5" i="3"/>
  <c r="AD122" i="3"/>
  <c r="O25" i="3" l="1"/>
  <c r="W122" i="3"/>
  <c r="X122" i="3" s="1"/>
  <c r="R122" i="3"/>
  <c r="P110" i="3"/>
  <c r="P105" i="3"/>
  <c r="P104" i="3"/>
  <c r="P103" i="3"/>
  <c r="P102" i="3"/>
  <c r="P101" i="3"/>
  <c r="P99" i="3"/>
  <c r="P98" i="3"/>
  <c r="P97" i="3"/>
  <c r="P96" i="3"/>
  <c r="P95" i="3"/>
  <c r="P92" i="3"/>
  <c r="Y92" i="3" s="1"/>
  <c r="P91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39" i="3"/>
  <c r="P38" i="3"/>
  <c r="P32" i="3"/>
  <c r="P4" i="3"/>
  <c r="P5" i="3"/>
  <c r="P11" i="3"/>
  <c r="P12" i="3"/>
  <c r="P13" i="3"/>
  <c r="E22" i="6"/>
  <c r="Y122" i="3" l="1"/>
  <c r="X3" i="3"/>
  <c r="R121" i="3"/>
  <c r="Z3" i="3" l="1"/>
  <c r="V4" i="3"/>
  <c r="V5" i="3"/>
  <c r="V11" i="3"/>
  <c r="V12" i="3"/>
  <c r="V13" i="3"/>
  <c r="V17" i="3"/>
  <c r="V25" i="3"/>
  <c r="V31" i="3"/>
  <c r="V32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91" i="3"/>
  <c r="V92" i="3"/>
  <c r="V95" i="3"/>
  <c r="V96" i="3"/>
  <c r="V97" i="3"/>
  <c r="V98" i="3"/>
  <c r="V99" i="3"/>
  <c r="V100" i="3"/>
  <c r="V101" i="3"/>
  <c r="V102" i="3"/>
  <c r="V103" i="3"/>
  <c r="V104" i="3"/>
  <c r="V105" i="3"/>
  <c r="V109" i="3"/>
  <c r="V110" i="3"/>
  <c r="V111" i="3"/>
  <c r="V112" i="3"/>
  <c r="V113" i="3"/>
  <c r="V114" i="3"/>
  <c r="V115" i="3"/>
  <c r="V116" i="3"/>
  <c r="V117" i="3"/>
  <c r="V118" i="3"/>
  <c r="V119" i="3"/>
  <c r="Y31" i="3"/>
  <c r="Y32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91" i="3"/>
  <c r="Y95" i="3"/>
  <c r="Y96" i="3"/>
  <c r="Y97" i="3"/>
  <c r="Y98" i="3"/>
  <c r="Y99" i="3"/>
  <c r="Y100" i="3"/>
  <c r="Y101" i="3"/>
  <c r="Y102" i="3"/>
  <c r="Y103" i="3"/>
  <c r="Y104" i="3"/>
  <c r="Y105" i="3"/>
  <c r="Y109" i="3"/>
  <c r="Y110" i="3"/>
  <c r="Y111" i="3"/>
  <c r="Y112" i="3"/>
  <c r="Y113" i="3"/>
  <c r="P114" i="3"/>
  <c r="P115" i="3"/>
  <c r="Y115" i="3" s="1"/>
  <c r="P116" i="3"/>
  <c r="Y116" i="3" s="1"/>
  <c r="P117" i="3"/>
  <c r="Y117" i="3" s="1"/>
  <c r="Y25" i="3"/>
  <c r="W52" i="3"/>
  <c r="R100" i="3"/>
  <c r="R99" i="3"/>
  <c r="Y17" i="3"/>
  <c r="Y13" i="3"/>
  <c r="Y12" i="3"/>
  <c r="Y11" i="3"/>
  <c r="Y5" i="3"/>
  <c r="Y4" i="3"/>
  <c r="P124" i="3" l="1"/>
  <c r="V124" i="3"/>
  <c r="Y114" i="3"/>
  <c r="Y118" i="3"/>
  <c r="Y119" i="3"/>
  <c r="Y124" i="3" l="1"/>
  <c r="T128" i="3"/>
  <c r="H25" i="3"/>
  <c r="H122" i="3" l="1"/>
  <c r="G122" i="3"/>
  <c r="H109" i="3"/>
  <c r="R119" i="3" l="1"/>
  <c r="R118" i="3"/>
  <c r="R117" i="3"/>
  <c r="R116" i="3"/>
  <c r="R115" i="3"/>
  <c r="R114" i="3"/>
  <c r="R113" i="3"/>
  <c r="R112" i="3"/>
  <c r="R111" i="3"/>
  <c r="R110" i="3"/>
  <c r="R109" i="3"/>
  <c r="R105" i="3"/>
  <c r="R104" i="3"/>
  <c r="R103" i="3"/>
  <c r="R102" i="3"/>
  <c r="R101" i="3"/>
  <c r="R98" i="3"/>
  <c r="R97" i="3"/>
  <c r="R96" i="3"/>
  <c r="R95" i="3"/>
  <c r="R92" i="3"/>
  <c r="R91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2" i="3"/>
  <c r="R31" i="3"/>
  <c r="R28" i="3"/>
  <c r="R27" i="3"/>
  <c r="R26" i="3"/>
  <c r="R25" i="3"/>
  <c r="R17" i="3"/>
  <c r="R13" i="3"/>
  <c r="R12" i="3"/>
  <c r="R11" i="3"/>
  <c r="R9" i="3"/>
  <c r="R5" i="3"/>
  <c r="R4" i="3"/>
  <c r="R3" i="3"/>
  <c r="S26" i="3" l="1"/>
  <c r="S9" i="3" l="1"/>
  <c r="S28" i="3"/>
  <c r="S27" i="3"/>
  <c r="S31" i="3"/>
  <c r="S17" i="3"/>
  <c r="S32" i="3"/>
  <c r="S38" i="3"/>
  <c r="S13" i="3"/>
  <c r="S12" i="3"/>
  <c r="S11" i="3"/>
  <c r="S39" i="3"/>
  <c r="S5" i="3"/>
  <c r="S4" i="3"/>
  <c r="S3" i="3"/>
  <c r="G100" i="3" l="1"/>
  <c r="H100" i="3"/>
  <c r="G101" i="3"/>
  <c r="H101" i="3"/>
  <c r="G102" i="3"/>
  <c r="H102" i="3"/>
  <c r="G103" i="3"/>
  <c r="H103" i="3"/>
  <c r="G99" i="3" l="1"/>
  <c r="H99" i="3"/>
  <c r="F122" i="3" l="1"/>
  <c r="F100" i="3"/>
  <c r="Z122" i="3" l="1"/>
  <c r="G4" i="3"/>
  <c r="H4" i="3"/>
  <c r="G5" i="3"/>
  <c r="H5" i="3"/>
  <c r="G9" i="3"/>
  <c r="H9" i="3"/>
  <c r="G11" i="3"/>
  <c r="H11" i="3"/>
  <c r="G12" i="3"/>
  <c r="H12" i="3"/>
  <c r="G13" i="3"/>
  <c r="H13" i="3"/>
  <c r="G17" i="3"/>
  <c r="H17" i="3"/>
  <c r="G25" i="3"/>
  <c r="G26" i="3"/>
  <c r="H26" i="3"/>
  <c r="G27" i="3"/>
  <c r="H27" i="3"/>
  <c r="G28" i="3"/>
  <c r="H28" i="3"/>
  <c r="G31" i="3"/>
  <c r="H31" i="3"/>
  <c r="G32" i="3"/>
  <c r="H32" i="3"/>
  <c r="G38" i="3"/>
  <c r="H38" i="3"/>
  <c r="G39" i="3"/>
  <c r="H39" i="3"/>
  <c r="H3" i="3"/>
  <c r="G3" i="3"/>
  <c r="G110" i="3" l="1"/>
  <c r="H110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105" i="3"/>
  <c r="H105" i="3"/>
  <c r="G109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91" i="3"/>
  <c r="H91" i="3"/>
  <c r="G92" i="3"/>
  <c r="H92" i="3"/>
  <c r="G95" i="3"/>
  <c r="H95" i="3"/>
  <c r="G96" i="3"/>
  <c r="H96" i="3"/>
  <c r="G97" i="3"/>
  <c r="H97" i="3"/>
  <c r="G98" i="3"/>
  <c r="H98" i="3"/>
  <c r="G111" i="3"/>
  <c r="H111" i="3"/>
  <c r="G104" i="3"/>
  <c r="H104" i="3"/>
  <c r="C110" i="3"/>
  <c r="F110" i="3"/>
  <c r="W39" i="3" l="1"/>
  <c r="X39" i="3" s="1"/>
  <c r="Z39" i="3" s="1"/>
  <c r="W119" i="3"/>
  <c r="X119" i="3" s="1"/>
  <c r="Z119" i="3" s="1"/>
  <c r="W115" i="3"/>
  <c r="X115" i="3" s="1"/>
  <c r="Z115" i="3" s="1"/>
  <c r="W103" i="3"/>
  <c r="X103" i="3" s="1"/>
  <c r="Z103" i="3" s="1"/>
  <c r="W99" i="3"/>
  <c r="X99" i="3" s="1"/>
  <c r="Z99" i="3" s="1"/>
  <c r="W11" i="3"/>
  <c r="X11" i="3" s="1"/>
  <c r="Z11" i="3" s="1"/>
  <c r="W5" i="3"/>
  <c r="X5" i="3" s="1"/>
  <c r="Z5" i="3" s="1"/>
  <c r="W98" i="3"/>
  <c r="X98" i="3" s="1"/>
  <c r="Z98" i="3" s="1"/>
  <c r="W92" i="3"/>
  <c r="X92" i="3" s="1"/>
  <c r="Z92" i="3" s="1"/>
  <c r="W86" i="3"/>
  <c r="X86" i="3" s="1"/>
  <c r="Z86" i="3" s="1"/>
  <c r="W82" i="3"/>
  <c r="X82" i="3" s="1"/>
  <c r="Z82" i="3" s="1"/>
  <c r="W78" i="3"/>
  <c r="X78" i="3" s="1"/>
  <c r="Z78" i="3" s="1"/>
  <c r="W76" i="3"/>
  <c r="X76" i="3" s="1"/>
  <c r="Z76" i="3" s="1"/>
  <c r="W72" i="3"/>
  <c r="X72" i="3" s="1"/>
  <c r="Z72" i="3" s="1"/>
  <c r="W68" i="3"/>
  <c r="X68" i="3" s="1"/>
  <c r="Z68" i="3" s="1"/>
  <c r="W64" i="3"/>
  <c r="X64" i="3" s="1"/>
  <c r="Z64" i="3" s="1"/>
  <c r="W60" i="3"/>
  <c r="X60" i="3" s="1"/>
  <c r="Z60" i="3" s="1"/>
  <c r="W56" i="3"/>
  <c r="X56" i="3" s="1"/>
  <c r="Z56" i="3" s="1"/>
  <c r="X52" i="3"/>
  <c r="Z52" i="3" s="1"/>
  <c r="W48" i="3"/>
  <c r="X48" i="3" s="1"/>
  <c r="Z48" i="3" s="1"/>
  <c r="W44" i="3"/>
  <c r="X44" i="3" s="1"/>
  <c r="Z44" i="3" s="1"/>
  <c r="W40" i="3"/>
  <c r="X40" i="3" s="1"/>
  <c r="Z40" i="3" s="1"/>
  <c r="W110" i="3"/>
  <c r="X110" i="3" s="1"/>
  <c r="Z110" i="3" s="1"/>
  <c r="W118" i="3"/>
  <c r="X118" i="3" s="1"/>
  <c r="Z118" i="3" s="1"/>
  <c r="W114" i="3"/>
  <c r="X114" i="3" s="1"/>
  <c r="Z114" i="3" s="1"/>
  <c r="W102" i="3"/>
  <c r="X102" i="3" s="1"/>
  <c r="Z102" i="3" s="1"/>
  <c r="W38" i="3"/>
  <c r="X38" i="3" s="1"/>
  <c r="Z38" i="3" s="1"/>
  <c r="W4" i="3"/>
  <c r="W97" i="3"/>
  <c r="X97" i="3" s="1"/>
  <c r="Z97" i="3" s="1"/>
  <c r="W91" i="3"/>
  <c r="X91" i="3" s="1"/>
  <c r="Z91" i="3" s="1"/>
  <c r="W85" i="3"/>
  <c r="X85" i="3" s="1"/>
  <c r="Z85" i="3" s="1"/>
  <c r="W81" i="3"/>
  <c r="X81" i="3" s="1"/>
  <c r="Z81" i="3" s="1"/>
  <c r="W109" i="3"/>
  <c r="X109" i="3" s="1"/>
  <c r="Z109" i="3" s="1"/>
  <c r="W75" i="3"/>
  <c r="X75" i="3" s="1"/>
  <c r="Z75" i="3" s="1"/>
  <c r="W71" i="3"/>
  <c r="X71" i="3" s="1"/>
  <c r="Z71" i="3" s="1"/>
  <c r="W67" i="3"/>
  <c r="X67" i="3" s="1"/>
  <c r="Z67" i="3" s="1"/>
  <c r="W63" i="3"/>
  <c r="X63" i="3" s="1"/>
  <c r="Z63" i="3" s="1"/>
  <c r="W59" i="3"/>
  <c r="X59" i="3" s="1"/>
  <c r="Z59" i="3" s="1"/>
  <c r="W55" i="3"/>
  <c r="X55" i="3" s="1"/>
  <c r="Z55" i="3" s="1"/>
  <c r="W51" i="3"/>
  <c r="X51" i="3" s="1"/>
  <c r="Z51" i="3" s="1"/>
  <c r="W47" i="3"/>
  <c r="X47" i="3" s="1"/>
  <c r="Z47" i="3" s="1"/>
  <c r="W43" i="3"/>
  <c r="X43" i="3" s="1"/>
  <c r="Z43" i="3" s="1"/>
  <c r="W104" i="3"/>
  <c r="X104" i="3" s="1"/>
  <c r="Z104" i="3" s="1"/>
  <c r="W117" i="3"/>
  <c r="X117" i="3" s="1"/>
  <c r="Z117" i="3" s="1"/>
  <c r="W113" i="3"/>
  <c r="X113" i="3" s="1"/>
  <c r="Z113" i="3" s="1"/>
  <c r="W101" i="3"/>
  <c r="X101" i="3" s="1"/>
  <c r="Z101" i="3" s="1"/>
  <c r="W32" i="3"/>
  <c r="X32" i="3" s="1"/>
  <c r="Z32" i="3" s="1"/>
  <c r="W17" i="3"/>
  <c r="X17" i="3" s="1"/>
  <c r="Z17" i="3" s="1"/>
  <c r="W13" i="3"/>
  <c r="X13" i="3" s="1"/>
  <c r="Z13" i="3" s="1"/>
  <c r="W96" i="3"/>
  <c r="X96" i="3" s="1"/>
  <c r="Z96" i="3" s="1"/>
  <c r="W88" i="3"/>
  <c r="X88" i="3" s="1"/>
  <c r="Z88" i="3" s="1"/>
  <c r="W84" i="3"/>
  <c r="X84" i="3" s="1"/>
  <c r="Z84" i="3" s="1"/>
  <c r="W80" i="3"/>
  <c r="X80" i="3" s="1"/>
  <c r="Z80" i="3" s="1"/>
  <c r="W105" i="3"/>
  <c r="X105" i="3" s="1"/>
  <c r="Z105" i="3" s="1"/>
  <c r="W74" i="3"/>
  <c r="X74" i="3" s="1"/>
  <c r="Z74" i="3" s="1"/>
  <c r="W70" i="3"/>
  <c r="X70" i="3" s="1"/>
  <c r="Z70" i="3" s="1"/>
  <c r="W66" i="3"/>
  <c r="X66" i="3" s="1"/>
  <c r="Z66" i="3" s="1"/>
  <c r="W62" i="3"/>
  <c r="X62" i="3" s="1"/>
  <c r="Z62" i="3" s="1"/>
  <c r="W58" i="3"/>
  <c r="X58" i="3" s="1"/>
  <c r="Z58" i="3" s="1"/>
  <c r="W54" i="3"/>
  <c r="X54" i="3" s="1"/>
  <c r="Z54" i="3" s="1"/>
  <c r="W50" i="3"/>
  <c r="X50" i="3" s="1"/>
  <c r="Z50" i="3" s="1"/>
  <c r="W46" i="3"/>
  <c r="X46" i="3" s="1"/>
  <c r="Z46" i="3" s="1"/>
  <c r="W42" i="3"/>
  <c r="X42" i="3" s="1"/>
  <c r="Z42" i="3" s="1"/>
  <c r="W116" i="3"/>
  <c r="X116" i="3" s="1"/>
  <c r="Z116" i="3" s="1"/>
  <c r="W112" i="3"/>
  <c r="X112" i="3" s="1"/>
  <c r="Z112" i="3" s="1"/>
  <c r="W100" i="3"/>
  <c r="X100" i="3" s="1"/>
  <c r="Z100" i="3" s="1"/>
  <c r="W31" i="3"/>
  <c r="X31" i="3" s="1"/>
  <c r="Z31" i="3" s="1"/>
  <c r="W25" i="3"/>
  <c r="X25" i="3" s="1"/>
  <c r="Z25" i="3" s="1"/>
  <c r="W12" i="3"/>
  <c r="X12" i="3" s="1"/>
  <c r="Z12" i="3" s="1"/>
  <c r="W111" i="3"/>
  <c r="X111" i="3" s="1"/>
  <c r="Z111" i="3" s="1"/>
  <c r="W95" i="3"/>
  <c r="X95" i="3" s="1"/>
  <c r="Z95" i="3" s="1"/>
  <c r="W87" i="3"/>
  <c r="X87" i="3" s="1"/>
  <c r="Z87" i="3" s="1"/>
  <c r="W83" i="3"/>
  <c r="X83" i="3" s="1"/>
  <c r="Z83" i="3" s="1"/>
  <c r="W79" i="3"/>
  <c r="X79" i="3" s="1"/>
  <c r="Z79" i="3" s="1"/>
  <c r="W77" i="3"/>
  <c r="X77" i="3" s="1"/>
  <c r="Z77" i="3" s="1"/>
  <c r="W73" i="3"/>
  <c r="X73" i="3" s="1"/>
  <c r="Z73" i="3" s="1"/>
  <c r="W69" i="3"/>
  <c r="X69" i="3" s="1"/>
  <c r="Z69" i="3" s="1"/>
  <c r="W65" i="3"/>
  <c r="X65" i="3" s="1"/>
  <c r="Z65" i="3" s="1"/>
  <c r="W61" i="3"/>
  <c r="X61" i="3" s="1"/>
  <c r="Z61" i="3" s="1"/>
  <c r="W57" i="3"/>
  <c r="X57" i="3" s="1"/>
  <c r="Z57" i="3" s="1"/>
  <c r="W53" i="3"/>
  <c r="X53" i="3" s="1"/>
  <c r="Z53" i="3" s="1"/>
  <c r="W49" i="3"/>
  <c r="X49" i="3" s="1"/>
  <c r="Z49" i="3" s="1"/>
  <c r="W45" i="3"/>
  <c r="X45" i="3" s="1"/>
  <c r="Z45" i="3" s="1"/>
  <c r="W41" i="3"/>
  <c r="X41" i="3" s="1"/>
  <c r="Z41" i="3" s="1"/>
  <c r="F104" i="3"/>
  <c r="C104" i="3"/>
  <c r="W124" i="3" l="1"/>
  <c r="X4" i="3"/>
  <c r="X124" i="3" s="1"/>
  <c r="J39" i="3"/>
  <c r="I39" i="3"/>
  <c r="F39" i="3"/>
  <c r="C39" i="3"/>
  <c r="Z4" i="3" l="1"/>
  <c r="Z124" i="3" s="1"/>
  <c r="I4" i="3"/>
  <c r="J4" i="3"/>
  <c r="I5" i="3"/>
  <c r="J5" i="3"/>
  <c r="I9" i="3"/>
  <c r="J9" i="3"/>
  <c r="I11" i="3"/>
  <c r="J11" i="3"/>
  <c r="I12" i="3"/>
  <c r="J12" i="3"/>
  <c r="I13" i="3"/>
  <c r="J13" i="3"/>
  <c r="I17" i="3"/>
  <c r="J17" i="3"/>
  <c r="I25" i="3"/>
  <c r="J25" i="3"/>
  <c r="I26" i="3"/>
  <c r="J26" i="3"/>
  <c r="I27" i="3"/>
  <c r="J27" i="3"/>
  <c r="I28" i="3"/>
  <c r="J28" i="3"/>
  <c r="I31" i="3"/>
  <c r="J31" i="3"/>
  <c r="I32" i="3"/>
  <c r="J32" i="3"/>
  <c r="I38" i="3"/>
  <c r="J38" i="3"/>
  <c r="J3" i="3"/>
  <c r="I3" i="3"/>
  <c r="F3" i="3"/>
  <c r="F105" i="3"/>
  <c r="F109" i="3"/>
  <c r="F78" i="3"/>
  <c r="F79" i="3"/>
  <c r="F40" i="3"/>
  <c r="F41" i="3"/>
  <c r="F42" i="3"/>
  <c r="F43" i="3"/>
  <c r="F44" i="3"/>
  <c r="F80" i="3"/>
  <c r="F81" i="3"/>
  <c r="F82" i="3"/>
  <c r="F83" i="3"/>
  <c r="F99" i="3"/>
  <c r="F84" i="3"/>
  <c r="F85" i="3"/>
  <c r="F45" i="3"/>
  <c r="F86" i="3"/>
  <c r="F46" i="3"/>
  <c r="F87" i="3"/>
  <c r="F47" i="3"/>
  <c r="F88" i="3"/>
  <c r="F48" i="3"/>
  <c r="F49" i="3"/>
  <c r="F50" i="3"/>
  <c r="F91" i="3"/>
  <c r="F92" i="3"/>
  <c r="F51" i="3"/>
  <c r="F52" i="3"/>
  <c r="F53" i="3"/>
  <c r="F54" i="3"/>
  <c r="F55" i="3"/>
  <c r="F56" i="3"/>
  <c r="F57" i="3"/>
  <c r="F95" i="3"/>
  <c r="F96" i="3"/>
  <c r="F58" i="3"/>
  <c r="F59" i="3"/>
  <c r="F101" i="3"/>
  <c r="F102" i="3"/>
  <c r="F103" i="3"/>
  <c r="F60" i="3"/>
  <c r="F61" i="3"/>
  <c r="F62" i="3"/>
  <c r="F63" i="3"/>
  <c r="F64" i="3"/>
  <c r="F65" i="3"/>
  <c r="F66" i="3"/>
  <c r="F67" i="3"/>
  <c r="F68" i="3"/>
  <c r="F69" i="3"/>
  <c r="F70" i="3"/>
  <c r="F97" i="3"/>
  <c r="F71" i="3"/>
  <c r="F72" i="3"/>
  <c r="F73" i="3"/>
  <c r="F74" i="3"/>
  <c r="F75" i="3"/>
  <c r="F76" i="3"/>
  <c r="F98" i="3"/>
  <c r="F77" i="3"/>
  <c r="F4" i="3"/>
  <c r="F5" i="3"/>
  <c r="F9" i="3"/>
  <c r="F11" i="3"/>
  <c r="F12" i="3"/>
  <c r="F13" i="3"/>
  <c r="F17" i="3"/>
  <c r="F25" i="3"/>
  <c r="F26" i="3"/>
  <c r="F27" i="3"/>
  <c r="F28" i="3"/>
  <c r="F31" i="3"/>
  <c r="F32" i="3"/>
  <c r="F38" i="3"/>
  <c r="O4" i="3" l="1"/>
  <c r="O5" i="3"/>
  <c r="O9" i="3"/>
  <c r="O11" i="3"/>
  <c r="O12" i="3"/>
  <c r="O13" i="3"/>
  <c r="O78" i="3"/>
  <c r="O79" i="3"/>
  <c r="O40" i="3"/>
  <c r="O41" i="3"/>
  <c r="O42" i="3"/>
  <c r="O43" i="3"/>
  <c r="O44" i="3"/>
  <c r="O80" i="3"/>
  <c r="O81" i="3"/>
  <c r="O82" i="3"/>
  <c r="O83" i="3"/>
  <c r="O99" i="3"/>
  <c r="O84" i="3"/>
  <c r="O85" i="3"/>
  <c r="O45" i="3"/>
  <c r="O86" i="3"/>
  <c r="O46" i="3"/>
  <c r="O87" i="3"/>
  <c r="O47" i="3"/>
  <c r="O88" i="3"/>
  <c r="O48" i="3"/>
  <c r="O49" i="3"/>
  <c r="O50" i="3"/>
  <c r="O91" i="3"/>
  <c r="O92" i="3"/>
  <c r="O51" i="3"/>
  <c r="O52" i="3"/>
  <c r="O17" i="3"/>
  <c r="O53" i="3"/>
  <c r="O54" i="3"/>
  <c r="O111" i="3"/>
  <c r="O55" i="3"/>
  <c r="O56" i="3"/>
  <c r="O105" i="3"/>
  <c r="O57" i="3"/>
  <c r="O95" i="3"/>
  <c r="O96" i="3"/>
  <c r="O58" i="3"/>
  <c r="O59" i="3"/>
  <c r="O100" i="3"/>
  <c r="O101" i="3"/>
  <c r="O102" i="3"/>
  <c r="O103" i="3"/>
  <c r="O60" i="3"/>
  <c r="O61" i="3"/>
  <c r="O62" i="3"/>
  <c r="O63" i="3"/>
  <c r="O64" i="3"/>
  <c r="O65" i="3"/>
  <c r="O66" i="3"/>
  <c r="O67" i="3"/>
  <c r="O68" i="3"/>
  <c r="O69" i="3"/>
  <c r="O70" i="3"/>
  <c r="O97" i="3"/>
  <c r="O71" i="3"/>
  <c r="O72" i="3"/>
  <c r="O73" i="3"/>
  <c r="O74" i="3"/>
  <c r="O75" i="3"/>
  <c r="O76" i="3"/>
  <c r="O98" i="3"/>
  <c r="O112" i="3"/>
  <c r="O113" i="3"/>
  <c r="O26" i="3"/>
  <c r="O27" i="3"/>
  <c r="O28" i="3"/>
  <c r="O114" i="3"/>
  <c r="O115" i="3"/>
  <c r="O116" i="3"/>
  <c r="O117" i="3"/>
  <c r="O31" i="3"/>
  <c r="O77" i="3"/>
  <c r="O32" i="3"/>
  <c r="O38" i="3"/>
  <c r="O3" i="3"/>
  <c r="T108" i="3" l="1"/>
  <c r="AA108" i="3" s="1"/>
  <c r="T107" i="3" l="1"/>
  <c r="AA107" i="3" s="1"/>
  <c r="T93" i="3"/>
  <c r="AA93" i="3" s="1"/>
  <c r="T94" i="3"/>
  <c r="AA94" i="3" s="1"/>
  <c r="T106" i="3" l="1"/>
  <c r="AA106" i="3" s="1"/>
  <c r="T59" i="3"/>
  <c r="AA59" i="3" s="1"/>
  <c r="T58" i="3" l="1"/>
  <c r="AA58" i="3" s="1"/>
  <c r="T69" i="3"/>
  <c r="AA69" i="3" s="1"/>
  <c r="T33" i="3"/>
  <c r="T57" i="3"/>
  <c r="AA57" i="3" s="1"/>
  <c r="T105" i="3"/>
  <c r="AA105" i="3" s="1"/>
  <c r="T56" i="3"/>
  <c r="AA56" i="3" s="1"/>
  <c r="T55" i="3"/>
  <c r="AA55" i="3" s="1"/>
  <c r="T97" i="3"/>
  <c r="T75" i="3"/>
  <c r="AA75" i="3" s="1"/>
  <c r="T76" i="3"/>
  <c r="AA76" i="3" s="1"/>
  <c r="T74" i="3"/>
  <c r="AA74" i="3" s="1"/>
  <c r="T73" i="3"/>
  <c r="AA73" i="3" s="1"/>
  <c r="T72" i="3"/>
  <c r="AA72" i="3" s="1"/>
  <c r="T37" i="3"/>
  <c r="AA37" i="3" s="1"/>
  <c r="AA33" i="3" l="1"/>
  <c r="AA97" i="3"/>
  <c r="T110" i="3"/>
  <c r="AA110" i="3" s="1"/>
  <c r="T44" i="3"/>
  <c r="AA44" i="3" s="1"/>
  <c r="T91" i="3"/>
  <c r="AA91" i="3" s="1"/>
  <c r="T89" i="3"/>
  <c r="AA89" i="3" s="1"/>
  <c r="T92" i="3"/>
  <c r="AA92" i="3" s="1"/>
  <c r="T90" i="3"/>
  <c r="AA90" i="3" s="1"/>
  <c r="T60" i="3"/>
  <c r="AA60" i="3" s="1"/>
  <c r="T61" i="3"/>
  <c r="AA61" i="3" s="1"/>
  <c r="T62" i="3"/>
  <c r="AA62" i="3" s="1"/>
  <c r="T86" i="3"/>
  <c r="AA86" i="3" s="1"/>
  <c r="T80" i="3"/>
  <c r="AA80" i="3" s="1"/>
  <c r="T82" i="3"/>
  <c r="AA82" i="3" s="1"/>
  <c r="T81" i="3"/>
  <c r="AA81" i="3" s="1"/>
  <c r="T85" i="3"/>
  <c r="AA85" i="3" s="1"/>
  <c r="T79" i="3"/>
  <c r="AA79" i="3" s="1"/>
  <c r="T84" i="3"/>
  <c r="AA84" i="3" s="1"/>
  <c r="T83" i="3"/>
  <c r="AA83" i="3" s="1"/>
  <c r="T78" i="3"/>
  <c r="AA78" i="3" s="1"/>
  <c r="T88" i="3"/>
  <c r="AA88" i="3" s="1"/>
  <c r="T87" i="3"/>
  <c r="AA87" i="3" s="1"/>
  <c r="T63" i="3"/>
  <c r="AA63" i="3" s="1"/>
  <c r="T70" i="3"/>
  <c r="AA70" i="3" s="1"/>
  <c r="T65" i="3"/>
  <c r="AA65" i="3" s="1"/>
  <c r="T71" i="3"/>
  <c r="AA71" i="3" s="1"/>
  <c r="T66" i="3"/>
  <c r="AA66" i="3" s="1"/>
  <c r="T67" i="3"/>
  <c r="AA67" i="3" s="1"/>
  <c r="T68" i="3"/>
  <c r="AA68" i="3" s="1"/>
  <c r="T51" i="3"/>
  <c r="AA51" i="3" s="1"/>
  <c r="T95" i="3"/>
  <c r="AA95" i="3" s="1"/>
  <c r="T52" i="3"/>
  <c r="AA52" i="3" s="1"/>
  <c r="T96" i="3"/>
  <c r="AA96" i="3" s="1"/>
  <c r="T111" i="3"/>
  <c r="AA111" i="3" s="1"/>
  <c r="AA109" i="3"/>
  <c r="T64" i="3"/>
  <c r="AA64" i="3" s="1"/>
  <c r="AA122" i="3"/>
  <c r="T98" i="3"/>
  <c r="AA98" i="3" s="1"/>
  <c r="T54" i="3"/>
  <c r="AA54" i="3" s="1"/>
  <c r="T53" i="3"/>
  <c r="AA53" i="3" s="1"/>
  <c r="T77" i="3"/>
  <c r="AA77" i="3" s="1"/>
  <c r="T43" i="3"/>
  <c r="AA43" i="3" s="1"/>
  <c r="T104" i="3"/>
  <c r="AA104" i="3" s="1"/>
  <c r="T35" i="3"/>
  <c r="AA35" i="3" s="1"/>
  <c r="T36" i="3"/>
  <c r="AA36" i="3" s="1"/>
  <c r="T41" i="3"/>
  <c r="AA41" i="3" s="1"/>
  <c r="T42" i="3"/>
  <c r="AA42" i="3" s="1"/>
  <c r="T40" i="3"/>
  <c r="AA40" i="3" s="1"/>
  <c r="T127" i="3" l="1"/>
  <c r="U128" i="3" s="1"/>
  <c r="T124" i="3"/>
  <c r="S134" i="3" s="1"/>
  <c r="S133" i="3" s="1"/>
  <c r="AA124" i="3"/>
</calcChain>
</file>

<file path=xl/sharedStrings.xml><?xml version="1.0" encoding="utf-8"?>
<sst xmlns="http://schemas.openxmlformats.org/spreadsheetml/2006/main" count="4572" uniqueCount="1951">
  <si>
    <t>E169</t>
  </si>
  <si>
    <t>U17</t>
  </si>
  <si>
    <t>U1</t>
  </si>
  <si>
    <t>U2</t>
  </si>
  <si>
    <t>EMX4</t>
  </si>
  <si>
    <t>CTREND_20</t>
  </si>
  <si>
    <t>MLC</t>
  </si>
  <si>
    <t>CSVILUPPO</t>
  </si>
  <si>
    <t>MDCTP</t>
  </si>
  <si>
    <t>MUNIP</t>
  </si>
  <si>
    <t>STEPONE</t>
  </si>
  <si>
    <t>SFI-PRUD-</t>
  </si>
  <si>
    <t>MBBMBEHY</t>
  </si>
  <si>
    <t>MEMBOND</t>
  </si>
  <si>
    <t>MATRUNIP</t>
  </si>
  <si>
    <t>PP1-3Y</t>
  </si>
  <si>
    <t>MLPFLEX</t>
  </si>
  <si>
    <t>PUPORTF70</t>
  </si>
  <si>
    <t>ULP-ER</t>
  </si>
  <si>
    <t>ULDIAM1-M</t>
  </si>
  <si>
    <t>UES50</t>
  </si>
  <si>
    <t>MEBM</t>
  </si>
  <si>
    <t>MEPF4</t>
  </si>
  <si>
    <t>PLIC</t>
  </si>
  <si>
    <t>MEUREQMOD</t>
  </si>
  <si>
    <t>CSABECST</t>
  </si>
  <si>
    <t>MEPF2N</t>
  </si>
  <si>
    <t>MIEB</t>
  </si>
  <si>
    <t>LINDIN</t>
  </si>
  <si>
    <t>LINBILPIU</t>
  </si>
  <si>
    <t>ITACASH</t>
  </si>
  <si>
    <t>ULBIL</t>
  </si>
  <si>
    <t>DINAR1TF</t>
  </si>
  <si>
    <t>LINCAUTA</t>
  </si>
  <si>
    <t>MMBOBEU</t>
  </si>
  <si>
    <t>SHC</t>
  </si>
  <si>
    <t>MGUPAMSF2</t>
  </si>
  <si>
    <t>ULACCO</t>
  </si>
  <si>
    <t>MEPF8</t>
  </si>
  <si>
    <t>MEPF5</t>
  </si>
  <si>
    <t>1RM</t>
  </si>
  <si>
    <t>LINBIL</t>
  </si>
  <si>
    <t>1PM</t>
  </si>
  <si>
    <t>MGUPAMSF1</t>
  </si>
  <si>
    <t>MMBAPXJ</t>
  </si>
  <si>
    <t>MGUPAMTF1</t>
  </si>
  <si>
    <t>MGUPAMTF2</t>
  </si>
  <si>
    <t>MEBMEMU6</t>
  </si>
  <si>
    <t>LINPRUD</t>
  </si>
  <si>
    <t>MEPF6</t>
  </si>
  <si>
    <t>LINPRUPIU</t>
  </si>
  <si>
    <t>1QM</t>
  </si>
  <si>
    <t>APMA3</t>
  </si>
  <si>
    <t>APMA4</t>
  </si>
  <si>
    <t>MEP</t>
  </si>
  <si>
    <t>ULP</t>
  </si>
  <si>
    <t>ULPRUD</t>
  </si>
  <si>
    <t>ULDIN</t>
  </si>
  <si>
    <t>DINAR2TF</t>
  </si>
  <si>
    <t>ULC</t>
  </si>
  <si>
    <t>SPICM</t>
  </si>
  <si>
    <t>JPMEMU6</t>
  </si>
  <si>
    <t>MMBAZUSAHG</t>
  </si>
  <si>
    <t>MMBAZJAP</t>
  </si>
  <si>
    <t>CNPDYNPR80</t>
  </si>
  <si>
    <t>LINPRO</t>
  </si>
  <si>
    <t>PMAI</t>
  </si>
  <si>
    <t>MAE</t>
  </si>
  <si>
    <t>MAG</t>
  </si>
  <si>
    <t>PP3Y</t>
  </si>
  <si>
    <t>JPMEMU3</t>
  </si>
  <si>
    <t>MPPC</t>
  </si>
  <si>
    <t>E224</t>
  </si>
  <si>
    <t>MAA</t>
  </si>
  <si>
    <t>MAC</t>
  </si>
  <si>
    <t>LIQIP</t>
  </si>
  <si>
    <t>CORPXLARGE</t>
  </si>
  <si>
    <t>ULPER</t>
  </si>
  <si>
    <t>CRVDYNPR80</t>
  </si>
  <si>
    <t>MAM</t>
  </si>
  <si>
    <t>MAL</t>
  </si>
  <si>
    <t>MAN</t>
  </si>
  <si>
    <t>MAD</t>
  </si>
  <si>
    <t>MAF</t>
  </si>
  <si>
    <t>PUPORTF20</t>
  </si>
  <si>
    <t>CMEDIUM</t>
  </si>
  <si>
    <t>UES40</t>
  </si>
  <si>
    <t>COBBLEURO</t>
  </si>
  <si>
    <t>PUPORTF30</t>
  </si>
  <si>
    <t>SFI-PRUD</t>
  </si>
  <si>
    <t>MUBM13</t>
  </si>
  <si>
    <t>AMMIN</t>
  </si>
  <si>
    <t>ITALONG</t>
  </si>
  <si>
    <t>PUPORTF40</t>
  </si>
  <si>
    <t>MGUPAMSF4</t>
  </si>
  <si>
    <t>MGUPAMSF5</t>
  </si>
  <si>
    <t>CSABR</t>
  </si>
  <si>
    <t>MGUPAMTF3</t>
  </si>
  <si>
    <t>MGUPAMTF5</t>
  </si>
  <si>
    <t>CREDDITO</t>
  </si>
  <si>
    <t>CORP13</t>
  </si>
  <si>
    <t>SFI-TR</t>
  </si>
  <si>
    <t>APMA2</t>
  </si>
  <si>
    <t>APMA1</t>
  </si>
  <si>
    <t>ULBILPIU</t>
  </si>
  <si>
    <t>DINAR3TF</t>
  </si>
  <si>
    <t>MEPF10</t>
  </si>
  <si>
    <t>ULG4NEW</t>
  </si>
  <si>
    <t>R1M</t>
  </si>
  <si>
    <t>U6</t>
  </si>
  <si>
    <t>PU3</t>
  </si>
  <si>
    <t>U15</t>
  </si>
  <si>
    <t>E84</t>
  </si>
  <si>
    <t>E209</t>
  </si>
  <si>
    <t>E89</t>
  </si>
  <si>
    <t>E144</t>
  </si>
  <si>
    <t>E143</t>
  </si>
  <si>
    <t>E83</t>
  </si>
  <si>
    <t>U13</t>
  </si>
  <si>
    <t>E120</t>
  </si>
  <si>
    <t>E118</t>
  </si>
  <si>
    <t>E119</t>
  </si>
  <si>
    <t>U14</t>
  </si>
  <si>
    <t>E88</t>
  </si>
  <si>
    <t>E142</t>
  </si>
  <si>
    <t>E208</t>
  </si>
  <si>
    <t>E207</t>
  </si>
  <si>
    <t>ULBER-</t>
  </si>
  <si>
    <t>MGLHIYI</t>
  </si>
  <si>
    <t>MERE</t>
  </si>
  <si>
    <t>PUPORTF50</t>
  </si>
  <si>
    <t>CCRESCITA</t>
  </si>
  <si>
    <t>SFI-MONE</t>
  </si>
  <si>
    <t>MOPTIB</t>
  </si>
  <si>
    <t>PF72360</t>
  </si>
  <si>
    <t>PF78195</t>
  </si>
  <si>
    <t>PF76580</t>
  </si>
  <si>
    <t>PF76580U</t>
  </si>
  <si>
    <t>MAH</t>
  </si>
  <si>
    <t>INCSMRT</t>
  </si>
  <si>
    <t>MAB</t>
  </si>
  <si>
    <t>UES30</t>
  </si>
  <si>
    <t>UES70</t>
  </si>
  <si>
    <t>MUSI</t>
  </si>
  <si>
    <t>MULSTEP</t>
  </si>
  <si>
    <t>UES20</t>
  </si>
  <si>
    <t>MCORPFXL</t>
  </si>
  <si>
    <t>MGUPAMSF3</t>
  </si>
  <si>
    <t>MULLI360</t>
  </si>
  <si>
    <t>MLINC</t>
  </si>
  <si>
    <t>ULDER</t>
  </si>
  <si>
    <t>PF71664</t>
  </si>
  <si>
    <t>PF71664U</t>
  </si>
  <si>
    <t>MLIFEBND</t>
  </si>
  <si>
    <t>MGUPAMTF4</t>
  </si>
  <si>
    <t>PACIFAI</t>
  </si>
  <si>
    <t>HF11</t>
  </si>
  <si>
    <t>GW013</t>
  </si>
  <si>
    <t>CAM TREND 20</t>
  </si>
  <si>
    <t>CAM SVILUPPO</t>
  </si>
  <si>
    <t>Unit Linked AMix UNIPLAN</t>
  </si>
  <si>
    <t>CAM STEP ONE</t>
  </si>
  <si>
    <t>Unit Linked A TR UNIPLAN</t>
  </si>
  <si>
    <t>PL Euro Bond 1 to 3 years</t>
  </si>
  <si>
    <t>Life Program Flessibile</t>
  </si>
  <si>
    <t>UL_Prudente_+ ERGO</t>
  </si>
  <si>
    <t>Univalore Stars Balanced</t>
  </si>
  <si>
    <t>Unit Linked OLD 4</t>
  </si>
  <si>
    <t>PL Income Clock</t>
  </si>
  <si>
    <t>UNIT LINKED E2 NEW</t>
  </si>
  <si>
    <t>UL BILANCIATA</t>
  </si>
  <si>
    <t>UNIFLEX ACTIVE 1</t>
  </si>
  <si>
    <t>Unit Linked Multi Equity Accumulation</t>
  </si>
  <si>
    <t>UNIT LINKED E6 NEW</t>
  </si>
  <si>
    <t>UNIT LINKED E3 NEW</t>
  </si>
  <si>
    <t>CAM ARES RISPARMIO OBBLIGAZ. M</t>
  </si>
  <si>
    <t>CAM ARES RISPARMIO ATTIVO M</t>
  </si>
  <si>
    <t>UNIT LINKED E4 NEW</t>
  </si>
  <si>
    <t>CAM ARES RISPARMIO BILANCIATO M</t>
  </si>
  <si>
    <t>UL PRUDENTE</t>
  </si>
  <si>
    <t>UL PRUDENTE PIU</t>
  </si>
  <si>
    <t>UL DINAMICA</t>
  </si>
  <si>
    <t>UNIFLEX ACTIVE 2</t>
  </si>
  <si>
    <t>UL CAUTA</t>
  </si>
  <si>
    <t>CNP Dynamic Protection 80</t>
  </si>
  <si>
    <t>CAM Luglio</t>
  </si>
  <si>
    <t>CAM Marzo</t>
  </si>
  <si>
    <t>CAM Maggio</t>
  </si>
  <si>
    <t>PL Euro Bond over 3 years</t>
  </si>
  <si>
    <t>PI INVESTMENT FUNDS - TACTICAL ALLOCATION PILLAR - E</t>
  </si>
  <si>
    <t>CAM Novembre</t>
  </si>
  <si>
    <t>CAM Gennaio</t>
  </si>
  <si>
    <t>UL_Prudente ERGO</t>
  </si>
  <si>
    <t>CRV Dynamic Protection 80</t>
  </si>
  <si>
    <t>CAM Settembre</t>
  </si>
  <si>
    <t>CAM Agosto</t>
  </si>
  <si>
    <t>CAM Ottobre</t>
  </si>
  <si>
    <t>CAM Febbraio</t>
  </si>
  <si>
    <t>CAM Aprile</t>
  </si>
  <si>
    <t>CAM MEDIUM</t>
  </si>
  <si>
    <t>Univalore E Strategia 40</t>
  </si>
  <si>
    <t>CAM OBBLIGAZIONARIA EURO</t>
  </si>
  <si>
    <t>CAM REDDITO</t>
  </si>
  <si>
    <t>UL BILANCIATA PIU</t>
  </si>
  <si>
    <t>UNIFLEX ACTIVE 3</t>
  </si>
  <si>
    <t>UNIT LINKED G5 NEW</t>
  </si>
  <si>
    <t>UNIT LINKED G4 NEW</t>
  </si>
  <si>
    <t>CAM CNP - LINEA  DINAMICA</t>
  </si>
  <si>
    <t>PI INVESTMENT FUNDS - DYNAMIC ALLOCATION FUND - E</t>
  </si>
  <si>
    <t>AMUNDI FUND SOLUTIONS - DIVERSIFIED GROWTH - A</t>
  </si>
  <si>
    <t>UNICREDIT EVOLUZIONE - REDDITO - A</t>
  </si>
  <si>
    <t>PI INVESTMENT FUNDS - TACTICAL ALLOCATION BOND FUND - H</t>
  </si>
  <si>
    <t>PI INVESTMENT FUNDS - TACTICAL ALLOCATION FUND - H</t>
  </si>
  <si>
    <t>UL_Bilanciata_+ERGO</t>
  </si>
  <si>
    <t>CAM CRESCITA</t>
  </si>
  <si>
    <t>AMUNDI SOLUZIONI ITALIA - PROGETTO AZIONE CAMBIAMENTO CLIMATICO - E</t>
  </si>
  <si>
    <t>AMUNDI SOLUZIONI ITALIA - PROGETTO AZIONE MEGATREND (II) - E</t>
  </si>
  <si>
    <t>CAM Giugno</t>
  </si>
  <si>
    <t>CAM Dicembre</t>
  </si>
  <si>
    <t>Univalore E Strategia 30</t>
  </si>
  <si>
    <t>Univalore E Strategia 70</t>
  </si>
  <si>
    <t>Univalore Stars Income</t>
  </si>
  <si>
    <t>STEP CRESCITA</t>
  </si>
  <si>
    <t>Univalore E Strategia 20</t>
  </si>
  <si>
    <t>UL Life Income 360</t>
  </si>
  <si>
    <t>UL Life Income</t>
  </si>
  <si>
    <t>UL_Dinamica ERGO</t>
  </si>
  <si>
    <t>AMUNDI SOLUZIONI ITALIA - PROGETTO AZIONE MEGATREND - E</t>
  </si>
  <si>
    <t>Life Program Bond</t>
  </si>
  <si>
    <t>AMUNDI.IRL/INV/MAS/PMG/PMG</t>
  </si>
  <si>
    <t>AMUNDI.IRL/INV/MAS</t>
  </si>
  <si>
    <t>AMUNDI.IRL/INV/MAS/PMG</t>
  </si>
  <si>
    <t>O'TOOLE JOHN</t>
  </si>
  <si>
    <t>BUONO SALVATORE</t>
  </si>
  <si>
    <t>PAQUOT BERTRAND</t>
  </si>
  <si>
    <t>CASEY RICHARD</t>
  </si>
  <si>
    <t>To be Affected</t>
  </si>
  <si>
    <t>Global - Global Balanced 50</t>
  </si>
  <si>
    <t>Bond - myNext</t>
  </si>
  <si>
    <t>Global - Balanced Global Defensive 20</t>
  </si>
  <si>
    <t>Multi Asset - Diversified Growth</t>
  </si>
  <si>
    <t>Equity - myNext</t>
  </si>
  <si>
    <t>Multi Asset - myNext</t>
  </si>
  <si>
    <t>PF79139</t>
  </si>
  <si>
    <t>PSUKLD1</t>
  </si>
  <si>
    <t>DUB BAL Multimanagement SDA Fds de Fds</t>
  </si>
  <si>
    <t>DUB EFI Absolute Return Aggregate</t>
  </si>
  <si>
    <t>DUB BAL Multimanagement Alt Greenway</t>
  </si>
  <si>
    <t>DIOP3</t>
  </si>
  <si>
    <t>DIOP4</t>
  </si>
  <si>
    <t>BBSECCORE</t>
  </si>
  <si>
    <t>BBSECPERIPH</t>
  </si>
  <si>
    <t>BBSECEURIG</t>
  </si>
  <si>
    <t>BBSECUSTBOND</t>
  </si>
  <si>
    <t>To Be Determined</t>
  </si>
  <si>
    <t>PF79139U</t>
  </si>
  <si>
    <t>DISCRETIONARY INCOME ORIENTED PRODUCTS 3</t>
  </si>
  <si>
    <t>DISCRETIONARY INCOME ORIENTED PRODUCTS 4</t>
  </si>
  <si>
    <t>Amundi Invensys Broad Bond Portfolio</t>
  </si>
  <si>
    <t>AMUNDI SOLUZIONI ITALIA - PROGETTO AZIONE CAMBIAMENTO CLIMATICO (II) - E</t>
  </si>
  <si>
    <t>BB SECURITIES EURO GOVT CORE</t>
  </si>
  <si>
    <t>BB SECURITIES EURO GOVT PERIPHERAL</t>
  </si>
  <si>
    <t>BB SECURITIES EURO IG CREDIT</t>
  </si>
  <si>
    <t>BB SECURITIES US TREASURY BOND</t>
  </si>
  <si>
    <t>Decalog ID</t>
  </si>
  <si>
    <t>Portfolios name</t>
  </si>
  <si>
    <t xml:space="preserve">Investment team </t>
  </si>
  <si>
    <t>NICHOLAS POTHIER</t>
  </si>
  <si>
    <t>Family of Investment strategy</t>
  </si>
  <si>
    <t>Micro risk process name</t>
  </si>
  <si>
    <t>AMUNDI FUND SOLUTIONS - BALANCED</t>
  </si>
  <si>
    <t>AMUNDI FUND SOLUTIONS - CONSERVATIVE</t>
  </si>
  <si>
    <t>Code decalog</t>
  </si>
  <si>
    <t>AUS00324</t>
  </si>
  <si>
    <t>AUS00445</t>
  </si>
  <si>
    <t>AUS00093</t>
  </si>
  <si>
    <t>AUS00773</t>
  </si>
  <si>
    <t>PF54396</t>
  </si>
  <si>
    <t>BPI389</t>
  </si>
  <si>
    <t>BPI389T</t>
  </si>
  <si>
    <t>PF54404</t>
  </si>
  <si>
    <t>BPI657</t>
  </si>
  <si>
    <t>BPI659</t>
  </si>
  <si>
    <t>BPI780M</t>
  </si>
  <si>
    <t>BPI782</t>
  </si>
  <si>
    <t>AUS00C20</t>
  </si>
  <si>
    <t>AUS00932</t>
  </si>
  <si>
    <t>AUS00666</t>
  </si>
  <si>
    <t>LDSP</t>
  </si>
  <si>
    <t>AUS00650</t>
  </si>
  <si>
    <t>AUS00937</t>
  </si>
  <si>
    <t>BPI938</t>
  </si>
  <si>
    <t>BPI938T</t>
  </si>
  <si>
    <t>AUS00655</t>
  </si>
  <si>
    <t>AUS00655T</t>
  </si>
  <si>
    <t>GF17</t>
  </si>
  <si>
    <t>BPI557</t>
  </si>
  <si>
    <t>BPI557T</t>
  </si>
  <si>
    <t>BPI326</t>
  </si>
  <si>
    <t>BPI326T</t>
  </si>
  <si>
    <t>BPI911</t>
  </si>
  <si>
    <t>BPI911T</t>
  </si>
  <si>
    <t>AUS00042A</t>
  </si>
  <si>
    <t>AUS00042VA</t>
  </si>
  <si>
    <t>AUS00042VI</t>
  </si>
  <si>
    <t>BPI671</t>
  </si>
  <si>
    <t>AUS00813A</t>
  </si>
  <si>
    <t>AUS00813</t>
  </si>
  <si>
    <t>AUS00401</t>
  </si>
  <si>
    <t>AUS0N443</t>
  </si>
  <si>
    <t>AUS00443</t>
  </si>
  <si>
    <t>CIAST</t>
  </si>
  <si>
    <t>BPI655</t>
  </si>
  <si>
    <t>BPI655T</t>
  </si>
  <si>
    <t>BPI654</t>
  </si>
  <si>
    <t>BPI654T</t>
  </si>
  <si>
    <t>AUS00472A</t>
  </si>
  <si>
    <t>AUS00472</t>
  </si>
  <si>
    <t>AUS00472VA</t>
  </si>
  <si>
    <t>AUS00472VI</t>
  </si>
  <si>
    <t>CIGHYBA</t>
  </si>
  <si>
    <t>CIGHYB</t>
  </si>
  <si>
    <t>CIGHYBVA</t>
  </si>
  <si>
    <t>C5A</t>
  </si>
  <si>
    <t>C5</t>
  </si>
  <si>
    <t>C5VA</t>
  </si>
  <si>
    <t>C5VT</t>
  </si>
  <si>
    <t>C5VMT</t>
  </si>
  <si>
    <t>CIAMERC2</t>
  </si>
  <si>
    <t>CIAMER</t>
  </si>
  <si>
    <t>CIAMERC3</t>
  </si>
  <si>
    <t>CIAMERC1</t>
  </si>
  <si>
    <t>CIAMERC4</t>
  </si>
  <si>
    <t>CIAMERC5</t>
  </si>
  <si>
    <t>CIAMERC6</t>
  </si>
  <si>
    <t>AUS00213A</t>
  </si>
  <si>
    <t>AUS00213</t>
  </si>
  <si>
    <t>AUS00213VA</t>
  </si>
  <si>
    <t>AUS00213VI</t>
  </si>
  <si>
    <t>AUS00137</t>
  </si>
  <si>
    <t>AUS00466</t>
  </si>
  <si>
    <t>AUS00466VA</t>
  </si>
  <si>
    <t>AUS00466VI</t>
  </si>
  <si>
    <t>AUS00145A</t>
  </si>
  <si>
    <t>AUS00145VI</t>
  </si>
  <si>
    <t>AUS00097</t>
  </si>
  <si>
    <t>BPI133</t>
  </si>
  <si>
    <t>BPI133T</t>
  </si>
  <si>
    <t>BPI135</t>
  </si>
  <si>
    <t>BPI135T</t>
  </si>
  <si>
    <t>AUS00432</t>
  </si>
  <si>
    <t>WSTWII</t>
  </si>
  <si>
    <t>WSTWIV</t>
  </si>
  <si>
    <t>AUS00822</t>
  </si>
  <si>
    <t>AUS00437</t>
  </si>
  <si>
    <t>AUS00444</t>
  </si>
  <si>
    <t>AUS00270</t>
  </si>
  <si>
    <t>AUS00938</t>
  </si>
  <si>
    <t>AUS00404</t>
  </si>
  <si>
    <t>AUS00669</t>
  </si>
  <si>
    <t>AUS00670</t>
  </si>
  <si>
    <t>AUS00323A</t>
  </si>
  <si>
    <t>AUS00323</t>
  </si>
  <si>
    <t>AUS00032C1</t>
  </si>
  <si>
    <t>AUS00032</t>
  </si>
  <si>
    <t>AUS00032C2</t>
  </si>
  <si>
    <t>PF77764AE</t>
  </si>
  <si>
    <t>PF77764AU</t>
  </si>
  <si>
    <t>PF77764FE</t>
  </si>
  <si>
    <t>PF77764SE</t>
  </si>
  <si>
    <t>PF77764</t>
  </si>
  <si>
    <t>PF77764C2</t>
  </si>
  <si>
    <t>PF77764ME</t>
  </si>
  <si>
    <t>PF77764C1</t>
  </si>
  <si>
    <t>PF77764RE</t>
  </si>
  <si>
    <t>AUS00370</t>
  </si>
  <si>
    <t>AUS00706</t>
  </si>
  <si>
    <t>AUS00200</t>
  </si>
  <si>
    <t>AUS00200VI</t>
  </si>
  <si>
    <t>AUS00911</t>
  </si>
  <si>
    <t>AUS00910</t>
  </si>
  <si>
    <t>AUS00912</t>
  </si>
  <si>
    <t>AUS00020</t>
  </si>
  <si>
    <t>AUS00582</t>
  </si>
  <si>
    <t>AUS0GF25</t>
  </si>
  <si>
    <t>AUS00350</t>
  </si>
  <si>
    <t>AUS00090</t>
  </si>
  <si>
    <t>BPI833</t>
  </si>
  <si>
    <t>BPI19</t>
  </si>
  <si>
    <t>BPI23</t>
  </si>
  <si>
    <t>BPI24</t>
  </si>
  <si>
    <t>BPI167</t>
  </si>
  <si>
    <t>BPI293</t>
  </si>
  <si>
    <t>BPI294</t>
  </si>
  <si>
    <t>BPI295</t>
  </si>
  <si>
    <t>BPI168T</t>
  </si>
  <si>
    <t>BPI168</t>
  </si>
  <si>
    <t>BPI726</t>
  </si>
  <si>
    <t>BPI727</t>
  </si>
  <si>
    <t>BPI729</t>
  </si>
  <si>
    <t>BPI730</t>
  </si>
  <si>
    <t>BPI731</t>
  </si>
  <si>
    <t>BPI562</t>
  </si>
  <si>
    <t>BPI732</t>
  </si>
  <si>
    <t>PF49040</t>
  </si>
  <si>
    <t>BPI237</t>
  </si>
  <si>
    <t>BPI297</t>
  </si>
  <si>
    <t>BPI238</t>
  </si>
  <si>
    <t>BPI296T</t>
  </si>
  <si>
    <t>AUS00336</t>
  </si>
  <si>
    <t>AUS00377</t>
  </si>
  <si>
    <t>AUS00135A</t>
  </si>
  <si>
    <t>AUS00135</t>
  </si>
  <si>
    <t>AUS00135VI</t>
  </si>
  <si>
    <t>AUS00783</t>
  </si>
  <si>
    <t>AUS00795</t>
  </si>
  <si>
    <t>AUS00134A</t>
  </si>
  <si>
    <t>AUS00134</t>
  </si>
  <si>
    <t>AUS00134AU</t>
  </si>
  <si>
    <t>AUS00134VI</t>
  </si>
  <si>
    <t>AUS00137A</t>
  </si>
  <si>
    <t>AUS00137VI</t>
  </si>
  <si>
    <t>AUS00136A</t>
  </si>
  <si>
    <t>AUS00136</t>
  </si>
  <si>
    <t>AUS00136VI</t>
  </si>
  <si>
    <t>AUS00138A</t>
  </si>
  <si>
    <t>AUS00138</t>
  </si>
  <si>
    <t>AUS00138VA</t>
  </si>
  <si>
    <t>AUS00138VI</t>
  </si>
  <si>
    <t>BPI296</t>
  </si>
  <si>
    <t>AUS00934</t>
  </si>
  <si>
    <t>AUS00784</t>
  </si>
  <si>
    <t>AUS00423</t>
  </si>
  <si>
    <t>BPI5</t>
  </si>
  <si>
    <t>BPI5T</t>
  </si>
  <si>
    <t>BPI165</t>
  </si>
  <si>
    <t>BPI165T</t>
  </si>
  <si>
    <t>AUSKV2007</t>
  </si>
  <si>
    <t>AUS00802</t>
  </si>
  <si>
    <t>AUS00803</t>
  </si>
  <si>
    <t>AUS00804</t>
  </si>
  <si>
    <t>AUS00805</t>
  </si>
  <si>
    <t>WWF1</t>
  </si>
  <si>
    <t>FO44708</t>
  </si>
  <si>
    <t>FO217427A</t>
  </si>
  <si>
    <t>FO217427</t>
  </si>
  <si>
    <t>FO44710</t>
  </si>
  <si>
    <t>IMA</t>
  </si>
  <si>
    <t>FO44709</t>
  </si>
  <si>
    <t>FO44713</t>
  </si>
  <si>
    <t>P3D</t>
  </si>
  <si>
    <t>P3K</t>
  </si>
  <si>
    <t>PSK</t>
  </si>
  <si>
    <t>P3B</t>
  </si>
  <si>
    <t>KOPO</t>
  </si>
  <si>
    <t>PEF</t>
  </si>
  <si>
    <t>PF43036</t>
  </si>
  <si>
    <t>PF44849</t>
  </si>
  <si>
    <t>PF42801</t>
  </si>
  <si>
    <t>PF46862</t>
  </si>
  <si>
    <t>PF46673</t>
  </si>
  <si>
    <t>PF36764</t>
  </si>
  <si>
    <t>PF40234</t>
  </si>
  <si>
    <t>PF35893</t>
  </si>
  <si>
    <t>PF36188</t>
  </si>
  <si>
    <t>PF35899</t>
  </si>
  <si>
    <t>PF47455</t>
  </si>
  <si>
    <t>PF46627</t>
  </si>
  <si>
    <t>FO240992</t>
  </si>
  <si>
    <t>M26122</t>
  </si>
  <si>
    <t>PF48803</t>
  </si>
  <si>
    <t>M21919</t>
  </si>
  <si>
    <t>FO240995</t>
  </si>
  <si>
    <t>PF41679</t>
  </si>
  <si>
    <t>M21922</t>
  </si>
  <si>
    <t>PF49709</t>
  </si>
  <si>
    <t>PF47297</t>
  </si>
  <si>
    <t>086BA015</t>
  </si>
  <si>
    <t>PF47315</t>
  </si>
  <si>
    <t>FO222866</t>
  </si>
  <si>
    <t>PF43434</t>
  </si>
  <si>
    <t>PF35640</t>
  </si>
  <si>
    <t>PF46465</t>
  </si>
  <si>
    <t>PF47526</t>
  </si>
  <si>
    <t>PF50667</t>
  </si>
  <si>
    <t>PF48280</t>
  </si>
  <si>
    <t>PF44882</t>
  </si>
  <si>
    <t>PF47669</t>
  </si>
  <si>
    <t>PF44846</t>
  </si>
  <si>
    <t>PF47523</t>
  </si>
  <si>
    <t>PF43593</t>
  </si>
  <si>
    <t>PF43723</t>
  </si>
  <si>
    <t>PF46219</t>
  </si>
  <si>
    <t>PF46104</t>
  </si>
  <si>
    <t>PF47188</t>
  </si>
  <si>
    <t>M26126</t>
  </si>
  <si>
    <t>PF46092</t>
  </si>
  <si>
    <t>PF43742</t>
  </si>
  <si>
    <t>PF48489</t>
  </si>
  <si>
    <t>PF48812</t>
  </si>
  <si>
    <t>PF48566</t>
  </si>
  <si>
    <t>M21967</t>
  </si>
  <si>
    <t>PF47340</t>
  </si>
  <si>
    <t>PF41474</t>
  </si>
  <si>
    <t>PF44484</t>
  </si>
  <si>
    <t>PF44879</t>
  </si>
  <si>
    <t>PF36255</t>
  </si>
  <si>
    <t>PF41291</t>
  </si>
  <si>
    <t>PF44127</t>
  </si>
  <si>
    <t>PF46865</t>
  </si>
  <si>
    <t>PF40972</t>
  </si>
  <si>
    <t>PF40178</t>
  </si>
  <si>
    <t>086BA017</t>
  </si>
  <si>
    <t>PF49563</t>
  </si>
  <si>
    <t>PF50941</t>
  </si>
  <si>
    <t>M21994</t>
  </si>
  <si>
    <t>M21997</t>
  </si>
  <si>
    <t>PF47185</t>
  </si>
  <si>
    <t>PF43298</t>
  </si>
  <si>
    <t>PF47381</t>
  </si>
  <si>
    <t>PF40184</t>
  </si>
  <si>
    <t>PF41477</t>
  </si>
  <si>
    <t>PF47182</t>
  </si>
  <si>
    <t>M22012</t>
  </si>
  <si>
    <t>M23883</t>
  </si>
  <si>
    <t>PF44734</t>
  </si>
  <si>
    <t>PF35631</t>
  </si>
  <si>
    <t>PF47666</t>
  </si>
  <si>
    <t>PF40396</t>
  </si>
  <si>
    <t>PF48283</t>
  </si>
  <si>
    <t>PF48483</t>
  </si>
  <si>
    <t>PF46936</t>
  </si>
  <si>
    <t>PF46859</t>
  </si>
  <si>
    <t>PF47458</t>
  </si>
  <si>
    <t>PF49064</t>
  </si>
  <si>
    <t>PF35637</t>
  </si>
  <si>
    <t>PF35625</t>
  </si>
  <si>
    <t>PF42792</t>
  </si>
  <si>
    <t>PF42795</t>
  </si>
  <si>
    <t>PF46462</t>
  </si>
  <si>
    <t>PF41421</t>
  </si>
  <si>
    <t>PF35634</t>
  </si>
  <si>
    <t>PF44212</t>
  </si>
  <si>
    <t>M22045</t>
  </si>
  <si>
    <t>PF36258</t>
  </si>
  <si>
    <t>M22033</t>
  </si>
  <si>
    <t>PF47960</t>
  </si>
  <si>
    <t>PF46098</t>
  </si>
  <si>
    <t>PF46101</t>
  </si>
  <si>
    <t>M26125</t>
  </si>
  <si>
    <t>PF35628</t>
  </si>
  <si>
    <t>PF46468</t>
  </si>
  <si>
    <t>PF46490</t>
  </si>
  <si>
    <t>M22057</t>
  </si>
  <si>
    <t>PF46487</t>
  </si>
  <si>
    <t>PF44124</t>
  </si>
  <si>
    <t>PF41480</t>
  </si>
  <si>
    <t>PF46239</t>
  </si>
  <si>
    <t>PF47452</t>
  </si>
  <si>
    <t>PF52205</t>
  </si>
  <si>
    <t>PF52208</t>
  </si>
  <si>
    <t>E156</t>
  </si>
  <si>
    <t>E183</t>
  </si>
  <si>
    <t>E90PS</t>
  </si>
  <si>
    <t>E123AE</t>
  </si>
  <si>
    <t>E123AEHMD</t>
  </si>
  <si>
    <t>E123C2</t>
  </si>
  <si>
    <t>E123AEQD</t>
  </si>
  <si>
    <t>E123A</t>
  </si>
  <si>
    <t>E123AQD</t>
  </si>
  <si>
    <t>E123EED</t>
  </si>
  <si>
    <t>E123EEHSD</t>
  </si>
  <si>
    <t>E123ED</t>
  </si>
  <si>
    <t>E123FED</t>
  </si>
  <si>
    <t>E123C1</t>
  </si>
  <si>
    <t>E123IE</t>
  </si>
  <si>
    <t>E123IEHQD</t>
  </si>
  <si>
    <t>E123</t>
  </si>
  <si>
    <t>E123NE</t>
  </si>
  <si>
    <t>PF72050C2</t>
  </si>
  <si>
    <t>PF72050C3</t>
  </si>
  <si>
    <t>PF72050C4</t>
  </si>
  <si>
    <t>PF72050C5</t>
  </si>
  <si>
    <t>PF72050C6</t>
  </si>
  <si>
    <t>PF72050C7</t>
  </si>
  <si>
    <t>PF72050C8</t>
  </si>
  <si>
    <t>PF72050C9</t>
  </si>
  <si>
    <t>PF72050C10</t>
  </si>
  <si>
    <t>PF72050C11</t>
  </si>
  <si>
    <t>PF72050C13</t>
  </si>
  <si>
    <t>PF72050C14</t>
  </si>
  <si>
    <t>PF72050C15</t>
  </si>
  <si>
    <t>PF72050</t>
  </si>
  <si>
    <t>PF72050C16</t>
  </si>
  <si>
    <t>PF72050C17</t>
  </si>
  <si>
    <t>PF72050C1</t>
  </si>
  <si>
    <t>C7</t>
  </si>
  <si>
    <t>C7TEC</t>
  </si>
  <si>
    <t>C7VAEC</t>
  </si>
  <si>
    <t>C7VIEC</t>
  </si>
  <si>
    <t>E123PS</t>
  </si>
  <si>
    <t>E123PSA</t>
  </si>
  <si>
    <t>G0416</t>
  </si>
  <si>
    <t>PF71198C17</t>
  </si>
  <si>
    <t>PF71198C18</t>
  </si>
  <si>
    <t>PF71198C13</t>
  </si>
  <si>
    <t>PF71198C14</t>
  </si>
  <si>
    <t>PF71198C10</t>
  </si>
  <si>
    <t>PF71198C3</t>
  </si>
  <si>
    <t>PF71198C16</t>
  </si>
  <si>
    <t>PF71198C12</t>
  </si>
  <si>
    <t>PF71198C11</t>
  </si>
  <si>
    <t>PF71198C2</t>
  </si>
  <si>
    <t>PF71198C15</t>
  </si>
  <si>
    <t>PF71198C20</t>
  </si>
  <si>
    <t>PF71198C19</t>
  </si>
  <si>
    <t>PF71198C8</t>
  </si>
  <si>
    <t>PF71198C9</t>
  </si>
  <si>
    <t>PF71198C4</t>
  </si>
  <si>
    <t>PF71198C5</t>
  </si>
  <si>
    <t>PF71198C21</t>
  </si>
  <si>
    <t>PF71198</t>
  </si>
  <si>
    <t>PF71198C25</t>
  </si>
  <si>
    <t>PF71198C26</t>
  </si>
  <si>
    <t>PF71198C35</t>
  </si>
  <si>
    <t>PF71198C23</t>
  </si>
  <si>
    <t>PF71198C24</t>
  </si>
  <si>
    <t>PF71198C28</t>
  </si>
  <si>
    <t>PF71198C27</t>
  </si>
  <si>
    <t>PF71198C29</t>
  </si>
  <si>
    <t>PF71198C1</t>
  </si>
  <si>
    <t>PF71198C30</t>
  </si>
  <si>
    <t>PF71198C33</t>
  </si>
  <si>
    <t>PF71198C34</t>
  </si>
  <si>
    <t>PF71198C31</t>
  </si>
  <si>
    <t>PF71198C32</t>
  </si>
  <si>
    <t>E90C5</t>
  </si>
  <si>
    <t>E90C7</t>
  </si>
  <si>
    <t>E90C8</t>
  </si>
  <si>
    <t>E90C2</t>
  </si>
  <si>
    <t>E90C1</t>
  </si>
  <si>
    <t>E90C11</t>
  </si>
  <si>
    <t>E90C9</t>
  </si>
  <si>
    <t>E90C4</t>
  </si>
  <si>
    <t>E90C3</t>
  </si>
  <si>
    <t>E90C10</t>
  </si>
  <si>
    <t>E90C6</t>
  </si>
  <si>
    <t>E90C13</t>
  </si>
  <si>
    <t>E90C12</t>
  </si>
  <si>
    <t>E90C14</t>
  </si>
  <si>
    <t>E90C16</t>
  </si>
  <si>
    <t>E90C19</t>
  </si>
  <si>
    <t>E90C18</t>
  </si>
  <si>
    <t>E90C17</t>
  </si>
  <si>
    <t>E90C26</t>
  </si>
  <si>
    <t>E90C15</t>
  </si>
  <si>
    <t>E90C33</t>
  </si>
  <si>
    <t>E90C22</t>
  </si>
  <si>
    <t>E90C23</t>
  </si>
  <si>
    <t>E90C20</t>
  </si>
  <si>
    <t>E90C21</t>
  </si>
  <si>
    <t>E90HSD</t>
  </si>
  <si>
    <t>E90</t>
  </si>
  <si>
    <t>E90C25</t>
  </si>
  <si>
    <t>E90C24</t>
  </si>
  <si>
    <t>E90C29</t>
  </si>
  <si>
    <t>E90C27</t>
  </si>
  <si>
    <t>E90C28</t>
  </si>
  <si>
    <t>E90C30</t>
  </si>
  <si>
    <t>E90C32</t>
  </si>
  <si>
    <t>E90C31</t>
  </si>
  <si>
    <t>G6583</t>
  </si>
  <si>
    <t>G0533</t>
  </si>
  <si>
    <t>G0043</t>
  </si>
  <si>
    <t>G6585</t>
  </si>
  <si>
    <t>G6559</t>
  </si>
  <si>
    <t>G0834</t>
  </si>
  <si>
    <t>G0834CEC</t>
  </si>
  <si>
    <t>G0834HEC</t>
  </si>
  <si>
    <t>G0834LEC</t>
  </si>
  <si>
    <t>EEC</t>
  </si>
  <si>
    <t>EECC2</t>
  </si>
  <si>
    <t>EECC3</t>
  </si>
  <si>
    <t>EECC4</t>
  </si>
  <si>
    <t>EECCEC</t>
  </si>
  <si>
    <t>EECC5</t>
  </si>
  <si>
    <t>EECEEC</t>
  </si>
  <si>
    <t>EECFEC</t>
  </si>
  <si>
    <t>EECHEC</t>
  </si>
  <si>
    <t>EECHED</t>
  </si>
  <si>
    <t>EECC1</t>
  </si>
  <si>
    <t>EECIEC</t>
  </si>
  <si>
    <t>EECC6</t>
  </si>
  <si>
    <t>EECIHUC</t>
  </si>
  <si>
    <t>EECN</t>
  </si>
  <si>
    <t>EECC7</t>
  </si>
  <si>
    <t>G0482</t>
  </si>
  <si>
    <t>G0482HED</t>
  </si>
  <si>
    <t>G0482RDA</t>
  </si>
  <si>
    <t>PF71068C1</t>
  </si>
  <si>
    <t>PF71068C2</t>
  </si>
  <si>
    <t>PF71068</t>
  </si>
  <si>
    <t>PF71068C3</t>
  </si>
  <si>
    <t>PF71068C4</t>
  </si>
  <si>
    <t>PF71068C5</t>
  </si>
  <si>
    <t>PF71068C6</t>
  </si>
  <si>
    <t>E231</t>
  </si>
  <si>
    <t>PF76545</t>
  </si>
  <si>
    <t>E141</t>
  </si>
  <si>
    <t>E163</t>
  </si>
  <si>
    <t>E195</t>
  </si>
  <si>
    <t>E232</t>
  </si>
  <si>
    <t>E145</t>
  </si>
  <si>
    <t>E165</t>
  </si>
  <si>
    <t>E203</t>
  </si>
  <si>
    <t>E233</t>
  </si>
  <si>
    <t>E204</t>
  </si>
  <si>
    <t>E239</t>
  </si>
  <si>
    <t>PF78203</t>
  </si>
  <si>
    <t>E149</t>
  </si>
  <si>
    <t>E170</t>
  </si>
  <si>
    <t>E205</t>
  </si>
  <si>
    <t>E241</t>
  </si>
  <si>
    <t>E151</t>
  </si>
  <si>
    <t>E175</t>
  </si>
  <si>
    <t>E206</t>
  </si>
  <si>
    <t>E242</t>
  </si>
  <si>
    <t>E219</t>
  </si>
  <si>
    <t>E244</t>
  </si>
  <si>
    <t>E152</t>
  </si>
  <si>
    <t>E179</t>
  </si>
  <si>
    <t>E154</t>
  </si>
  <si>
    <t>E180</t>
  </si>
  <si>
    <t>E220</t>
  </si>
  <si>
    <t>E246</t>
  </si>
  <si>
    <t>E226</t>
  </si>
  <si>
    <t>PF73230</t>
  </si>
  <si>
    <t>E158</t>
  </si>
  <si>
    <t>E182</t>
  </si>
  <si>
    <t>E135</t>
  </si>
  <si>
    <t>E160</t>
  </si>
  <si>
    <t>E186</t>
  </si>
  <si>
    <t>E228</t>
  </si>
  <si>
    <t>PF75315</t>
  </si>
  <si>
    <t>E243</t>
  </si>
  <si>
    <t>EITR</t>
  </si>
  <si>
    <t>EITRC1</t>
  </si>
  <si>
    <t>EITRC2</t>
  </si>
  <si>
    <t>EITRC3</t>
  </si>
  <si>
    <t>G0163</t>
  </si>
  <si>
    <t>G6565</t>
  </si>
  <si>
    <t>G6562</t>
  </si>
  <si>
    <t>G0794</t>
  </si>
  <si>
    <t>G0231J</t>
  </si>
  <si>
    <t>G0232E</t>
  </si>
  <si>
    <t>G0232M</t>
  </si>
  <si>
    <t>G0232L</t>
  </si>
  <si>
    <t>G0232J</t>
  </si>
  <si>
    <t>MODJDMSA</t>
  </si>
  <si>
    <t>MPRBACON</t>
  </si>
  <si>
    <t>MPRBASRIB</t>
  </si>
  <si>
    <t>MPRMEGABAL</t>
  </si>
  <si>
    <t>MPRREALDYN</t>
  </si>
  <si>
    <t>MODMPM</t>
  </si>
  <si>
    <t>MPRMUSEGR</t>
  </si>
  <si>
    <t>MPRMUSEMA</t>
  </si>
  <si>
    <t>MPRMUSENE</t>
  </si>
  <si>
    <t>MPRMUSEOA</t>
  </si>
  <si>
    <t>MPRMUSEOR</t>
  </si>
  <si>
    <t>MPRMSOFFENS</t>
  </si>
  <si>
    <t>MPRMSERTRAG</t>
  </si>
  <si>
    <t>MODPMSUSA</t>
  </si>
  <si>
    <t>MPRBADYN</t>
  </si>
  <si>
    <t>MPRBABAL</t>
  </si>
  <si>
    <t>MPRBASRI</t>
  </si>
  <si>
    <t>MPRBASRID</t>
  </si>
  <si>
    <t>MPRESGBAL</t>
  </si>
  <si>
    <t>MPRESGCON</t>
  </si>
  <si>
    <t>MPRESGDYN</t>
  </si>
  <si>
    <t>MPRMEGADYN</t>
  </si>
  <si>
    <t>MPRREALBAL</t>
  </si>
  <si>
    <t>MPRMUSED</t>
  </si>
  <si>
    <t>MPRMUSEAP</t>
  </si>
  <si>
    <t>MPRMUSEDE</t>
  </si>
  <si>
    <t>MPRMUSEEU</t>
  </si>
  <si>
    <t>MPRMUSEPG</t>
  </si>
  <si>
    <t>G2014</t>
  </si>
  <si>
    <t>G2019</t>
  </si>
  <si>
    <t>G2012</t>
  </si>
  <si>
    <t>G2013</t>
  </si>
  <si>
    <t>G0231H</t>
  </si>
  <si>
    <t>G0231G</t>
  </si>
  <si>
    <t>G0231I</t>
  </si>
  <si>
    <t>G0232D</t>
  </si>
  <si>
    <t>G0232Q</t>
  </si>
  <si>
    <t>G0232N</t>
  </si>
  <si>
    <t>G0231E</t>
  </si>
  <si>
    <t>G0340</t>
  </si>
  <si>
    <t>G2024</t>
  </si>
  <si>
    <t>G20242EC</t>
  </si>
  <si>
    <t>G20243EC</t>
  </si>
  <si>
    <t>G20244EC</t>
  </si>
  <si>
    <t>G2007</t>
  </si>
  <si>
    <t>G20072EC</t>
  </si>
  <si>
    <t>G20073EC</t>
  </si>
  <si>
    <t>G20074EC</t>
  </si>
  <si>
    <t>G2002</t>
  </si>
  <si>
    <t>G20022EC</t>
  </si>
  <si>
    <t>G20023EC</t>
  </si>
  <si>
    <t>G20024EC</t>
  </si>
  <si>
    <t>G2003</t>
  </si>
  <si>
    <t>G20032EC</t>
  </si>
  <si>
    <t>G20033EC</t>
  </si>
  <si>
    <t>G20034EC</t>
  </si>
  <si>
    <t>G2008</t>
  </si>
  <si>
    <t>G20082EC</t>
  </si>
  <si>
    <t>G20083EC</t>
  </si>
  <si>
    <t>G20084EC</t>
  </si>
  <si>
    <t>G2009</t>
  </si>
  <si>
    <t>G20092EC</t>
  </si>
  <si>
    <t>G20093EC</t>
  </si>
  <si>
    <t>G20094EC</t>
  </si>
  <si>
    <t>G2018</t>
  </si>
  <si>
    <t>G20182EC</t>
  </si>
  <si>
    <t>G20183EC</t>
  </si>
  <si>
    <t>G20184EC</t>
  </si>
  <si>
    <t>G0405</t>
  </si>
  <si>
    <t>E193A</t>
  </si>
  <si>
    <t>E193H</t>
  </si>
  <si>
    <t>E193</t>
  </si>
  <si>
    <t>G2025</t>
  </si>
  <si>
    <t>G2025H</t>
  </si>
  <si>
    <t>G2025RDA</t>
  </si>
  <si>
    <t>ORO002001</t>
  </si>
  <si>
    <t>GLO001001</t>
  </si>
  <si>
    <t>FON001001</t>
  </si>
  <si>
    <t>FON001001I</t>
  </si>
  <si>
    <t>BRE004001</t>
  </si>
  <si>
    <t>ISF005282</t>
  </si>
  <si>
    <t>ISF005283</t>
  </si>
  <si>
    <t>ISF005284</t>
  </si>
  <si>
    <t>ISF005286</t>
  </si>
  <si>
    <t>ISF005285</t>
  </si>
  <si>
    <t>ISF005287</t>
  </si>
  <si>
    <t>ISF005281</t>
  </si>
  <si>
    <t>CHA004001</t>
  </si>
  <si>
    <t>ISS001275</t>
  </si>
  <si>
    <t>GEN004001</t>
  </si>
  <si>
    <t>IFI004001</t>
  </si>
  <si>
    <t>BAC004001</t>
  </si>
  <si>
    <t>LIA004001</t>
  </si>
  <si>
    <t>CAN004001</t>
  </si>
  <si>
    <t>POM004001</t>
  </si>
  <si>
    <t>SIL004001</t>
  </si>
  <si>
    <t>ISS002175</t>
  </si>
  <si>
    <t>TEG004001</t>
  </si>
  <si>
    <t>VMT004001</t>
  </si>
  <si>
    <t>ISS000052</t>
  </si>
  <si>
    <t>ISS002089</t>
  </si>
  <si>
    <t>ISS000850</t>
  </si>
  <si>
    <t>ISS000271</t>
  </si>
  <si>
    <t>ISS000693</t>
  </si>
  <si>
    <t>ISS004121</t>
  </si>
  <si>
    <t>ISS000290</t>
  </si>
  <si>
    <t>ISS002164</t>
  </si>
  <si>
    <t>ISS000010</t>
  </si>
  <si>
    <t>ISS001763</t>
  </si>
  <si>
    <t>ISS002136</t>
  </si>
  <si>
    <t>ANB004001</t>
  </si>
  <si>
    <t>DRI004001</t>
  </si>
  <si>
    <t>MON001001</t>
  </si>
  <si>
    <t>BEST001001</t>
  </si>
  <si>
    <t>EUR004001</t>
  </si>
  <si>
    <t>FIN004001</t>
  </si>
  <si>
    <t>GES004001</t>
  </si>
  <si>
    <t>ALD004001</t>
  </si>
  <si>
    <t>VAC004001</t>
  </si>
  <si>
    <t>MAR004001</t>
  </si>
  <si>
    <t>MAT004001</t>
  </si>
  <si>
    <t>INV004001</t>
  </si>
  <si>
    <t>KAL004001</t>
  </si>
  <si>
    <t>KOK004001</t>
  </si>
  <si>
    <t>MAV004001</t>
  </si>
  <si>
    <t>IND004001</t>
  </si>
  <si>
    <t>SUN004001</t>
  </si>
  <si>
    <t>TOG004001</t>
  </si>
  <si>
    <t>TOR004001</t>
  </si>
  <si>
    <t>ISS003968</t>
  </si>
  <si>
    <t>E142ACZKH</t>
  </si>
  <si>
    <t>E142AU</t>
  </si>
  <si>
    <t>E142C</t>
  </si>
  <si>
    <t>E142E</t>
  </si>
  <si>
    <t>E142F</t>
  </si>
  <si>
    <t>E142N</t>
  </si>
  <si>
    <t>E142NU</t>
  </si>
  <si>
    <t>E143C1</t>
  </si>
  <si>
    <t>E143C6</t>
  </si>
  <si>
    <t>E143C5</t>
  </si>
  <si>
    <t>E143C7</t>
  </si>
  <si>
    <t>E143C2</t>
  </si>
  <si>
    <t>E143C3</t>
  </si>
  <si>
    <t>E143C4</t>
  </si>
  <si>
    <t>E143C10</t>
  </si>
  <si>
    <t>E143C9</t>
  </si>
  <si>
    <t>E143C8</t>
  </si>
  <si>
    <t>E144C1</t>
  </si>
  <si>
    <t>E144C2</t>
  </si>
  <si>
    <t>E144C3</t>
  </si>
  <si>
    <t>E144C4</t>
  </si>
  <si>
    <t>E144C5</t>
  </si>
  <si>
    <t>E144C6</t>
  </si>
  <si>
    <t>U17C1</t>
  </si>
  <si>
    <t>PF78195U</t>
  </si>
  <si>
    <t>U15B</t>
  </si>
  <si>
    <t>E118C1</t>
  </si>
  <si>
    <t>E118C2</t>
  </si>
  <si>
    <t>E119C1</t>
  </si>
  <si>
    <t>E119C2</t>
  </si>
  <si>
    <t>E120C1</t>
  </si>
  <si>
    <t>E120C2</t>
  </si>
  <si>
    <t>U13B</t>
  </si>
  <si>
    <t>U14B</t>
  </si>
  <si>
    <t>R2M</t>
  </si>
  <si>
    <t>E209C1</t>
  </si>
  <si>
    <t>U1B</t>
  </si>
  <si>
    <t>U2B</t>
  </si>
  <si>
    <t>U3B</t>
  </si>
  <si>
    <t>U6B</t>
  </si>
  <si>
    <t>E208E</t>
  </si>
  <si>
    <t>E207E</t>
  </si>
  <si>
    <t>PF72360C2</t>
  </si>
  <si>
    <t>PF72360C3</t>
  </si>
  <si>
    <t>PF72360C4</t>
  </si>
  <si>
    <t>PF72360C5</t>
  </si>
  <si>
    <t>PF72360C6</t>
  </si>
  <si>
    <t>PF72360C7</t>
  </si>
  <si>
    <t>PF72360C8</t>
  </si>
  <si>
    <t>PF72360C12</t>
  </si>
  <si>
    <t>PF72360C9</t>
  </si>
  <si>
    <t>PF72360C10</t>
  </si>
  <si>
    <t>PF72360C11</t>
  </si>
  <si>
    <t>PF72360C1</t>
  </si>
  <si>
    <t>EMX4A</t>
  </si>
  <si>
    <t>EMX4AU</t>
  </si>
  <si>
    <t>EMX4C</t>
  </si>
  <si>
    <t>EMX4CU</t>
  </si>
  <si>
    <t>EMX4E</t>
  </si>
  <si>
    <t>EMX4F</t>
  </si>
  <si>
    <t>EMX4C1</t>
  </si>
  <si>
    <t>EMX4H</t>
  </si>
  <si>
    <t>EMX4IU</t>
  </si>
  <si>
    <t>EMX4IUH</t>
  </si>
  <si>
    <t>EMX4N</t>
  </si>
  <si>
    <t>PF71204C1</t>
  </si>
  <si>
    <t>PF71204</t>
  </si>
  <si>
    <t>PF71204C2</t>
  </si>
  <si>
    <t>PF71204C3</t>
  </si>
  <si>
    <t>PF71204C4</t>
  </si>
  <si>
    <t>PF71204C5</t>
  </si>
  <si>
    <t>PF71204C6</t>
  </si>
  <si>
    <t>PF71204C10</t>
  </si>
  <si>
    <t>PF71204C7</t>
  </si>
  <si>
    <t>PF71204C8</t>
  </si>
  <si>
    <t>PF71204C9</t>
  </si>
  <si>
    <t>E91</t>
  </si>
  <si>
    <t>E91C8</t>
  </si>
  <si>
    <t>E91C5</t>
  </si>
  <si>
    <t>E91C6</t>
  </si>
  <si>
    <t>E91C7</t>
  </si>
  <si>
    <t>E91C4</t>
  </si>
  <si>
    <t>E91C9</t>
  </si>
  <si>
    <t>E91C2</t>
  </si>
  <si>
    <t>E91C1</t>
  </si>
  <si>
    <t>E91C3</t>
  </si>
  <si>
    <t>UOM</t>
  </si>
  <si>
    <t>UOMB</t>
  </si>
  <si>
    <t>E161</t>
  </si>
  <si>
    <t>PF67985</t>
  </si>
  <si>
    <t>PF67985P</t>
  </si>
  <si>
    <t>PF47766</t>
  </si>
  <si>
    <t>PF52254</t>
  </si>
  <si>
    <t>PF53752</t>
  </si>
  <si>
    <t>PF51778</t>
  </si>
  <si>
    <t>PF53745</t>
  </si>
  <si>
    <t>PF56594</t>
  </si>
  <si>
    <t>PF54893</t>
  </si>
  <si>
    <t>U18</t>
  </si>
  <si>
    <t>U18B</t>
  </si>
  <si>
    <t>E218</t>
  </si>
  <si>
    <t>E227</t>
  </si>
  <si>
    <t>E234</t>
  </si>
  <si>
    <t>E240</t>
  </si>
  <si>
    <t>E245</t>
  </si>
  <si>
    <t>PF73232</t>
  </si>
  <si>
    <t>PF73232U</t>
  </si>
  <si>
    <t>X75293</t>
  </si>
  <si>
    <t>BPAE</t>
  </si>
  <si>
    <t>PF79493</t>
  </si>
  <si>
    <t>PF68405</t>
  </si>
  <si>
    <t>PF68447</t>
  </si>
  <si>
    <t>PF68450</t>
  </si>
  <si>
    <t>PF63310</t>
  </si>
  <si>
    <t>PF68453</t>
  </si>
  <si>
    <t>PF79496</t>
  </si>
  <si>
    <t>X66817</t>
  </si>
  <si>
    <t>X66903</t>
  </si>
  <si>
    <t>X68075</t>
  </si>
  <si>
    <t>X68055</t>
  </si>
  <si>
    <t>X68080</t>
  </si>
  <si>
    <t>X68079</t>
  </si>
  <si>
    <t>X68078</t>
  </si>
  <si>
    <t>X66872</t>
  </si>
  <si>
    <t>X66771</t>
  </si>
  <si>
    <t>X67116</t>
  </si>
  <si>
    <t>X66869</t>
  </si>
  <si>
    <t>XNRG</t>
  </si>
  <si>
    <t>X68052</t>
  </si>
  <si>
    <t>X68086</t>
  </si>
  <si>
    <t>XFPAS</t>
  </si>
  <si>
    <t>XBPAL2</t>
  </si>
  <si>
    <t>XBPAL3</t>
  </si>
  <si>
    <t>XFGP</t>
  </si>
  <si>
    <t>PF80051</t>
  </si>
  <si>
    <t>X68082</t>
  </si>
  <si>
    <t>X67125</t>
  </si>
  <si>
    <t>XFDIR</t>
  </si>
  <si>
    <t>X68063</t>
  </si>
  <si>
    <t>XFOBIL</t>
  </si>
  <si>
    <t>XFODIN</t>
  </si>
  <si>
    <t>PF47607</t>
  </si>
  <si>
    <t>PF47604</t>
  </si>
  <si>
    <t>PF47613</t>
  </si>
  <si>
    <t>M728900</t>
  </si>
  <si>
    <t>M729000</t>
  </si>
  <si>
    <t>M729100</t>
  </si>
  <si>
    <t>X65340</t>
  </si>
  <si>
    <t>X65341</t>
  </si>
  <si>
    <t>X65343</t>
  </si>
  <si>
    <t>X65342</t>
  </si>
  <si>
    <t>X65344</t>
  </si>
  <si>
    <t>I41</t>
  </si>
  <si>
    <t>X68074</t>
  </si>
  <si>
    <t>PF79659</t>
  </si>
  <si>
    <t>JAPM</t>
  </si>
  <si>
    <t>PF73822</t>
  </si>
  <si>
    <t>PF73822DXL</t>
  </si>
  <si>
    <t>PF73822EX</t>
  </si>
  <si>
    <t>PF73822FX</t>
  </si>
  <si>
    <t>PF73822HX</t>
  </si>
  <si>
    <t>E212</t>
  </si>
  <si>
    <t>E213</t>
  </si>
  <si>
    <t>E215</t>
  </si>
  <si>
    <t>E211</t>
  </si>
  <si>
    <t>E214</t>
  </si>
  <si>
    <t>XFCOOP</t>
  </si>
  <si>
    <t>XFPP</t>
  </si>
  <si>
    <t>X68092</t>
  </si>
  <si>
    <t>X68090</t>
  </si>
  <si>
    <t>SPPR</t>
  </si>
  <si>
    <t>SPES</t>
  </si>
  <si>
    <t>QC</t>
  </si>
  <si>
    <t>SPDI</t>
  </si>
  <si>
    <t>SPSV</t>
  </si>
  <si>
    <t>XFPSV</t>
  </si>
  <si>
    <t>XRRLD</t>
  </si>
  <si>
    <t>XRRLS</t>
  </si>
  <si>
    <t>XRRLSIC</t>
  </si>
  <si>
    <t>XRRLT</t>
  </si>
  <si>
    <t>PF70065</t>
  </si>
  <si>
    <t>PF70068</t>
  </si>
  <si>
    <t>PF70071</t>
  </si>
  <si>
    <t>PF70074</t>
  </si>
  <si>
    <t>XRAIF</t>
  </si>
  <si>
    <t>X68039</t>
  </si>
  <si>
    <t>X68088</t>
  </si>
  <si>
    <t>PF52043</t>
  </si>
  <si>
    <t>X68072</t>
  </si>
  <si>
    <t>XCLG</t>
  </si>
  <si>
    <t>X68081</t>
  </si>
  <si>
    <t>X68059</t>
  </si>
  <si>
    <t>X68065</t>
  </si>
  <si>
    <t>XFELG</t>
  </si>
  <si>
    <t>XDOW</t>
  </si>
  <si>
    <t>XGLG</t>
  </si>
  <si>
    <t>X68089</t>
  </si>
  <si>
    <t>PF65496</t>
  </si>
  <si>
    <t>X68057</t>
  </si>
  <si>
    <t>X68073</t>
  </si>
  <si>
    <t>X68070</t>
  </si>
  <si>
    <t>XPPL</t>
  </si>
  <si>
    <t>X68076</t>
  </si>
  <si>
    <t>X68053</t>
  </si>
  <si>
    <t>PF65723</t>
  </si>
  <si>
    <t>PF76691</t>
  </si>
  <si>
    <t>MODABSASIAEQ</t>
  </si>
  <si>
    <t>MODFAREEXJP</t>
  </si>
  <si>
    <t>MODGBEQKMB</t>
  </si>
  <si>
    <t>MODGBEQSOL</t>
  </si>
  <si>
    <t>MODHKG</t>
  </si>
  <si>
    <t>T0B</t>
  </si>
  <si>
    <t>T9B</t>
  </si>
  <si>
    <t>7TA</t>
  </si>
  <si>
    <t>PF36292B</t>
  </si>
  <si>
    <t>PF39334B</t>
  </si>
  <si>
    <t>KX</t>
  </si>
  <si>
    <t>K8</t>
  </si>
  <si>
    <t>K6</t>
  </si>
  <si>
    <t>K4</t>
  </si>
  <si>
    <t>KH</t>
  </si>
  <si>
    <t>22E</t>
  </si>
  <si>
    <t>PF36166</t>
  </si>
  <si>
    <t>PF36169</t>
  </si>
  <si>
    <t>PF48026D</t>
  </si>
  <si>
    <t>PF48026C</t>
  </si>
  <si>
    <t>PF47990D</t>
  </si>
  <si>
    <t>PF47990C</t>
  </si>
  <si>
    <t>PF48026</t>
  </si>
  <si>
    <t>PF47990</t>
  </si>
  <si>
    <t>13H110</t>
  </si>
  <si>
    <t>13H110C</t>
  </si>
  <si>
    <t>13H110B</t>
  </si>
  <si>
    <t>13H102</t>
  </si>
  <si>
    <t>13H102C</t>
  </si>
  <si>
    <t>13H102B</t>
  </si>
  <si>
    <t>13H102FX</t>
  </si>
  <si>
    <t>13HPFD</t>
  </si>
  <si>
    <t>13HPFDC</t>
  </si>
  <si>
    <t>13HPFDB</t>
  </si>
  <si>
    <t>13HPFDFX</t>
  </si>
  <si>
    <t>19KMBP</t>
  </si>
  <si>
    <t>19KMBPC</t>
  </si>
  <si>
    <t>19KMBPB</t>
  </si>
  <si>
    <t>PF47260C</t>
  </si>
  <si>
    <t>PF47260D</t>
  </si>
  <si>
    <t>PF47260</t>
  </si>
  <si>
    <t>PF47260R</t>
  </si>
  <si>
    <t>M19162</t>
  </si>
  <si>
    <t>SAG</t>
  </si>
  <si>
    <t>PF41876</t>
  </si>
  <si>
    <t>19VITA</t>
  </si>
  <si>
    <t>19VITAC</t>
  </si>
  <si>
    <t>19VITAB</t>
  </si>
  <si>
    <t>PF42804A</t>
  </si>
  <si>
    <t>PF46360A</t>
  </si>
  <si>
    <t>PF47626E</t>
  </si>
  <si>
    <t>PF41138A</t>
  </si>
  <si>
    <t>PF42828</t>
  </si>
  <si>
    <t>PF42828B</t>
  </si>
  <si>
    <t>PF44221</t>
  </si>
  <si>
    <t>PF46696</t>
  </si>
  <si>
    <t>PF45979</t>
  </si>
  <si>
    <t>PF45979A</t>
  </si>
  <si>
    <t>PF45979B</t>
  </si>
  <si>
    <t>PF46696A</t>
  </si>
  <si>
    <t>PF46696B</t>
  </si>
  <si>
    <t>PF48362A</t>
  </si>
  <si>
    <t>PF42828A</t>
  </si>
  <si>
    <t>PF44221B</t>
  </si>
  <si>
    <t>PF44221A</t>
  </si>
  <si>
    <t>PF49081</t>
  </si>
  <si>
    <t>PF48340</t>
  </si>
  <si>
    <t>T0</t>
  </si>
  <si>
    <t>PF36292</t>
  </si>
  <si>
    <t>PF55784A</t>
  </si>
  <si>
    <t>PF55784E</t>
  </si>
  <si>
    <t>PPIEUROB1_3Y</t>
  </si>
  <si>
    <t>PPIEUROBDALL</t>
  </si>
  <si>
    <t>PPIPROT</t>
  </si>
  <si>
    <t>JE</t>
  </si>
  <si>
    <t>3K</t>
  </si>
  <si>
    <t>7K</t>
  </si>
  <si>
    <t>9K</t>
  </si>
  <si>
    <t>JF</t>
  </si>
  <si>
    <t>JC</t>
  </si>
  <si>
    <t>JB</t>
  </si>
  <si>
    <t>JA</t>
  </si>
  <si>
    <t>PF34390</t>
  </si>
  <si>
    <t>PF35088</t>
  </si>
  <si>
    <t>T7</t>
  </si>
  <si>
    <t>PF35377</t>
  </si>
  <si>
    <t>T6</t>
  </si>
  <si>
    <t>PF36113</t>
  </si>
  <si>
    <t>PF37548</t>
  </si>
  <si>
    <t>2T</t>
  </si>
  <si>
    <t>PF37568</t>
  </si>
  <si>
    <t>PF38850</t>
  </si>
  <si>
    <t>PF36490</t>
  </si>
  <si>
    <t>3T</t>
  </si>
  <si>
    <t>5T</t>
  </si>
  <si>
    <t>8T</t>
  </si>
  <si>
    <t>PF42451</t>
  </si>
  <si>
    <t>TI</t>
  </si>
  <si>
    <t>PF40217</t>
  </si>
  <si>
    <t>PF42869</t>
  </si>
  <si>
    <t>TK</t>
  </si>
  <si>
    <t>PF38853</t>
  </si>
  <si>
    <t>PPIEUROCASH</t>
  </si>
  <si>
    <t>PPIBONFLEX</t>
  </si>
  <si>
    <t>PPIBONDITA</t>
  </si>
  <si>
    <t>PF69914S</t>
  </si>
  <si>
    <t>PF50903S</t>
  </si>
  <si>
    <t>PF69917S</t>
  </si>
  <si>
    <t>PF56542S</t>
  </si>
  <si>
    <t>PF48103S</t>
  </si>
  <si>
    <t>POVISI</t>
  </si>
  <si>
    <t>GF001</t>
  </si>
  <si>
    <t>GF006</t>
  </si>
  <si>
    <t>GF007</t>
  </si>
  <si>
    <t>GF008</t>
  </si>
  <si>
    <t>GF015</t>
  </si>
  <si>
    <t>GF019</t>
  </si>
  <si>
    <t>GF020</t>
  </si>
  <si>
    <t>GF021</t>
  </si>
  <si>
    <t>GF022</t>
  </si>
  <si>
    <t>GF024</t>
  </si>
  <si>
    <t>GF025</t>
  </si>
  <si>
    <t>GF026</t>
  </si>
  <si>
    <t>GF027</t>
  </si>
  <si>
    <t>GF028</t>
  </si>
  <si>
    <t>GF029</t>
  </si>
  <si>
    <t>GF030</t>
  </si>
  <si>
    <t>GF031</t>
  </si>
  <si>
    <t>GF032</t>
  </si>
  <si>
    <t>GF033</t>
  </si>
  <si>
    <t>GF034</t>
  </si>
  <si>
    <t>GF035</t>
  </si>
  <si>
    <t>GF036</t>
  </si>
  <si>
    <t>GP179</t>
  </si>
  <si>
    <t>GP181</t>
  </si>
  <si>
    <t>GP004</t>
  </si>
  <si>
    <t>GP017</t>
  </si>
  <si>
    <t>GP019</t>
  </si>
  <si>
    <t>GP020</t>
  </si>
  <si>
    <t>GP027</t>
  </si>
  <si>
    <t>GP028</t>
  </si>
  <si>
    <t>GP045</t>
  </si>
  <si>
    <t>GP054</t>
  </si>
  <si>
    <t>GP059</t>
  </si>
  <si>
    <t>GP063</t>
  </si>
  <si>
    <t>GP065</t>
  </si>
  <si>
    <t>GP066</t>
  </si>
  <si>
    <t>GP068</t>
  </si>
  <si>
    <t>GP069</t>
  </si>
  <si>
    <t>GP071</t>
  </si>
  <si>
    <t>GP074</t>
  </si>
  <si>
    <t>GP075</t>
  </si>
  <si>
    <t>GP076</t>
  </si>
  <si>
    <t>GP077</t>
  </si>
  <si>
    <t>GP081</t>
  </si>
  <si>
    <t>GP083</t>
  </si>
  <si>
    <t>GP084</t>
  </si>
  <si>
    <t>GP086</t>
  </si>
  <si>
    <t>GP087</t>
  </si>
  <si>
    <t>GP090</t>
  </si>
  <si>
    <t>GP094</t>
  </si>
  <si>
    <t>GP095</t>
  </si>
  <si>
    <t>GP096</t>
  </si>
  <si>
    <t>GP097</t>
  </si>
  <si>
    <t>GP098</t>
  </si>
  <si>
    <t>GP099</t>
  </si>
  <si>
    <t>GP100</t>
  </si>
  <si>
    <t>GP101</t>
  </si>
  <si>
    <t>GP103</t>
  </si>
  <si>
    <t>GP104</t>
  </si>
  <si>
    <t>GP105</t>
  </si>
  <si>
    <t>GP107</t>
  </si>
  <si>
    <t>GP108</t>
  </si>
  <si>
    <t>GP111</t>
  </si>
  <si>
    <t>GP117</t>
  </si>
  <si>
    <t>GP119</t>
  </si>
  <si>
    <t>GP120</t>
  </si>
  <si>
    <t>GP121</t>
  </si>
  <si>
    <t>GP127</t>
  </si>
  <si>
    <t>GP132</t>
  </si>
  <si>
    <t>GP133</t>
  </si>
  <si>
    <t>GP136</t>
  </si>
  <si>
    <t>GP137</t>
  </si>
  <si>
    <t>GP139</t>
  </si>
  <si>
    <t>GP140</t>
  </si>
  <si>
    <t>GP141</t>
  </si>
  <si>
    <t>GP142</t>
  </si>
  <si>
    <t>GP144</t>
  </si>
  <si>
    <t>GP150</t>
  </si>
  <si>
    <t>GP151</t>
  </si>
  <si>
    <t>GP152</t>
  </si>
  <si>
    <t>GP154</t>
  </si>
  <si>
    <t>GP155</t>
  </si>
  <si>
    <t>GP156</t>
  </si>
  <si>
    <t>GP159</t>
  </si>
  <si>
    <t>GP161</t>
  </si>
  <si>
    <t>GP162</t>
  </si>
  <si>
    <t>GP164</t>
  </si>
  <si>
    <t>GP165</t>
  </si>
  <si>
    <t>GP166</t>
  </si>
  <si>
    <t>GP168</t>
  </si>
  <si>
    <t>GP170</t>
  </si>
  <si>
    <t>GP171</t>
  </si>
  <si>
    <t>GP172</t>
  </si>
  <si>
    <t>GP173</t>
  </si>
  <si>
    <t>GP174</t>
  </si>
  <si>
    <t>GP175</t>
  </si>
  <si>
    <t>GP176</t>
  </si>
  <si>
    <t>GP178</t>
  </si>
  <si>
    <t>GP180</t>
  </si>
  <si>
    <t>GP182</t>
  </si>
  <si>
    <t>GP183</t>
  </si>
  <si>
    <t>GP184</t>
  </si>
  <si>
    <t>GP185</t>
  </si>
  <si>
    <t>GP186</t>
  </si>
  <si>
    <t>GP187</t>
  </si>
  <si>
    <t>GP188</t>
  </si>
  <si>
    <t>GP189</t>
  </si>
  <si>
    <t>GP190</t>
  </si>
  <si>
    <t>GP191</t>
  </si>
  <si>
    <t>GP192</t>
  </si>
  <si>
    <t>GP193</t>
  </si>
  <si>
    <t>GP194</t>
  </si>
  <si>
    <t>GP195</t>
  </si>
  <si>
    <t>GP196</t>
  </si>
  <si>
    <t>GP198</t>
  </si>
  <si>
    <t>GP199</t>
  </si>
  <si>
    <t>GP200</t>
  </si>
  <si>
    <t>GP201</t>
  </si>
  <si>
    <t>GP202</t>
  </si>
  <si>
    <t>GP203</t>
  </si>
  <si>
    <t>GP204</t>
  </si>
  <si>
    <t>GP205</t>
  </si>
  <si>
    <t>GP207</t>
  </si>
  <si>
    <t>GP208</t>
  </si>
  <si>
    <t>GP209</t>
  </si>
  <si>
    <t>GP210</t>
  </si>
  <si>
    <t>GP211</t>
  </si>
  <si>
    <t>GP212</t>
  </si>
  <si>
    <t>GP213</t>
  </si>
  <si>
    <t>GP214</t>
  </si>
  <si>
    <t>GP215</t>
  </si>
  <si>
    <t>GP216</t>
  </si>
  <si>
    <t>GP217</t>
  </si>
  <si>
    <t>GP218</t>
  </si>
  <si>
    <t>GP219</t>
  </si>
  <si>
    <t>GP220</t>
  </si>
  <si>
    <t>GP222</t>
  </si>
  <si>
    <t>GP223</t>
  </si>
  <si>
    <t>GP224</t>
  </si>
  <si>
    <t>GP225</t>
  </si>
  <si>
    <t>GP226</t>
  </si>
  <si>
    <t>GP227</t>
  </si>
  <si>
    <t>GP229</t>
  </si>
  <si>
    <t>GP230</t>
  </si>
  <si>
    <t>GP231</t>
  </si>
  <si>
    <t>GP232</t>
  </si>
  <si>
    <t>GP206</t>
  </si>
  <si>
    <t>GS000</t>
  </si>
  <si>
    <t>GS001</t>
  </si>
  <si>
    <t>GS002</t>
  </si>
  <si>
    <t>GS003</t>
  </si>
  <si>
    <t>GS004</t>
  </si>
  <si>
    <t>CBMOD109</t>
  </si>
  <si>
    <t>PPIBIL</t>
  </si>
  <si>
    <t>PPICAU</t>
  </si>
  <si>
    <t>PPIDIN</t>
  </si>
  <si>
    <t>PPIEQ</t>
  </si>
  <si>
    <t>PPIPRU</t>
  </si>
  <si>
    <t>CBMOD103</t>
  </si>
  <si>
    <t>CBMOD104</t>
  </si>
  <si>
    <t>CBMOD112</t>
  </si>
  <si>
    <t>MPRBABIL</t>
  </si>
  <si>
    <t>MPRBADIN</t>
  </si>
  <si>
    <t>MPRBAPRU</t>
  </si>
  <si>
    <t>MPRMGDIN</t>
  </si>
  <si>
    <t>MPRRABIL</t>
  </si>
  <si>
    <t>MPRTEBIL</t>
  </si>
  <si>
    <t>MPRTEDIN</t>
  </si>
  <si>
    <t>MPRTEPRU</t>
  </si>
  <si>
    <t>IDEABIL</t>
  </si>
  <si>
    <t>IDEADIN</t>
  </si>
  <si>
    <t>IDEAPRUD</t>
  </si>
  <si>
    <t>PF71589</t>
  </si>
  <si>
    <t>PF41138</t>
  </si>
  <si>
    <t>PF42804</t>
  </si>
  <si>
    <t>PF42804B</t>
  </si>
  <si>
    <t>PF46360</t>
  </si>
  <si>
    <t>PF46360B</t>
  </si>
  <si>
    <t>PF47626</t>
  </si>
  <si>
    <t>PF47626B</t>
  </si>
  <si>
    <t>PF41138B</t>
  </si>
  <si>
    <t>PF70219</t>
  </si>
  <si>
    <t>PF72531</t>
  </si>
  <si>
    <t>PF75858</t>
  </si>
  <si>
    <t>PF51069</t>
  </si>
  <si>
    <t>PF51069B</t>
  </si>
  <si>
    <t>PF52588</t>
  </si>
  <si>
    <t>PF52588B</t>
  </si>
  <si>
    <t>PF48362</t>
  </si>
  <si>
    <t>PF48362B</t>
  </si>
  <si>
    <t>PF77739</t>
  </si>
  <si>
    <t>PF79121</t>
  </si>
  <si>
    <t>PF58318</t>
  </si>
  <si>
    <t>PF63089</t>
  </si>
  <si>
    <t>PF67939</t>
  </si>
  <si>
    <t>7T</t>
  </si>
  <si>
    <t>PF39334</t>
  </si>
  <si>
    <t>PF39814</t>
  </si>
  <si>
    <t>PF46226</t>
  </si>
  <si>
    <t>PF47769</t>
  </si>
  <si>
    <t>PF47763</t>
  </si>
  <si>
    <t>PF44887</t>
  </si>
  <si>
    <t>PF46661</t>
  </si>
  <si>
    <t>PF43456</t>
  </si>
  <si>
    <t>PF49664</t>
  </si>
  <si>
    <t>PF67945</t>
  </si>
  <si>
    <t>PF70216</t>
  </si>
  <si>
    <t>PF72534</t>
  </si>
  <si>
    <t>PF70125</t>
  </si>
  <si>
    <t>PF72131</t>
  </si>
  <si>
    <t>PF55073</t>
  </si>
  <si>
    <t>PF56576</t>
  </si>
  <si>
    <t>PF57085</t>
  </si>
  <si>
    <t>PF63062</t>
  </si>
  <si>
    <t>PF73107</t>
  </si>
  <si>
    <t>PF78913</t>
  </si>
  <si>
    <t>PF58494</t>
  </si>
  <si>
    <t>PF67672</t>
  </si>
  <si>
    <t>E229</t>
  </si>
  <si>
    <t>E229W</t>
  </si>
  <si>
    <t>PF75130</t>
  </si>
  <si>
    <t>PF77699</t>
  </si>
  <si>
    <t>PF78919</t>
  </si>
  <si>
    <t>PF75855</t>
  </si>
  <si>
    <t>PF69914</t>
  </si>
  <si>
    <t>PF50903</t>
  </si>
  <si>
    <t>PF69917</t>
  </si>
  <si>
    <t>PF56542</t>
  </si>
  <si>
    <t>PF48103</t>
  </si>
  <si>
    <t>M942</t>
  </si>
  <si>
    <t>M940</t>
  </si>
  <si>
    <t>PF76604</t>
  </si>
  <si>
    <t>X66880</t>
  </si>
  <si>
    <t>X65074</t>
  </si>
  <si>
    <t>X65071</t>
  </si>
  <si>
    <t>X65073</t>
  </si>
  <si>
    <t>X65072</t>
  </si>
  <si>
    <t>X65070</t>
  </si>
  <si>
    <t>X66590</t>
  </si>
  <si>
    <t>X66324</t>
  </si>
  <si>
    <t>X66325</t>
  </si>
  <si>
    <t>X66326</t>
  </si>
  <si>
    <t>X65051</t>
  </si>
  <si>
    <t>X65064</t>
  </si>
  <si>
    <t>X65474</t>
  </si>
  <si>
    <t>X65076</t>
  </si>
  <si>
    <t>X66795</t>
  </si>
  <si>
    <t>X66772</t>
  </si>
  <si>
    <t>X66891</t>
  </si>
  <si>
    <t>X66797</t>
  </si>
  <si>
    <t>XCRU</t>
  </si>
  <si>
    <t>XCAVFUT</t>
  </si>
  <si>
    <t>XCAVFUT2</t>
  </si>
  <si>
    <t>XCREDGEST</t>
  </si>
  <si>
    <t>XCREDCAP</t>
  </si>
  <si>
    <t>XCRUNIPREV</t>
  </si>
  <si>
    <t>X66827</t>
  </si>
  <si>
    <t>X66865</t>
  </si>
  <si>
    <t>X66864</t>
  </si>
  <si>
    <t>XDC</t>
  </si>
  <si>
    <t>XDG</t>
  </si>
  <si>
    <t>XDRR</t>
  </si>
  <si>
    <t>X67114</t>
  </si>
  <si>
    <t>X66879</t>
  </si>
  <si>
    <t>XPVFIP</t>
  </si>
  <si>
    <t>X66816</t>
  </si>
  <si>
    <t>VMG1857</t>
  </si>
  <si>
    <t>ARSTARS</t>
  </si>
  <si>
    <t>PF71084C1</t>
  </si>
  <si>
    <t>PF71084C2</t>
  </si>
  <si>
    <t>PF71084C3</t>
  </si>
  <si>
    <t>PF71084C4</t>
  </si>
  <si>
    <t>PF71084C5</t>
  </si>
  <si>
    <t>PF71084C6</t>
  </si>
  <si>
    <t>PF71084C7</t>
  </si>
  <si>
    <t>PF71084C8</t>
  </si>
  <si>
    <t>PF71084C21</t>
  </si>
  <si>
    <t>PF71084</t>
  </si>
  <si>
    <t>PF71084C16</t>
  </si>
  <si>
    <t>PF71084C17</t>
  </si>
  <si>
    <t>PF71084C9</t>
  </si>
  <si>
    <t>PF71084C11</t>
  </si>
  <si>
    <t>PF71084C12</t>
  </si>
  <si>
    <t>PF71084C10</t>
  </si>
  <si>
    <t>PF71084C18</t>
  </si>
  <si>
    <t>PF71084C13</t>
  </si>
  <si>
    <t>PF71084C14</t>
  </si>
  <si>
    <t>PF71084C15</t>
  </si>
  <si>
    <t>PF71084C19</t>
  </si>
  <si>
    <t>EAREC16</t>
  </si>
  <si>
    <t>EARGC8</t>
  </si>
  <si>
    <t>EARGC1</t>
  </si>
  <si>
    <t>EARGC17</t>
  </si>
  <si>
    <t>EARGC18</t>
  </si>
  <si>
    <t>EARGC14</t>
  </si>
  <si>
    <t>EARGC13</t>
  </si>
  <si>
    <t>EARGC15</t>
  </si>
  <si>
    <t>EARGC16</t>
  </si>
  <si>
    <t>PF73059C2</t>
  </si>
  <si>
    <t>PF73059C3</t>
  </si>
  <si>
    <t>PF73059C4</t>
  </si>
  <si>
    <t>PF73059C5</t>
  </si>
  <si>
    <t>PF73059C6</t>
  </si>
  <si>
    <t>PF73059C7</t>
  </si>
  <si>
    <t>PF73059C19</t>
  </si>
  <si>
    <t>PF73059</t>
  </si>
  <si>
    <t>PF73059C8</t>
  </si>
  <si>
    <t>PF73059C13</t>
  </si>
  <si>
    <t>PF73059C14</t>
  </si>
  <si>
    <t>PF73059C9</t>
  </si>
  <si>
    <t>PF73059C10</t>
  </si>
  <si>
    <t>PF73059C15</t>
  </si>
  <si>
    <t>PF73059C20</t>
  </si>
  <si>
    <t>PF73059C17</t>
  </si>
  <si>
    <t>PF73059C11</t>
  </si>
  <si>
    <t>PF73059C12</t>
  </si>
  <si>
    <t>PF73059C16</t>
  </si>
  <si>
    <t>PF73059C1</t>
  </si>
  <si>
    <t>PF73059C18</t>
  </si>
  <si>
    <t>PF55784</t>
  </si>
  <si>
    <t>E177</t>
  </si>
  <si>
    <t>E177C1</t>
  </si>
  <si>
    <t>E177C2</t>
  </si>
  <si>
    <t>E177C3</t>
  </si>
  <si>
    <t>E174</t>
  </si>
  <si>
    <t>E174C1</t>
  </si>
  <si>
    <t>E178</t>
  </si>
  <si>
    <t>E178C1</t>
  </si>
  <si>
    <t>E184</t>
  </si>
  <si>
    <t>E184C1</t>
  </si>
  <si>
    <t>EAREPS1</t>
  </si>
  <si>
    <t>EAREPS2</t>
  </si>
  <si>
    <t>EAREPS</t>
  </si>
  <si>
    <t>PF75292</t>
  </si>
  <si>
    <t>PF75292C1</t>
  </si>
  <si>
    <t>UCON</t>
  </si>
  <si>
    <t>UCONB</t>
  </si>
  <si>
    <t>PF75451</t>
  </si>
  <si>
    <t>PF75451LD</t>
  </si>
  <si>
    <t>PF75451PFC</t>
  </si>
  <si>
    <t>PF75451PFD</t>
  </si>
  <si>
    <t>XFCRV</t>
  </si>
  <si>
    <t>IHYPE</t>
  </si>
  <si>
    <t>G6568</t>
  </si>
  <si>
    <t>PATRIMONIO</t>
  </si>
  <si>
    <t>E210C1</t>
  </si>
  <si>
    <t>E210</t>
  </si>
  <si>
    <t>MPRIMO</t>
  </si>
  <si>
    <t>PF77282A</t>
  </si>
  <si>
    <t>PF77282B</t>
  </si>
  <si>
    <t>PF77282</t>
  </si>
  <si>
    <t>TG125</t>
  </si>
  <si>
    <t>TG175</t>
  </si>
  <si>
    <t>TG250</t>
  </si>
  <si>
    <t>XZG</t>
  </si>
  <si>
    <t>PF80086</t>
  </si>
  <si>
    <t>PF80080</t>
  </si>
  <si>
    <t>PF48404</t>
  </si>
  <si>
    <t>PF48406</t>
  </si>
  <si>
    <t>PF48408</t>
  </si>
  <si>
    <t>PF43979</t>
  </si>
  <si>
    <t>PF39889</t>
  </si>
  <si>
    <t>PF47699</t>
  </si>
  <si>
    <t>PF39891</t>
  </si>
  <si>
    <t>PF52242</t>
  </si>
  <si>
    <t>PF39893</t>
  </si>
  <si>
    <t>MODPTF7030</t>
  </si>
  <si>
    <t>M30168</t>
  </si>
  <si>
    <t>M30168A</t>
  </si>
  <si>
    <t>M1129</t>
  </si>
  <si>
    <t>PF69191B</t>
  </si>
  <si>
    <t>PF69191</t>
  </si>
  <si>
    <t>PF69191A</t>
  </si>
  <si>
    <t>PF48727A</t>
  </si>
  <si>
    <t>PF58178</t>
  </si>
  <si>
    <t>PF69845</t>
  </si>
  <si>
    <t>PF69845B</t>
  </si>
  <si>
    <t>PF69845A</t>
  </si>
  <si>
    <t>PF70685</t>
  </si>
  <si>
    <t>PF70685A</t>
  </si>
  <si>
    <t>PF47239C</t>
  </si>
  <si>
    <t>PF47239D</t>
  </si>
  <si>
    <t>PF47239A</t>
  </si>
  <si>
    <t>PF47239AHK</t>
  </si>
  <si>
    <t>PF47239</t>
  </si>
  <si>
    <t>PF47239FE</t>
  </si>
  <si>
    <t>PF47239FEQD</t>
  </si>
  <si>
    <t>PF47239SE</t>
  </si>
  <si>
    <t>PF47239SEQD</t>
  </si>
  <si>
    <t>PF47239IE</t>
  </si>
  <si>
    <t>PF47239ME</t>
  </si>
  <si>
    <t>PF47239IHJ</t>
  </si>
  <si>
    <t>PF47239I4</t>
  </si>
  <si>
    <t>PF47239OFE</t>
  </si>
  <si>
    <t>LIID</t>
  </si>
  <si>
    <t>RDTPL</t>
  </si>
  <si>
    <t>RDTPLI2</t>
  </si>
  <si>
    <t>RDTPLM</t>
  </si>
  <si>
    <t>RDTPLO</t>
  </si>
  <si>
    <t>RDTPLP</t>
  </si>
  <si>
    <t>RDTPLD</t>
  </si>
  <si>
    <t>RDTPLA</t>
  </si>
  <si>
    <t>RDTPLR</t>
  </si>
  <si>
    <t>RDTPLRET</t>
  </si>
  <si>
    <t>RDTPLC</t>
  </si>
  <si>
    <t>S50087</t>
  </si>
  <si>
    <t>CARPO</t>
  </si>
  <si>
    <t>PF69308</t>
  </si>
  <si>
    <t>GARLT</t>
  </si>
  <si>
    <t>HARM2</t>
  </si>
  <si>
    <t>HARM2A</t>
  </si>
  <si>
    <t>S100167</t>
  </si>
  <si>
    <t>S105086</t>
  </si>
  <si>
    <t>L4814</t>
  </si>
  <si>
    <t>L4814T</t>
  </si>
  <si>
    <t>MDF89</t>
  </si>
  <si>
    <t>MODMULTASSET</t>
  </si>
  <si>
    <t>MORDTPLMR</t>
  </si>
  <si>
    <t>MONAC</t>
  </si>
  <si>
    <t>L687B</t>
  </si>
  <si>
    <t>L750</t>
  </si>
  <si>
    <t>PF56129</t>
  </si>
  <si>
    <t>PF77994</t>
  </si>
  <si>
    <t>L12642</t>
  </si>
  <si>
    <t>PF42243</t>
  </si>
  <si>
    <t>MODPARD</t>
  </si>
  <si>
    <t>MODPGD</t>
  </si>
  <si>
    <t>L415</t>
  </si>
  <si>
    <t>L11423</t>
  </si>
  <si>
    <t>M204</t>
  </si>
  <si>
    <t>PF49921</t>
  </si>
  <si>
    <t>L477</t>
  </si>
  <si>
    <t>M1129B</t>
  </si>
  <si>
    <t>L10624</t>
  </si>
  <si>
    <t>L10624B</t>
  </si>
  <si>
    <t>PF46335</t>
  </si>
  <si>
    <t>FONCA</t>
  </si>
  <si>
    <t>PF64685</t>
  </si>
  <si>
    <t>FPI</t>
  </si>
  <si>
    <t>PF48727</t>
  </si>
  <si>
    <t>M30230</t>
  </si>
  <si>
    <t>M30230B</t>
  </si>
  <si>
    <t>PF35108</t>
  </si>
  <si>
    <t>PF35068</t>
  </si>
  <si>
    <t>S100167B</t>
  </si>
  <si>
    <t>FLAMAOB</t>
  </si>
  <si>
    <t>L933OB</t>
  </si>
  <si>
    <t>M256</t>
  </si>
  <si>
    <t>PF79445</t>
  </si>
  <si>
    <t>PF39521F</t>
  </si>
  <si>
    <t>PF39524F</t>
  </si>
  <si>
    <t>PF39527F</t>
  </si>
  <si>
    <t>L11002</t>
  </si>
  <si>
    <t>L11002I3</t>
  </si>
  <si>
    <t>L10988</t>
  </si>
  <si>
    <t>L10988AUDH</t>
  </si>
  <si>
    <t>L10988CADH</t>
  </si>
  <si>
    <t>L10988GBPH</t>
  </si>
  <si>
    <t>L10988HKD</t>
  </si>
  <si>
    <t>L10988NZDH</t>
  </si>
  <si>
    <t>L10988RH</t>
  </si>
  <si>
    <t>L10988USD</t>
  </si>
  <si>
    <t>L10988I2</t>
  </si>
  <si>
    <t>L10988I3</t>
  </si>
  <si>
    <t>L11013</t>
  </si>
  <si>
    <t>L11013I3</t>
  </si>
  <si>
    <t>S50087G</t>
  </si>
  <si>
    <t>BCTAP0201</t>
  </si>
  <si>
    <t>BCTAP0101</t>
  </si>
  <si>
    <t>BCTAP0301</t>
  </si>
  <si>
    <t>BCTAP0501</t>
  </si>
  <si>
    <t>BCTAPXX01</t>
  </si>
  <si>
    <t>PF70831</t>
  </si>
  <si>
    <t>PF34851</t>
  </si>
  <si>
    <t>PF34851A</t>
  </si>
  <si>
    <t>SGQ1</t>
  </si>
  <si>
    <t>M17185</t>
  </si>
  <si>
    <t>13H111</t>
  </si>
  <si>
    <t>MODENGEC</t>
  </si>
  <si>
    <t>L6102</t>
  </si>
  <si>
    <t>PF36175</t>
  </si>
  <si>
    <t>PF68074A</t>
  </si>
  <si>
    <t>PF68074B</t>
  </si>
  <si>
    <t>PF54072B</t>
  </si>
  <si>
    <t>APPO</t>
  </si>
  <si>
    <t>S50079</t>
  </si>
  <si>
    <t>L081A</t>
  </si>
  <si>
    <t>M055</t>
  </si>
  <si>
    <t>GRISSA</t>
  </si>
  <si>
    <t>PF36228E</t>
  </si>
  <si>
    <t>CARP</t>
  </si>
  <si>
    <t>CARPA</t>
  </si>
  <si>
    <t>L10624A</t>
  </si>
  <si>
    <t>FDRNSGAM</t>
  </si>
  <si>
    <t>S50025</t>
  </si>
  <si>
    <t>M30230A</t>
  </si>
  <si>
    <t>SGQ1B</t>
  </si>
  <si>
    <t>SGQ1C</t>
  </si>
  <si>
    <t>M17185B</t>
  </si>
  <si>
    <t>M17185C</t>
  </si>
  <si>
    <t>13H111B</t>
  </si>
  <si>
    <t>13H111C</t>
  </si>
  <si>
    <t>S100167A</t>
  </si>
  <si>
    <t>L4814A</t>
  </si>
  <si>
    <t>MOMAGEMUCTD</t>
  </si>
  <si>
    <t>MODMAGEMUMIL</t>
  </si>
  <si>
    <t>MODTDEUROPE</t>
  </si>
  <si>
    <t>MODMHKEQWL</t>
  </si>
  <si>
    <t>MODTDWORLD</t>
  </si>
  <si>
    <t>L687A</t>
  </si>
  <si>
    <t>PF39677AE</t>
  </si>
  <si>
    <t>PF39699AE</t>
  </si>
  <si>
    <t>PF39699AM</t>
  </si>
  <si>
    <t>PF39702AE</t>
  </si>
  <si>
    <t>PF39702AM</t>
  </si>
  <si>
    <t>PF36175A</t>
  </si>
  <si>
    <t>PF36175C</t>
  </si>
  <si>
    <t>PF56885</t>
  </si>
  <si>
    <t>PF56885A</t>
  </si>
  <si>
    <t>PF56885D</t>
  </si>
  <si>
    <t>PF56885B</t>
  </si>
  <si>
    <t>PF56885C</t>
  </si>
  <si>
    <t>PF56885S</t>
  </si>
  <si>
    <t>PF49676</t>
  </si>
  <si>
    <t xml:space="preserve">Actif net (portefeuille) - EUR </t>
  </si>
  <si>
    <t>Portfolio Manager</t>
  </si>
  <si>
    <t>DIOP 1</t>
  </si>
  <si>
    <t>DIOP 2</t>
  </si>
  <si>
    <t>Multhem</t>
  </si>
  <si>
    <t>On a List?</t>
  </si>
  <si>
    <t>Macro Process</t>
  </si>
  <si>
    <t>Micro Process</t>
  </si>
  <si>
    <t>Yes</t>
  </si>
  <si>
    <t>On Original Risk List or Added by Ronan?</t>
  </si>
  <si>
    <t xml:space="preserve">On Original Risk List  </t>
  </si>
  <si>
    <t>Ronan Comment</t>
  </si>
  <si>
    <t>Added by Ronan</t>
  </si>
  <si>
    <t>AuM in Audit File</t>
  </si>
  <si>
    <t>Needs a Macro &amp; Micro Process assigned?</t>
  </si>
  <si>
    <t>Strategy Type</t>
  </si>
  <si>
    <t>Strategy Detail</t>
  </si>
  <si>
    <t>AAPROT80</t>
  </si>
  <si>
    <t>Not on another list - but included verbally by Salva</t>
  </si>
  <si>
    <t>Original</t>
  </si>
  <si>
    <t>Added</t>
  </si>
  <si>
    <t xml:space="preserve">Added   </t>
  </si>
  <si>
    <t>Unit Linked Multi Thematic Global Eq</t>
  </si>
  <si>
    <t>MUSG</t>
  </si>
  <si>
    <t>Univalore Stars Growth - Comanaged with Fund Selection -</t>
  </si>
  <si>
    <t>Allocation Driven Strategies</t>
  </si>
  <si>
    <t>Income</t>
  </si>
  <si>
    <t>Conservative</t>
  </si>
  <si>
    <t>Outcome Oriented Strategies</t>
  </si>
  <si>
    <t>DISCRETIONARY INCOME ORIENTED PRODUCTS 1</t>
  </si>
  <si>
    <t>DISCRETIONARY INCOME ORIENTED PRODUCTS 2</t>
  </si>
  <si>
    <t>Aum from Jun file</t>
  </si>
  <si>
    <t>Fund or Model</t>
  </si>
  <si>
    <t>Fund</t>
  </si>
  <si>
    <t>Difference final</t>
  </si>
  <si>
    <t>Yes or No</t>
  </si>
  <si>
    <t>Sum of Difference final</t>
  </si>
  <si>
    <t>Service Fund</t>
  </si>
  <si>
    <t>Grand Total</t>
  </si>
  <si>
    <t>Flexible</t>
  </si>
  <si>
    <t>Growth</t>
  </si>
  <si>
    <t>Moderate</t>
  </si>
  <si>
    <t>Capital Guaranteed</t>
  </si>
  <si>
    <t>Capital Protection</t>
  </si>
  <si>
    <t>Risk Accumulation</t>
  </si>
  <si>
    <t>Bond</t>
  </si>
  <si>
    <t>Equity</t>
  </si>
  <si>
    <t>Thematic</t>
  </si>
  <si>
    <t>Total</t>
  </si>
  <si>
    <t>Conservative Total</t>
  </si>
  <si>
    <t>Flexible Total</t>
  </si>
  <si>
    <t>Growth Total</t>
  </si>
  <si>
    <t>Thematic Total</t>
  </si>
  <si>
    <t>Allocation Driven Strategies Total</t>
  </si>
  <si>
    <t>Capital Guaranteed Total</t>
  </si>
  <si>
    <t>Income Total</t>
  </si>
  <si>
    <t>Outcome Oriented Strategies Total</t>
  </si>
  <si>
    <t>Service Fund Total</t>
  </si>
  <si>
    <t>Moderate Total</t>
  </si>
  <si>
    <t>Risk Accumulation Total</t>
  </si>
  <si>
    <t>Row Labels</t>
  </si>
  <si>
    <t>Values</t>
  </si>
  <si>
    <t>Amundi Fund Solutions - Diversified Income Best Select 2022</t>
  </si>
  <si>
    <t>PF80513</t>
  </si>
  <si>
    <t>From Risk - Fund Responsibility - Dublin Funds</t>
  </si>
  <si>
    <t>ASI - PROGETTO AZION MILLENNIALS</t>
  </si>
  <si>
    <t>Aum from Jun file Old</t>
  </si>
  <si>
    <t>Difference</t>
  </si>
  <si>
    <t>ASSET ALLOCATION MODEL PROTETTO 80</t>
  </si>
  <si>
    <t>AMUNDI UNICREDIT PREMIUM PORT - DYNAMIC</t>
  </si>
  <si>
    <t>AMUNDI UNICREDIT PREM PORT- MULTI ASSET</t>
  </si>
  <si>
    <t>AMUNDI UNICREDIT PREM PORT- PRUDENTIAL</t>
  </si>
  <si>
    <t>PF82304</t>
  </si>
  <si>
    <t>ASI - PROGETTO AZION MILLENNIALS II</t>
  </si>
  <si>
    <t>CNPTHEMPROT</t>
  </si>
  <si>
    <t>CRVTHEMPROT</t>
  </si>
  <si>
    <t>CNP THEMATIC PROTECTION 80</t>
  </si>
  <si>
    <t>CRV THEMATIC PROTECTION 80</t>
  </si>
  <si>
    <t>From Risk - Fund Responsibility - Model Portfolios</t>
  </si>
  <si>
    <t>Difference Between Feb 2019 - April 2020</t>
  </si>
  <si>
    <t>AUM from our AUM April 2020 file Test</t>
  </si>
  <si>
    <t>AUM from our AUM Feb 2019 file Test</t>
  </si>
  <si>
    <t>AUM from our AUM Feb 2020 file in mln *</t>
  </si>
  <si>
    <t>AUM from our AUM April 2020 file  in mln*</t>
  </si>
  <si>
    <t>AUM from our AUM 31st March 2020 file</t>
  </si>
  <si>
    <t>AUM from our AUM 30 April 2020 file</t>
  </si>
  <si>
    <t>Flows April</t>
  </si>
  <si>
    <t>Difference In AUM</t>
  </si>
  <si>
    <t>Flows April mln</t>
  </si>
  <si>
    <t>Sum of Difference In AUM</t>
  </si>
  <si>
    <t>Sum of Flows April mln</t>
  </si>
  <si>
    <t>Model</t>
  </si>
  <si>
    <t>ULECSTARS</t>
  </si>
  <si>
    <t>UDM6</t>
  </si>
  <si>
    <t>UDM7</t>
  </si>
  <si>
    <t>UDM9</t>
  </si>
  <si>
    <t>UL Global Equity Dividend &amp; Subordinated</t>
  </si>
  <si>
    <t>Unidiamond + Azionaria America</t>
  </si>
  <si>
    <t>Life Program Azionario Pacifico</t>
  </si>
  <si>
    <t>Unidiamond + Azionaria Intl</t>
  </si>
  <si>
    <t>TBD</t>
  </si>
  <si>
    <t>PF87100</t>
  </si>
  <si>
    <t>PF87115</t>
  </si>
  <si>
    <t>BAL Multimanagement</t>
  </si>
  <si>
    <t>AMU BAL SDA Fds de Fds (used some absolute limits with High Rik with Equity exposure 0/120% and currency exposure up to 100%</t>
  </si>
  <si>
    <t>AMUNDI FUND SOLUTIONS - SABADELL URQUIJO ACUMULACION</t>
  </si>
  <si>
    <t>AMUNDI FUND SOLUTIONS - SABADELL URQUIJO CRECIMIENTO</t>
  </si>
  <si>
    <t>AMU BAL SDA Fds de Fds (used absolute limits High risk)</t>
  </si>
  <si>
    <t>AMUNDI ELITE THEMATIC MULTI ASSET</t>
  </si>
  <si>
    <t>PF88524</t>
  </si>
  <si>
    <t>AUM 9th April 2021 file in mln*</t>
  </si>
  <si>
    <t>AUM 31st Dec 2020 file  in mln**</t>
  </si>
  <si>
    <t>Sum of Flows QTD mln</t>
  </si>
  <si>
    <t>AFS - SABADELL URQUIJO CRECIMIENTO</t>
  </si>
  <si>
    <t>AFS - SABADELL URQUIJO ACUMULACION</t>
  </si>
  <si>
    <t>Univalore Stars Growth</t>
  </si>
  <si>
    <t>AFS- CONSERVATIVE</t>
  </si>
  <si>
    <t>AFS - BALANCED</t>
  </si>
  <si>
    <t>AMUNDI ELITE THEMATIC MA</t>
  </si>
  <si>
    <t>Funds</t>
  </si>
  <si>
    <t>ASI - PROGETTO AZIONE ENERGY TRANSITION</t>
  </si>
  <si>
    <t>EFI Absolute Return</t>
  </si>
  <si>
    <t>Flows mln QTD</t>
  </si>
  <si>
    <t>Portfolio Names</t>
  </si>
  <si>
    <t>Strategy</t>
  </si>
  <si>
    <t xml:space="preserve"> Difference In AUM</t>
  </si>
  <si>
    <t>Diff: €+389m</t>
  </si>
  <si>
    <t>F100123</t>
  </si>
  <si>
    <t>Amundi Env and Climate Change Sol Fund</t>
  </si>
  <si>
    <t>AFS - CONSERVATIVE</t>
  </si>
  <si>
    <t>AFS - DIVERSIFIED GROWTH - A</t>
  </si>
  <si>
    <r>
      <t xml:space="preserve"> Difference  mln In AUM</t>
    </r>
    <r>
      <rPr>
        <b/>
        <sz val="11"/>
        <color theme="0"/>
        <rFont val="Calibri"/>
        <family val="2"/>
      </rPr>
      <t>€</t>
    </r>
  </si>
  <si>
    <t>Flows mln QTD €</t>
  </si>
  <si>
    <t>Difference In AUM mln QTD €</t>
  </si>
  <si>
    <t>ASI - PROGETTO AZIONE ENERGY TRANSITION (II)</t>
  </si>
  <si>
    <t>PF89408</t>
  </si>
  <si>
    <t>PF88300</t>
  </si>
  <si>
    <t>UNGOALS</t>
  </si>
  <si>
    <t>Unit Linked UN GOALS</t>
  </si>
  <si>
    <t>(blank)</t>
  </si>
  <si>
    <t>(blank) Total</t>
  </si>
  <si>
    <t>ASI - PA CAMBIAMENTO CLIMATICO - E</t>
  </si>
  <si>
    <t>ASI - PA CAMBIAMENTO CLIMATICO (II) - E</t>
  </si>
  <si>
    <t>ASI - PA MEGATREND - E</t>
  </si>
  <si>
    <t>ASI - PA MEGATREND (II) - E</t>
  </si>
  <si>
    <t>ASI - PA MILLENNIALS</t>
  </si>
  <si>
    <t>ASI - PA MILLENNIALS II</t>
  </si>
  <si>
    <t>ASI - PA ENERGY TRANSITION</t>
  </si>
  <si>
    <t>ASI - PA ENERGY TRANSITION (II)</t>
  </si>
  <si>
    <t>AMUNDI SOLUZIONI ITALIA - PROGETTO AZIONE INFRASTRUTTURE SOSTENIBILI</t>
  </si>
  <si>
    <t>ASI - PA INFRASTRUTTURE SOSTENIBILI</t>
  </si>
  <si>
    <t>Totals</t>
  </si>
  <si>
    <t>PF95239</t>
  </si>
  <si>
    <t>AMUNDI SOLUZIONI ITALIA - PROGETTO AZIONE INFRASTRUTTURE SOSTENIBILI (II)</t>
  </si>
  <si>
    <t>PF52231</t>
  </si>
  <si>
    <t>AMUNDI SENTIERO SOSTENIBILE</t>
  </si>
  <si>
    <t>SAXO</t>
  </si>
  <si>
    <t>SAXO EUROPE</t>
  </si>
  <si>
    <t>Jen</t>
  </si>
  <si>
    <t>CNP Linea Protetta Dinamica Plus</t>
  </si>
  <si>
    <t>Column Labels</t>
  </si>
  <si>
    <t>Total Flows mln QTD €</t>
  </si>
  <si>
    <t>Total Difference In AUM mln QTD €</t>
  </si>
  <si>
    <t>CRVPROT80</t>
  </si>
  <si>
    <t>CNPPROT80</t>
  </si>
  <si>
    <t>CNP Protection 80</t>
  </si>
  <si>
    <t>CRV Protection 80</t>
  </si>
  <si>
    <t>ULMATREND</t>
  </si>
  <si>
    <t>Unit Linked Multi Asset Trend</t>
  </si>
  <si>
    <t>Unit Linked Future Trend</t>
  </si>
  <si>
    <t xml:space="preserve">ULFTREND </t>
  </si>
  <si>
    <t xml:space="preserve">AFS ICAV Planet ESG Conservative </t>
  </si>
  <si>
    <t>AFS ICAV Planet ESG Balanced</t>
  </si>
  <si>
    <t xml:space="preserve">AFS ICAV Planet ESG Dynamic </t>
  </si>
  <si>
    <t>PF101372</t>
  </si>
  <si>
    <t>PF101376</t>
  </si>
  <si>
    <t>PF101380</t>
  </si>
  <si>
    <t>Flows mln Q1 €</t>
  </si>
  <si>
    <t>Difference In AUM mln Q1 €</t>
  </si>
  <si>
    <t>Q123 Flows mln</t>
  </si>
  <si>
    <t>Q123 Difference In  AUM</t>
  </si>
  <si>
    <t>Total Aum  mln</t>
  </si>
  <si>
    <t>Flows mln 1Q €</t>
  </si>
  <si>
    <t>PF103025</t>
  </si>
  <si>
    <t>ASI - PROGETTO AZIONE FUTURO GREEN</t>
  </si>
  <si>
    <t>Sum of % Change Flows</t>
  </si>
  <si>
    <t>Total AUM</t>
  </si>
  <si>
    <t>Difference In AUM mln €</t>
  </si>
  <si>
    <t>Change In AUM mln €</t>
  </si>
  <si>
    <t>Flows mln €</t>
  </si>
  <si>
    <t>Flows mln  €</t>
  </si>
  <si>
    <t>Change In AUM mlnl €</t>
  </si>
  <si>
    <t xml:space="preserve"> % Change Flows</t>
  </si>
  <si>
    <t>PF92127</t>
  </si>
  <si>
    <t>AUM 31st Jan 2024</t>
  </si>
  <si>
    <t>Building Block</t>
  </si>
  <si>
    <t>Fixed Income</t>
  </si>
  <si>
    <t>Lead PM</t>
  </si>
  <si>
    <t>Backup PM</t>
  </si>
  <si>
    <t>Richard</t>
  </si>
  <si>
    <t>Craig</t>
  </si>
  <si>
    <t>Alan</t>
  </si>
  <si>
    <t>Bertrand</t>
  </si>
  <si>
    <t>Peter</t>
  </si>
  <si>
    <t>Nick</t>
  </si>
  <si>
    <t>Reinhard</t>
  </si>
  <si>
    <t>Alfonso</t>
  </si>
  <si>
    <t>Code</t>
  </si>
  <si>
    <t>Count of Lead PM</t>
  </si>
  <si>
    <t>Count of Backup PM</t>
  </si>
  <si>
    <t>Count of Code</t>
  </si>
  <si>
    <t>PF201311</t>
  </si>
  <si>
    <t>PF115036</t>
  </si>
  <si>
    <t>THE TRUSTHOUSE FDN CPI+4% MULTI-AST PTF</t>
  </si>
  <si>
    <t>Flows mln QTD Sept 24 €</t>
  </si>
  <si>
    <t>QTD Sept 24  Flows mln</t>
  </si>
  <si>
    <t>QTD Sept 24  Difference In  AUM</t>
  </si>
  <si>
    <t>QTD Sept 24  Total Aum  mln</t>
  </si>
  <si>
    <t>Difference In AUM mln QTD Nov 24  €</t>
  </si>
  <si>
    <t>PF204806</t>
  </si>
  <si>
    <t>AMUNDI-FUNDACION CAJA NAVARRA DYNAMIC</t>
  </si>
  <si>
    <t>FILTER?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</si>
</sst>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0.0%"/>
    <numFmt numFmtId="167" formatCode="_-* #,##0.0_-;\-* #,##0.0_-;_-* &quot;-&quot;??_-;_-@_-"/>
    <numFmt numFmtId="168" formatCode="0.000%"/>
    <numFmt numFmtId="169" formatCode="#,##0.00_ ;\-#,##0.0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F5597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6" borderId="0" applyNumberFormat="0" applyBorder="0" applyAlignment="0" applyProtection="0"/>
    <xf numFmtId="0" fontId="2" fillId="7" borderId="1" applyNumberFormat="0" applyFont="0" applyAlignment="0" applyProtection="0"/>
    <xf numFmtId="0" fontId="4" fillId="0" borderId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7">
    <xf numFmtId="0" fontId="0" fillId="0" borderId="0" xfId="0"/>
    <xf numFmtId="0" fontId="1" fillId="3" borderId="0" xfId="0" applyFont="1" applyFill="1" applyAlignment="1">
      <alignment horizontal="center"/>
    </xf>
    <xf numFmtId="164" fontId="1" fillId="3" borderId="0" xfId="1" applyNumberFormat="1" applyFont="1" applyFill="1" applyAlignment="1">
      <alignment horizontal="center"/>
    </xf>
    <xf numFmtId="164" fontId="0" fillId="0" borderId="0" xfId="1" applyNumberFormat="1" applyFont="1"/>
    <xf numFmtId="0" fontId="1" fillId="2" borderId="0" xfId="0" applyFont="1" applyFill="1" applyAlignment="1">
      <alignment horizontal="center" wrapText="1"/>
    </xf>
    <xf numFmtId="164" fontId="1" fillId="2" borderId="0" xfId="1" applyNumberFormat="1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4" borderId="0" xfId="0" applyFill="1"/>
    <xf numFmtId="164" fontId="0" fillId="0" borderId="0" xfId="0" applyNumberFormat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1" applyNumberFormat="1" applyFont="1"/>
    <xf numFmtId="43" fontId="0" fillId="0" borderId="0" xfId="1" applyFont="1"/>
    <xf numFmtId="43" fontId="1" fillId="2" borderId="0" xfId="1" applyFont="1" applyFill="1" applyAlignment="1">
      <alignment horizontal="center" wrapText="1"/>
    </xf>
    <xf numFmtId="0" fontId="0" fillId="0" borderId="0" xfId="0" applyNumberFormat="1"/>
    <xf numFmtId="43" fontId="0" fillId="5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43" fontId="0" fillId="5" borderId="0" xfId="1" applyFont="1" applyFill="1"/>
    <xf numFmtId="164" fontId="0" fillId="5" borderId="0" xfId="0" applyNumberFormat="1" applyFill="1"/>
    <xf numFmtId="164" fontId="3" fillId="6" borderId="0" xfId="2" applyNumberFormat="1"/>
    <xf numFmtId="164" fontId="0" fillId="7" borderId="1" xfId="3" applyNumberFormat="1" applyFont="1"/>
    <xf numFmtId="164" fontId="3" fillId="5" borderId="0" xfId="2" applyNumberFormat="1" applyFill="1"/>
    <xf numFmtId="164" fontId="0" fillId="5" borderId="1" xfId="3" applyNumberFormat="1" applyFont="1" applyFill="1"/>
    <xf numFmtId="43" fontId="0" fillId="0" borderId="0" xfId="0" applyNumberFormat="1"/>
    <xf numFmtId="2" fontId="0" fillId="0" borderId="0" xfId="0" applyNumberFormat="1"/>
    <xf numFmtId="10" fontId="0" fillId="0" borderId="0" xfId="6" applyNumberFormat="1" applyFont="1"/>
    <xf numFmtId="166" fontId="0" fillId="0" borderId="0" xfId="6" applyNumberFormat="1" applyFont="1"/>
    <xf numFmtId="0" fontId="0" fillId="0" borderId="3" xfId="0" applyBorder="1" applyAlignment="1">
      <alignment horizontal="left"/>
    </xf>
    <xf numFmtId="167" fontId="0" fillId="0" borderId="0" xfId="1" applyNumberFormat="1" applyFont="1"/>
    <xf numFmtId="167" fontId="0" fillId="0" borderId="3" xfId="1" applyNumberFormat="1" applyFont="1" applyBorder="1"/>
    <xf numFmtId="0" fontId="5" fillId="8" borderId="3" xfId="0" applyFont="1" applyFill="1" applyBorder="1" applyAlignment="1">
      <alignment horizontal="left"/>
    </xf>
    <xf numFmtId="167" fontId="5" fillId="8" borderId="3" xfId="1" applyNumberFormat="1" applyFont="1" applyFill="1" applyBorder="1"/>
    <xf numFmtId="0" fontId="5" fillId="8" borderId="2" xfId="0" applyFont="1" applyFill="1" applyBorder="1"/>
    <xf numFmtId="167" fontId="5" fillId="8" borderId="2" xfId="1" applyNumberFormat="1" applyFont="1" applyFill="1" applyBorder="1" applyAlignment="1">
      <alignment wrapText="1"/>
    </xf>
    <xf numFmtId="0" fontId="6" fillId="0" borderId="0" xfId="0" applyFont="1"/>
    <xf numFmtId="167" fontId="0" fillId="0" borderId="0" xfId="0" applyNumberFormat="1"/>
    <xf numFmtId="164" fontId="3" fillId="9" borderId="0" xfId="2" applyNumberFormat="1" applyFill="1"/>
    <xf numFmtId="0" fontId="5" fillId="8" borderId="2" xfId="0" applyFont="1" applyFill="1" applyBorder="1" applyAlignment="1">
      <alignment wrapText="1"/>
    </xf>
    <xf numFmtId="43" fontId="0" fillId="0" borderId="0" xfId="0" applyNumberFormat="1" applyAlignment="1">
      <alignment wrapText="1"/>
    </xf>
    <xf numFmtId="0" fontId="1" fillId="11" borderId="5" xfId="0" applyFont="1" applyFill="1" applyBorder="1" applyAlignment="1">
      <alignment horizontal="left"/>
    </xf>
    <xf numFmtId="167" fontId="1" fillId="11" borderId="5" xfId="0" applyNumberFormat="1" applyFont="1" applyFill="1" applyBorder="1"/>
    <xf numFmtId="0" fontId="0" fillId="12" borderId="6" xfId="0" applyFont="1" applyFill="1" applyBorder="1" applyAlignment="1">
      <alignment horizontal="left" indent="1"/>
    </xf>
    <xf numFmtId="167" fontId="0" fillId="12" borderId="6" xfId="0" applyNumberFormat="1" applyFont="1" applyFill="1" applyBorder="1"/>
    <xf numFmtId="0" fontId="5" fillId="10" borderId="4" xfId="0" applyFont="1" applyFill="1" applyBorder="1"/>
    <xf numFmtId="167" fontId="5" fillId="10" borderId="4" xfId="0" applyNumberFormat="1" applyFont="1" applyFill="1" applyBorder="1" applyAlignment="1">
      <alignment wrapText="1"/>
    </xf>
    <xf numFmtId="167" fontId="0" fillId="12" borderId="7" xfId="0" applyNumberFormat="1" applyFont="1" applyFill="1" applyBorder="1"/>
    <xf numFmtId="0" fontId="0" fillId="12" borderId="7" xfId="0" applyFont="1" applyFill="1" applyBorder="1" applyAlignment="1">
      <alignment horizontal="left" indent="1"/>
    </xf>
    <xf numFmtId="0" fontId="5" fillId="10" borderId="4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10" fontId="0" fillId="0" borderId="0" xfId="0" applyNumberFormat="1"/>
    <xf numFmtId="168" fontId="0" fillId="0" borderId="0" xfId="0" applyNumberFormat="1"/>
    <xf numFmtId="10" fontId="0" fillId="0" borderId="0" xfId="0" applyNumberFormat="1" applyAlignment="1">
      <alignment wrapText="1"/>
    </xf>
    <xf numFmtId="43" fontId="0" fillId="0" borderId="0" xfId="0" applyNumberFormat="1" applyAlignment="1">
      <alignment horizontal="left" wrapText="1"/>
    </xf>
    <xf numFmtId="169" fontId="0" fillId="0" borderId="0" xfId="0" applyNumberFormat="1"/>
    <xf numFmtId="0" fontId="8" fillId="2" borderId="0" xfId="0" applyFont="1" applyFill="1" applyAlignment="1">
      <alignment horizontal="center" wrapText="1"/>
    </xf>
    <xf numFmtId="0" fontId="9" fillId="13" borderId="0" xfId="0" applyFont="1" applyFill="1" applyAlignment="1">
      <alignment horizontal="center" vertical="center" wrapText="1"/>
    </xf>
    <xf numFmtId="164" fontId="8" fillId="2" borderId="0" xfId="1" applyNumberFormat="1" applyFont="1" applyFill="1" applyAlignment="1">
      <alignment horizontal="center" wrapText="1"/>
    </xf>
    <xf numFmtId="0" fontId="8" fillId="0" borderId="0" xfId="0" applyFont="1" applyAlignment="1">
      <alignment wrapText="1"/>
    </xf>
    <xf numFmtId="44" fontId="0" fillId="0" borderId="0" xfId="7" applyFont="1"/>
    <xf numFmtId="168" fontId="0" fillId="0" borderId="0" xfId="6" applyNumberFormat="1" applyFont="1"/>
    <xf numFmtId="168" fontId="0" fillId="0" borderId="0" xfId="0" applyNumberFormat="1" applyAlignment="1">
      <alignment wrapText="1"/>
    </xf>
    <xf numFmtId="0" fontId="0" fillId="0" borderId="0" xfId="0" pivotButton="1" applyAlignment="1">
      <alignment wrapText="1"/>
    </xf>
    <xf numFmtId="43" fontId="0" fillId="0" borderId="0" xfId="1" applyNumberFormat="1" applyFont="1" applyFill="1"/>
  </cellXfs>
  <cellStyles count="8">
    <cellStyle name="Comma" xfId="1" builtinId="3"/>
    <cellStyle name="Comma 2" xfId="5" xr:uid="{00000000-0005-0000-0000-000001000000}"/>
    <cellStyle name="Currency" xfId="7" builtinId="4"/>
    <cellStyle name="Good" xfId="2" builtinId="26"/>
    <cellStyle name="Normal" xfId="0" builtinId="0"/>
    <cellStyle name="Normal 2" xfId="4" xr:uid="{00000000-0005-0000-0000-000005000000}"/>
    <cellStyle name="Note" xfId="3" builtinId="10"/>
    <cellStyle name="Percent" xfId="6" builtinId="5"/>
  </cellStyles>
  <dxfs count="1661"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alignment wrapText="1" readingOrder="0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alignment wrapText="1" readingOrder="0"/>
    </dxf>
    <dxf>
      <numFmt numFmtId="2" formatCode="0.00"/>
    </dxf>
    <dxf>
      <numFmt numFmtId="2" formatCode="0.00"/>
    </dxf>
    <dxf>
      <numFmt numFmtId="3" formatCode="#,##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4" formatCode="#,##0.00"/>
    </dxf>
    <dxf>
      <numFmt numFmtId="165" formatCode="#,##0.0"/>
    </dxf>
    <dxf>
      <numFmt numFmtId="3" formatCode="#,##0"/>
    </dxf>
    <dxf>
      <numFmt numFmtId="165" formatCode="#,##0.0"/>
    </dxf>
    <dxf>
      <numFmt numFmtId="165" formatCode="#,##0.0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numFmt numFmtId="171" formatCode="0.0000%"/>
    </dxf>
    <dxf>
      <numFmt numFmtId="168" formatCode="0.000%"/>
    </dxf>
    <dxf>
      <numFmt numFmtId="14" formatCode="0.00%"/>
    </dxf>
    <dxf>
      <alignment wrapText="0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numFmt numFmtId="171" formatCode="0.0000%"/>
    </dxf>
    <dxf>
      <numFmt numFmtId="168" formatCode="0.000%"/>
    </dxf>
    <dxf>
      <numFmt numFmtId="14" formatCode="0.00%"/>
    </dxf>
    <dxf>
      <alignment wrapText="0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numFmt numFmtId="171" formatCode="0.0000%"/>
    </dxf>
    <dxf>
      <numFmt numFmtId="168" formatCode="0.000%"/>
    </dxf>
    <dxf>
      <numFmt numFmtId="14" formatCode="0.00%"/>
    </dxf>
    <dxf>
      <alignment wrapText="0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4" formatCode="#,##0.00"/>
    </dxf>
    <dxf>
      <numFmt numFmtId="165" formatCode="#,##0.0"/>
    </dxf>
    <dxf>
      <numFmt numFmtId="3" formatCode="#,##0"/>
    </dxf>
    <dxf>
      <numFmt numFmtId="165" formatCode="#,##0.0"/>
    </dxf>
    <dxf>
      <numFmt numFmtId="165" formatCode="#,##0.0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" formatCode="#,##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alignment wrapText="1" readingOrder="0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alignment wrapText="1" readingOrder="0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numFmt numFmtId="171" formatCode="0.0000%"/>
    </dxf>
    <dxf>
      <numFmt numFmtId="168" formatCode="0.000%"/>
    </dxf>
    <dxf>
      <numFmt numFmtId="14" formatCode="0.00%"/>
    </dxf>
    <dxf>
      <alignment wrapText="0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169" formatCode="#,##0.00_ ;\-#,##0.00\ "/>
    </dxf>
    <dxf>
      <numFmt numFmtId="2" formatCode="0.00"/>
    </dxf>
    <dxf>
      <numFmt numFmtId="2" formatCode="0.0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numFmt numFmtId="171" formatCode="0.0000%"/>
    </dxf>
    <dxf>
      <numFmt numFmtId="168" formatCode="0.000%"/>
    </dxf>
    <dxf>
      <numFmt numFmtId="14" formatCode="0.00%"/>
    </dxf>
    <dxf>
      <alignment wrapText="0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alignment wrapText="1" readingOrder="0"/>
    </dxf>
    <dxf>
      <alignment horizontal="center" readingOrder="0"/>
    </dxf>
    <dxf>
      <alignment horizontal="left" readingOrder="0"/>
    </dxf>
    <dxf>
      <numFmt numFmtId="169" formatCode="#,##0.00_ ;\-#,##0.00\ "/>
    </dxf>
    <dxf>
      <numFmt numFmtId="169" formatCode="#,##0.00_ ;\-#,##0.00\ 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_-;\-* #,##0.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4" formatCode="0.00%"/>
    </dxf>
    <dxf>
      <numFmt numFmtId="168" formatCode="0.000%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.0_-;\-* #,##0.0_-;_-* &quot;-&quot;??_-;_-@_-"/>
    </dxf>
    <dxf>
      <border outline="0">
        <bottom style="thin">
          <color rgb="FF9BC2E6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 tint="0.79998168889431442"/>
          <bgColor theme="4" tint="-0.499984740745262"/>
        </patternFill>
      </fill>
      <alignment horizontal="general" vertical="bottom" textRotation="0" wrapText="1" indent="0" justifyLastLine="0" shrinkToFit="0" readingOrder="0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165" formatCode="#,##0.0"/>
    </dxf>
    <dxf>
      <numFmt numFmtId="165" formatCode="#,##0.0"/>
    </dxf>
    <dxf>
      <numFmt numFmtId="3" formatCode="#,##0"/>
    </dxf>
    <dxf>
      <numFmt numFmtId="165" formatCode="#,##0.0"/>
    </dxf>
    <dxf>
      <numFmt numFmtId="4" formatCode="#,##0.0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color theme="1" tint="0.34998626667073579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.0_-;\-* #,##0.0_-;_-* &quot;-&quot;??_-;_-@_-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 tint="0.79998168889431442"/>
          <bgColor theme="4" tint="-0.499984740745262"/>
        </patternFill>
      </fill>
    </dxf>
    <dxf>
      <numFmt numFmtId="2" formatCode="0.00"/>
    </dxf>
    <dxf>
      <numFmt numFmtId="2" formatCode="0.00"/>
    </dxf>
    <dxf>
      <alignment wrapText="1" readingOrder="0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.0_-;\-* #,##0.0_-;_-* &quot;-&quot;??_-;_-@_-"/>
    </dxf>
    <dxf>
      <border outline="0">
        <bottom style="thin">
          <color rgb="FF9BC2E6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 tint="0.79998168889431442"/>
          <bgColor theme="4" tint="-0.499984740745262"/>
        </patternFill>
      </fill>
    </dxf>
    <dxf>
      <numFmt numFmtId="2" formatCode="0.00"/>
    </dxf>
    <dxf>
      <numFmt numFmtId="2" formatCode="0.00"/>
    </dxf>
    <dxf>
      <alignment wrapText="1" readingOrder="0"/>
    </dxf>
    <dxf>
      <numFmt numFmtId="167" formatCode="_-* #,##0.0_-;\-* #,##0.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pivotCacheDefinition" Target="pivotCache/pivotCacheDefinition6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pivotCacheDefinition" Target="pivotCache/pivotCacheDefinition5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pivotCacheDefinition" Target="pivotCache/pivotCacheDefinition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[Master_List_Final - Amended Craig Updated for Salva.xlsx]Total AUM Sheet!PivotTable4</c:name>
    <c:fmtId val="0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4.6671854206139247E-3"/>
              <c:y val="-9.4561555370980212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6.6993184033963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2.6350457488205875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5.6832519120051219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4.0642659655647862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1.1045908360708921E-2"/>
              <c:y val="-2.5789813023855811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2.4598139993243025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dLbl>
          <c:idx val="0"/>
          <c:layout>
            <c:manualLayout>
              <c:x val="4.0996899988740305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4.0996899988740383E-3"/>
              <c:y val="-2.5789813023855577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4.0996899988740383E-3"/>
              <c:y val="-2.3640388842745053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4.0996899988740383E-3"/>
              <c:y val="-2.5789813023856523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5.7395659984235325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7.3794419979732679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4.0996899988739177E-3"/>
              <c:y val="-2.5789813023855577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layout>
            <c:manualLayout>
              <c:x val="3.3742810307153229E-3"/>
              <c:y val="-5.15796260477121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3.3742810307153229E-3"/>
              <c:y val="-5.1579626047711154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3.3742810307151993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5.0614215460728605E-3"/>
              <c:y val="-9.4561555370980212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</c:pivotFmt>
      <c:pivotFmt>
        <c:idx val="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</c:pivotFmt>
      <c:pivotFmt>
        <c:idx val="53"/>
      </c:pivotFmt>
      <c:pivotFmt>
        <c:idx val="5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</c:pivotFmt>
      <c:pivotFmt>
        <c:idx val="6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485286257358501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970572514717011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1590001544247112E-2"/>
              <c:y val="-5.15796260477111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2785725316050652E-3"/>
              <c:y val="-7.736943907156625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2785725316050808E-3"/>
              <c:y val="-1.28949065119277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93428703792610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7.4558592584256962E-3"/>
              <c:y val="-1.28949065119277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9411456779010098E-3"/>
              <c:y val="-5.15796260477109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AUM Sheet'!$C$1:$C$2</c:f>
              <c:strCache>
                <c:ptCount val="1"/>
                <c:pt idx="0">
                  <c:v>AUM 9th April 2021 file in mln*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5E-4390-AF50-652C28B2BD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5E-4390-AF50-652C28B2BDC3}"/>
              </c:ext>
            </c:extLst>
          </c:dPt>
          <c:dLbls>
            <c:dLbl>
              <c:idx val="0"/>
              <c:layout>
                <c:manualLayout>
                  <c:x val="4.970572514717011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5E-4390-AF50-652C28B2BDC3}"/>
                </c:ext>
              </c:extLst>
            </c:dLbl>
            <c:dLbl>
              <c:idx val="2"/>
              <c:layout>
                <c:manualLayout>
                  <c:x val="2.485286257358501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5E-4390-AF50-652C28B2BD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'Total AUM Sheet'!$A$3:$B$22</c:f>
              <c:multiLvlStrCache>
                <c:ptCount val="15"/>
                <c:lvl>
                  <c:pt idx="0">
                    <c:v>Conservative</c:v>
                  </c:pt>
                  <c:pt idx="1">
                    <c:v>Equity</c:v>
                  </c:pt>
                  <c:pt idx="2">
                    <c:v>Flexible</c:v>
                  </c:pt>
                  <c:pt idx="3">
                    <c:v>Growth</c:v>
                  </c:pt>
                  <c:pt idx="4">
                    <c:v>Moderate</c:v>
                  </c:pt>
                  <c:pt idx="5">
                    <c:v>Capital Guaranteed</c:v>
                  </c:pt>
                  <c:pt idx="6">
                    <c:v>Capital Protection</c:v>
                  </c:pt>
                  <c:pt idx="7">
                    <c:v>Income</c:v>
                  </c:pt>
                  <c:pt idx="8">
                    <c:v>Risk Accumulation</c:v>
                  </c:pt>
                  <c:pt idx="9">
                    <c:v>Thematic</c:v>
                  </c:pt>
                  <c:pt idx="10">
                    <c:v>Bond</c:v>
                  </c:pt>
                  <c:pt idx="11">
                    <c:v>Equity</c:v>
                  </c:pt>
                  <c:pt idx="12">
                    <c:v>Flexible</c:v>
                  </c:pt>
                  <c:pt idx="13">
                    <c:v>Income</c:v>
                  </c:pt>
                  <c:pt idx="14">
                    <c:v>(blank)</c:v>
                  </c:pt>
                </c:lvl>
                <c:lvl>
                  <c:pt idx="0">
                    <c:v>Allocation Driven Strategies</c:v>
                  </c:pt>
                  <c:pt idx="5">
                    <c:v>Outcome Oriented Strategies</c:v>
                  </c:pt>
                  <c:pt idx="10">
                    <c:v>Service Fund</c:v>
                  </c:pt>
                  <c:pt idx="14">
                    <c:v>(blank)</c:v>
                  </c:pt>
                </c:lvl>
              </c:multiLvlStrCache>
            </c:multiLvlStrRef>
          </c:cat>
          <c:val>
            <c:numRef>
              <c:f>'Total AUM Sheet'!$C$3:$C$22</c:f>
              <c:numCache>
                <c:formatCode>#,##0</c:formatCode>
                <c:ptCount val="15"/>
                <c:pt idx="0">
                  <c:v>911.70197063000023</c:v>
                </c:pt>
                <c:pt idx="1">
                  <c:v>3287.517499392638</c:v>
                </c:pt>
                <c:pt idx="2">
                  <c:v>1395.0837152792037</c:v>
                </c:pt>
                <c:pt idx="3">
                  <c:v>633.43393758000002</c:v>
                </c:pt>
                <c:pt idx="4">
                  <c:v>616.85594656999979</c:v>
                </c:pt>
                <c:pt idx="5">
                  <c:v>1208.693608</c:v>
                </c:pt>
                <c:pt idx="6">
                  <c:v>6.955908</c:v>
                </c:pt>
                <c:pt idx="7">
                  <c:v>862.22932435999996</c:v>
                </c:pt>
                <c:pt idx="8">
                  <c:v>1773.0446880299999</c:v>
                </c:pt>
                <c:pt idx="9">
                  <c:v>1823.4918663899998</c:v>
                </c:pt>
                <c:pt idx="10">
                  <c:v>74.24783558</c:v>
                </c:pt>
                <c:pt idx="11">
                  <c:v>53.160977919999993</c:v>
                </c:pt>
                <c:pt idx="12">
                  <c:v>198.75920182000002</c:v>
                </c:pt>
                <c:pt idx="13">
                  <c:v>59.556669140000004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A-4D07-9BA9-C579BAED6FAF}"/>
            </c:ext>
          </c:extLst>
        </c:ser>
        <c:ser>
          <c:idx val="1"/>
          <c:order val="1"/>
          <c:tx>
            <c:strRef>
              <c:f>'Total AUM Sheet'!$D$1:$D$2</c:f>
              <c:strCache>
                <c:ptCount val="1"/>
                <c:pt idx="0">
                  <c:v>AUM 31st Dec 2020 file  in mln**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59-44FE-9A0F-27B0F50E5D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459-44FE-9A0F-27B0F50E5D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0A-40DE-9EBD-2C3B1307669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FF-43FE-858B-7EB58E34749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A1FD-4FAE-BDE5-543296FC0BA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FF-43FE-858B-7EB58E34749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FD-4FAE-BDE5-543296FC0BA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5D30-402D-92BF-D214DB6AC34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20A-40DE-9EBD-2C3B13076691}"/>
              </c:ext>
            </c:extLst>
          </c:dPt>
          <c:dLbls>
            <c:dLbl>
              <c:idx val="0"/>
              <c:layout>
                <c:manualLayout>
                  <c:x val="9.93428703792610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9-44FE-9A0F-27B0F50E5D91}"/>
                </c:ext>
              </c:extLst>
            </c:dLbl>
            <c:dLbl>
              <c:idx val="1"/>
              <c:layout>
                <c:manualLayout>
                  <c:x val="8.2785725316050652E-3"/>
                  <c:y val="-7.73694390715662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9-44FE-9A0F-27B0F50E5D91}"/>
                </c:ext>
              </c:extLst>
            </c:dLbl>
            <c:dLbl>
              <c:idx val="2"/>
              <c:layout>
                <c:manualLayout>
                  <c:x val="1.1590001544247112E-2"/>
                  <c:y val="-5.15796260477111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0A-40DE-9EBD-2C3B13076691}"/>
                </c:ext>
              </c:extLst>
            </c:dLbl>
            <c:dLbl>
              <c:idx val="5"/>
              <c:layout>
                <c:manualLayout>
                  <c:x val="7.4558592584256962E-3"/>
                  <c:y val="-1.2894906511927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9FF-43FE-858B-7EB58E347497}"/>
                </c:ext>
              </c:extLst>
            </c:dLbl>
            <c:dLbl>
              <c:idx val="7"/>
              <c:layout>
                <c:manualLayout>
                  <c:x val="9.9411456779010098E-3"/>
                  <c:y val="-5.1579626047710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9FF-43FE-858B-7EB58E347497}"/>
                </c:ext>
              </c:extLst>
            </c:dLbl>
            <c:dLbl>
              <c:idx val="8"/>
              <c:layout>
                <c:manualLayout>
                  <c:x val="8.2785725316050808E-3"/>
                  <c:y val="-1.2894906511927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FD-4FAE-BDE5-543296FC0B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'Total AUM Sheet'!$A$3:$B$22</c:f>
              <c:multiLvlStrCache>
                <c:ptCount val="15"/>
                <c:lvl>
                  <c:pt idx="0">
                    <c:v>Conservative</c:v>
                  </c:pt>
                  <c:pt idx="1">
                    <c:v>Equity</c:v>
                  </c:pt>
                  <c:pt idx="2">
                    <c:v>Flexible</c:v>
                  </c:pt>
                  <c:pt idx="3">
                    <c:v>Growth</c:v>
                  </c:pt>
                  <c:pt idx="4">
                    <c:v>Moderate</c:v>
                  </c:pt>
                  <c:pt idx="5">
                    <c:v>Capital Guaranteed</c:v>
                  </c:pt>
                  <c:pt idx="6">
                    <c:v>Capital Protection</c:v>
                  </c:pt>
                  <c:pt idx="7">
                    <c:v>Income</c:v>
                  </c:pt>
                  <c:pt idx="8">
                    <c:v>Risk Accumulation</c:v>
                  </c:pt>
                  <c:pt idx="9">
                    <c:v>Thematic</c:v>
                  </c:pt>
                  <c:pt idx="10">
                    <c:v>Bond</c:v>
                  </c:pt>
                  <c:pt idx="11">
                    <c:v>Equity</c:v>
                  </c:pt>
                  <c:pt idx="12">
                    <c:v>Flexible</c:v>
                  </c:pt>
                  <c:pt idx="13">
                    <c:v>Income</c:v>
                  </c:pt>
                  <c:pt idx="14">
                    <c:v>(blank)</c:v>
                  </c:pt>
                </c:lvl>
                <c:lvl>
                  <c:pt idx="0">
                    <c:v>Allocation Driven Strategies</c:v>
                  </c:pt>
                  <c:pt idx="5">
                    <c:v>Outcome Oriented Strategies</c:v>
                  </c:pt>
                  <c:pt idx="10">
                    <c:v>Service Fund</c:v>
                  </c:pt>
                  <c:pt idx="14">
                    <c:v>(blank)</c:v>
                  </c:pt>
                </c:lvl>
              </c:multiLvlStrCache>
            </c:multiLvlStrRef>
          </c:cat>
          <c:val>
            <c:numRef>
              <c:f>'Total AUM Sheet'!$D$3:$D$22</c:f>
              <c:numCache>
                <c:formatCode>#,##0</c:formatCode>
                <c:ptCount val="15"/>
                <c:pt idx="0">
                  <c:v>934.10600386999988</c:v>
                </c:pt>
                <c:pt idx="1">
                  <c:v>3201.2600351656442</c:v>
                </c:pt>
                <c:pt idx="2">
                  <c:v>1512.392493439434</c:v>
                </c:pt>
                <c:pt idx="3">
                  <c:v>601.00330880000013</c:v>
                </c:pt>
                <c:pt idx="4">
                  <c:v>621.12456511000005</c:v>
                </c:pt>
                <c:pt idx="5">
                  <c:v>1252.858872</c:v>
                </c:pt>
                <c:pt idx="6">
                  <c:v>6.9757480000000003</c:v>
                </c:pt>
                <c:pt idx="7">
                  <c:v>920.65793202999998</c:v>
                </c:pt>
                <c:pt idx="8">
                  <c:v>2194.2822104500001</c:v>
                </c:pt>
                <c:pt idx="9">
                  <c:v>1655.9710882300001</c:v>
                </c:pt>
                <c:pt idx="10">
                  <c:v>77.232789670000003</c:v>
                </c:pt>
                <c:pt idx="11">
                  <c:v>56.764604779999999</c:v>
                </c:pt>
                <c:pt idx="12">
                  <c:v>234.21407376000002</c:v>
                </c:pt>
                <c:pt idx="13">
                  <c:v>74.824881550000001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F5-4C91-A7E0-B72E0EA46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0"/>
        <c:overlap val="-23"/>
        <c:axId val="565055368"/>
        <c:axId val="565046512"/>
      </c:barChart>
      <c:catAx>
        <c:axId val="56505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46512"/>
        <c:crosses val="autoZero"/>
        <c:auto val="1"/>
        <c:lblAlgn val="ctr"/>
        <c:lblOffset val="100"/>
        <c:noMultiLvlLbl val="0"/>
      </c:catAx>
      <c:valAx>
        <c:axId val="5650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5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[Master_List_Final - Amended Craig Updated for Salva.xlsx]This Period AUM by Fund!PivotTable15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/>
              <a:t>AUM Flows in mln</a:t>
            </a:r>
            <a:r>
              <a:rPr lang="en-IE" b="1" baseline="0"/>
              <a:t> </a:t>
            </a:r>
            <a:r>
              <a:rPr lang="fr-FR" sz="1400" b="1" i="0" u="none" strike="noStrike" baseline="0">
                <a:effectLst/>
              </a:rPr>
              <a:t>31st December 2021 –  28th </a:t>
            </a:r>
            <a:r>
              <a:rPr lang="fr-F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February </a:t>
            </a:r>
            <a:r>
              <a:rPr lang="fr-FR" sz="1400" b="1" i="0" u="none" strike="noStrike" baseline="0">
                <a:effectLst/>
              </a:rPr>
              <a:t>2022</a:t>
            </a:r>
            <a:r>
              <a:rPr lang="en-IE" b="1"/>
              <a:t> file by Fund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38681218877662"/>
          <c:y val="6.9278032561723393E-2"/>
          <c:w val="0.66573310489343229"/>
          <c:h val="0.901401202806813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'This Period AUM by Fund'!$B$3</c:f>
              <c:strCache>
                <c:ptCount val="1"/>
                <c:pt idx="0">
                  <c:v>Sum of Difference In AUM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Period AUM by Fund'!$A$4:$A$19</c:f>
              <c:strCache>
                <c:ptCount val="16"/>
                <c:pt idx="0">
                  <c:v>Unit Linked Multi Thematic Global Eq</c:v>
                </c:pt>
                <c:pt idx="1">
                  <c:v>Unit Linked Multi Equity Accumulation</c:v>
                </c:pt>
                <c:pt idx="2">
                  <c:v>SAXO EUROPE</c:v>
                </c:pt>
                <c:pt idx="3">
                  <c:v>AMUNDI UNICREDIT PREM PORT- PRUDENTIAL</c:v>
                </c:pt>
                <c:pt idx="4">
                  <c:v>AMUNDI UNICREDIT PREM PORT- MULTI ASSET</c:v>
                </c:pt>
                <c:pt idx="5">
                  <c:v>AMUNDI SOLUZIONI ITALIA - PROGETTO AZIONE INFRASTRUTTURE SOSTENIBILI (II)</c:v>
                </c:pt>
                <c:pt idx="6">
                  <c:v>AMUNDI SOLUZIONI ITALIA - PROGETTO AZIONE INFRASTRUTTURE SOSTENIBILI</c:v>
                </c:pt>
                <c:pt idx="7">
                  <c:v>AMUNDI SENTIERO SOSTENIBILE</c:v>
                </c:pt>
                <c:pt idx="8">
                  <c:v>AMUNDI FUND SOLUTIONS - SABADELL URQUIJO CRECIMIENTO</c:v>
                </c:pt>
                <c:pt idx="9">
                  <c:v>AMUNDI FUND SOLUTIONS - SABADELL URQUIJO ACUMULACION</c:v>
                </c:pt>
                <c:pt idx="10">
                  <c:v>Amundi Fund Solutions - Diversified Income Best Select 2022</c:v>
                </c:pt>
                <c:pt idx="11">
                  <c:v>AMUNDI FUND SOLUTIONS - DIVERSIFIED GROWTH - A</c:v>
                </c:pt>
                <c:pt idx="12">
                  <c:v>AMUNDI FUND SOLUTIONS - CONSERVATIVE</c:v>
                </c:pt>
                <c:pt idx="13">
                  <c:v>AMUNDI FUND SOLUTIONS - BALANCED</c:v>
                </c:pt>
                <c:pt idx="14">
                  <c:v>Amundi Env and Climate Change Sol Fund</c:v>
                </c:pt>
                <c:pt idx="15">
                  <c:v>AMUNDI ELITE THEMATIC MULTI ASSET</c:v>
                </c:pt>
              </c:strCache>
            </c:strRef>
          </c:cat>
          <c:val>
            <c:numRef>
              <c:f>'This Period AUM by Fund'!$B$4:$B$19</c:f>
              <c:numCache>
                <c:formatCode>_-* #,##0_-;\-* #,##0_-;_-* "-"??_-;_-@_-</c:formatCode>
                <c:ptCount val="16"/>
                <c:pt idx="0">
                  <c:v>0</c:v>
                </c:pt>
                <c:pt idx="1">
                  <c:v>-0.46890500000000002</c:v>
                </c:pt>
                <c:pt idx="2">
                  <c:v>-7.0611691199999749</c:v>
                </c:pt>
                <c:pt idx="3">
                  <c:v>-0.82641419000000138</c:v>
                </c:pt>
                <c:pt idx="4">
                  <c:v>-2.4887236599999962</c:v>
                </c:pt>
                <c:pt idx="5">
                  <c:v>-89.223301379999995</c:v>
                </c:pt>
                <c:pt idx="6">
                  <c:v>-138.67363238999999</c:v>
                </c:pt>
                <c:pt idx="7">
                  <c:v>-7.3314559100000265</c:v>
                </c:pt>
                <c:pt idx="8">
                  <c:v>0</c:v>
                </c:pt>
                <c:pt idx="9">
                  <c:v>0</c:v>
                </c:pt>
                <c:pt idx="10">
                  <c:v>-1.3859767000000178</c:v>
                </c:pt>
                <c:pt idx="11">
                  <c:v>-1.8619050799999981</c:v>
                </c:pt>
                <c:pt idx="12">
                  <c:v>-4.3407969299999474</c:v>
                </c:pt>
                <c:pt idx="13">
                  <c:v>0.85909411999994512</c:v>
                </c:pt>
                <c:pt idx="14">
                  <c:v>-14.474433773006133</c:v>
                </c:pt>
                <c:pt idx="15">
                  <c:v>118.68121780999994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C-4114-B510-9437D6AAF7C7}"/>
            </c:ext>
          </c:extLst>
        </c:ser>
        <c:ser>
          <c:idx val="1"/>
          <c:order val="1"/>
          <c:tx>
            <c:strRef>
              <c:f>'This Period AUM by Fund'!$C$3</c:f>
              <c:strCache>
                <c:ptCount val="1"/>
                <c:pt idx="0">
                  <c:v>Sum of Flows April mln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Period AUM by Fund'!$A$4:$A$19</c:f>
              <c:strCache>
                <c:ptCount val="16"/>
                <c:pt idx="0">
                  <c:v>Unit Linked Multi Thematic Global Eq</c:v>
                </c:pt>
                <c:pt idx="1">
                  <c:v>Unit Linked Multi Equity Accumulation</c:v>
                </c:pt>
                <c:pt idx="2">
                  <c:v>SAXO EUROPE</c:v>
                </c:pt>
                <c:pt idx="3">
                  <c:v>AMUNDI UNICREDIT PREM PORT- PRUDENTIAL</c:v>
                </c:pt>
                <c:pt idx="4">
                  <c:v>AMUNDI UNICREDIT PREM PORT- MULTI ASSET</c:v>
                </c:pt>
                <c:pt idx="5">
                  <c:v>AMUNDI SOLUZIONI ITALIA - PROGETTO AZIONE INFRASTRUTTURE SOSTENIBILI (II)</c:v>
                </c:pt>
                <c:pt idx="6">
                  <c:v>AMUNDI SOLUZIONI ITALIA - PROGETTO AZIONE INFRASTRUTTURE SOSTENIBILI</c:v>
                </c:pt>
                <c:pt idx="7">
                  <c:v>AMUNDI SENTIERO SOSTENIBILE</c:v>
                </c:pt>
                <c:pt idx="8">
                  <c:v>AMUNDI FUND SOLUTIONS - SABADELL URQUIJO CRECIMIENTO</c:v>
                </c:pt>
                <c:pt idx="9">
                  <c:v>AMUNDI FUND SOLUTIONS - SABADELL URQUIJO ACUMULACION</c:v>
                </c:pt>
                <c:pt idx="10">
                  <c:v>Amundi Fund Solutions - Diversified Income Best Select 2022</c:v>
                </c:pt>
                <c:pt idx="11">
                  <c:v>AMUNDI FUND SOLUTIONS - DIVERSIFIED GROWTH - A</c:v>
                </c:pt>
                <c:pt idx="12">
                  <c:v>AMUNDI FUND SOLUTIONS - CONSERVATIVE</c:v>
                </c:pt>
                <c:pt idx="13">
                  <c:v>AMUNDI FUND SOLUTIONS - BALANCED</c:v>
                </c:pt>
                <c:pt idx="14">
                  <c:v>Amundi Env and Climate Change Sol Fund</c:v>
                </c:pt>
                <c:pt idx="15">
                  <c:v>AMUNDI ELITE THEMATIC MULTI ASSET</c:v>
                </c:pt>
              </c:strCache>
            </c:strRef>
          </c:cat>
          <c:val>
            <c:numRef>
              <c:f>'This Period AUM by Fund'!$C$4:$C$19</c:f>
              <c:numCache>
                <c:formatCode>_-* #,##0_-;\-* #,##0_-;_-* "-"??_-;_-@_-</c:formatCode>
                <c:ptCount val="16"/>
                <c:pt idx="0">
                  <c:v>0</c:v>
                </c:pt>
                <c:pt idx="1">
                  <c:v>-0.34050277000000001</c:v>
                </c:pt>
                <c:pt idx="2">
                  <c:v>-7.0611691199999749</c:v>
                </c:pt>
                <c:pt idx="3">
                  <c:v>-0.79892258441351893</c:v>
                </c:pt>
                <c:pt idx="4">
                  <c:v>-5.4248355633996006</c:v>
                </c:pt>
                <c:pt idx="5">
                  <c:v>-68.314787599999974</c:v>
                </c:pt>
                <c:pt idx="6">
                  <c:v>-114.98840888000004</c:v>
                </c:pt>
                <c:pt idx="7">
                  <c:v>-10.126505439999999</c:v>
                </c:pt>
                <c:pt idx="8">
                  <c:v>0</c:v>
                </c:pt>
                <c:pt idx="9">
                  <c:v>0</c:v>
                </c:pt>
                <c:pt idx="10">
                  <c:v>-4.8674646900000011</c:v>
                </c:pt>
                <c:pt idx="11">
                  <c:v>-1.1998127503379725</c:v>
                </c:pt>
                <c:pt idx="12">
                  <c:v>-6.5852741259017717</c:v>
                </c:pt>
                <c:pt idx="13">
                  <c:v>-4.4015434198297569</c:v>
                </c:pt>
                <c:pt idx="14">
                  <c:v>-14.474433773006133</c:v>
                </c:pt>
                <c:pt idx="15">
                  <c:v>-136.91223576999997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C-4114-B510-9437D6AAF7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1980368"/>
        <c:axId val="561991192"/>
      </c:barChart>
      <c:catAx>
        <c:axId val="5619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91192"/>
        <c:crosses val="autoZero"/>
        <c:auto val="0"/>
        <c:lblAlgn val="ctr"/>
        <c:lblOffset val="1000"/>
        <c:tickLblSkip val="1"/>
        <c:noMultiLvlLbl val="0"/>
      </c:catAx>
      <c:valAx>
        <c:axId val="56199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80368"/>
        <c:crosses val="autoZero"/>
        <c:crossBetween val="between"/>
        <c:majorUnit val="1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[Master_List_Final - Amended Craig Updated for Salva.xlsx]AUM by Fund!PivotTable15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/>
              <a:t>AUM Flow in mln</a:t>
            </a:r>
            <a:r>
              <a:rPr lang="en-IE" b="1" baseline="0"/>
              <a:t> Jan - Feb </a:t>
            </a:r>
            <a:r>
              <a:rPr lang="en-IE" b="1"/>
              <a:t>2019 file by Fund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649534673105734"/>
          <c:y val="0.10910219466346499"/>
          <c:w val="0.4776674654798585"/>
          <c:h val="0.84639274209970095"/>
        </c:manualLayout>
      </c:layout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980368"/>
        <c:axId val="561991192"/>
      </c:barChart>
      <c:catAx>
        <c:axId val="5619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91192"/>
        <c:crosses val="autoZero"/>
        <c:auto val="0"/>
        <c:lblAlgn val="ctr"/>
        <c:lblOffset val="100"/>
        <c:tickLblSkip val="1"/>
        <c:noMultiLvlLbl val="0"/>
      </c:catAx>
      <c:valAx>
        <c:axId val="56199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8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[Master_List_Final - Amended Craig Updated for Salva.xlsx]AUM by Model!PivotTable15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/>
              <a:t>AUM Flow in mln</a:t>
            </a:r>
            <a:r>
              <a:rPr lang="en-IE" b="1" baseline="0"/>
              <a:t> 8th April - 22nd April </a:t>
            </a:r>
            <a:r>
              <a:rPr lang="en-IE" b="1"/>
              <a:t>2020 file by Fund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649534673105734"/>
          <c:y val="0.10910219466346499"/>
          <c:w val="0.4776674654798585"/>
          <c:h val="0.84639274209970095"/>
        </c:manualLayout>
      </c:layout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1980368"/>
        <c:axId val="561991192"/>
      </c:barChart>
      <c:catAx>
        <c:axId val="5619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91192"/>
        <c:crosses val="autoZero"/>
        <c:auto val="0"/>
        <c:lblAlgn val="ctr"/>
        <c:lblOffset val="100"/>
        <c:tickLblSkip val="1"/>
        <c:noMultiLvlLbl val="0"/>
      </c:catAx>
      <c:valAx>
        <c:axId val="56199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8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444233</xdr:colOff>
      <xdr:row>25</xdr:row>
      <xdr:rowOff>123823</xdr:rowOff>
    </xdr:from>
    <xdr:to>
      <xdr:col>20</xdr:col>
      <xdr:colOff>79375</xdr:colOff>
      <xdr:row>51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592667</xdr:colOff>
      <xdr:row>24</xdr:row>
      <xdr:rowOff>105833</xdr:rowOff>
    </xdr:from>
    <xdr:to>
      <xdr:col>14</xdr:col>
      <xdr:colOff>550332</xdr:colOff>
      <xdr:row>27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3948834" y="4677833"/>
          <a:ext cx="1799165" cy="592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AUM 9th April 2021</a:t>
          </a:r>
        </a:p>
        <a:p>
          <a:r>
            <a:rPr lang="en-I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mln : €21,643</a:t>
          </a:r>
          <a:endParaRPr lang="en-IE">
            <a:effectLst/>
          </a:endParaRPr>
        </a:p>
      </xdr:txBody>
    </xdr:sp>
    <xdr:clientData/>
  </xdr:twoCellAnchor>
  <xdr:twoCellAnchor>
    <xdr:from>
      <xdr:col>15</xdr:col>
      <xdr:colOff>317500</xdr:colOff>
      <xdr:row>24</xdr:row>
      <xdr:rowOff>95251</xdr:rowOff>
    </xdr:from>
    <xdr:to>
      <xdr:col>18</xdr:col>
      <xdr:colOff>380999</xdr:colOff>
      <xdr:row>27</xdr:row>
      <xdr:rowOff>116418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6118417" y="4667251"/>
          <a:ext cx="1904999" cy="592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AUM 31st Dec 2020</a:t>
          </a:r>
          <a:endParaRPr lang="en-IE">
            <a:effectLst/>
          </a:endParaRPr>
        </a:p>
        <a:p>
          <a:r>
            <a:rPr lang="en-I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mln : €21,418</a:t>
          </a:r>
          <a:endParaRPr lang="en-IE">
            <a:effectLst/>
          </a:endParaRPr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16</xdr:col>
      <xdr:colOff>560916</xdr:colOff>
      <xdr:row>18</xdr:row>
      <xdr:rowOff>179917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5176500" y="3238500"/>
          <a:ext cx="1788583" cy="370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Diff: €+389m</a:t>
          </a:r>
          <a:endParaRPr lang="en-IE" sz="11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340177</xdr:colOff>
      <xdr:row>8</xdr:row>
      <xdr:rowOff>54429</xdr:rowOff>
    </xdr:from>
    <xdr:to>
      <xdr:col>37</xdr:col>
      <xdr:colOff>190499</xdr:colOff>
      <xdr:row>60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485774</xdr:colOff>
      <xdr:row>3</xdr:row>
      <xdr:rowOff>47624</xdr:rowOff>
    </xdr:from>
    <xdr:to>
      <xdr:col>20</xdr:col>
      <xdr:colOff>342899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485774</xdr:colOff>
      <xdr:row>3</xdr:row>
      <xdr:rowOff>47624</xdr:rowOff>
    </xdr:from>
    <xdr:to>
      <xdr:col>20</xdr:col>
      <xdr:colOff>342899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From%20Risk%20-%20Fund%20Responsibility%20List%20-%20New%20vers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Models%20AU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M%20History%20Fil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Flows%20Files/Flows%20Fi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From%20Risk%20-%20Models%20master%201103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mundi_Multi-Asset/Multi-Asset_Fund_Solutions/Portfolio_Management/Dublin/MAP/Salvatore/AUM%20from%20Alto%20end%20of%20Sep%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blin funds"/>
      <sheetName val="Model portfolios"/>
      <sheetName val="London funds"/>
      <sheetName val="Migrations in progress"/>
      <sheetName val="Launches"/>
      <sheetName val="Migrated"/>
      <sheetName val="Liquidated-Terminated"/>
    </sheetNames>
    <sheetDataSet>
      <sheetData sheetId="0">
        <row r="1">
          <cell r="B1" t="str">
            <v>Fund code</v>
          </cell>
          <cell r="C1"/>
          <cell r="D1" t="str">
            <v>Macro Process</v>
          </cell>
          <cell r="E1" t="str">
            <v>Micro Process</v>
          </cell>
          <cell r="F1" t="str">
            <v>In the Master List?</v>
          </cell>
          <cell r="G1" t="str">
            <v>BIP Code</v>
          </cell>
          <cell r="H1" t="str">
            <v>Portfolio Name</v>
          </cell>
          <cell r="I1" t="str">
            <v>Location</v>
          </cell>
          <cell r="J1" t="str">
            <v>System</v>
          </cell>
          <cell r="K1" t="str">
            <v>Notes</v>
          </cell>
          <cell r="L1" t="str">
            <v>Risk Manager</v>
          </cell>
          <cell r="M1" t="str">
            <v>Risk Manager - Internal Characteristic (Armoni)</v>
          </cell>
          <cell r="N1" t="str">
            <v>Risk Manager - Person in Charge  (Armoni)</v>
          </cell>
          <cell r="O1" t="str">
            <v>Legal Structure</v>
          </cell>
          <cell r="P1" t="str">
            <v>PIML Activity</v>
          </cell>
          <cell r="Q1" t="str">
            <v>Management Co / Client</v>
          </cell>
          <cell r="R1" t="str">
            <v>Domicile</v>
          </cell>
          <cell r="S1" t="str">
            <v>Custodian</v>
          </cell>
          <cell r="T1" t="str">
            <v>Head of Function</v>
          </cell>
          <cell r="U1" t="str">
            <v>Head of Desk</v>
          </cell>
          <cell r="V1" t="str">
            <v>Portfolio Manager</v>
          </cell>
          <cell r="W1" t="str">
            <v>Additional Recipient</v>
          </cell>
          <cell r="X1" t="str">
            <v>Additional Recipient</v>
          </cell>
          <cell r="Y1" t="str">
            <v>Additional Recipient</v>
          </cell>
          <cell r="Z1" t="str">
            <v>Additional Recipient</v>
          </cell>
          <cell r="AA1" t="str">
            <v>Flagship</v>
          </cell>
          <cell r="AB1" t="str">
            <v>BIP Code</v>
          </cell>
          <cell r="AC1" t="str">
            <v>Macro Process</v>
          </cell>
          <cell r="AD1" t="str">
            <v>Micro Process</v>
          </cell>
          <cell r="AE1" t="str">
            <v>Micro process code</v>
          </cell>
          <cell r="AN1" t="str">
            <v>Site</v>
          </cell>
          <cell r="AO1" t="str">
            <v>Desk</v>
          </cell>
          <cell r="AP1" t="str">
            <v>Code Decalog</v>
          </cell>
          <cell r="AQ1" t="str">
            <v>Code BIP</v>
          </cell>
          <cell r="AR1" t="str">
            <v>Style de gestion</v>
          </cell>
          <cell r="AS1" t="str">
            <v>Thématique</v>
          </cell>
        </row>
        <row r="2">
          <cell r="B2" t="str">
            <v>PF72360</v>
          </cell>
          <cell r="C2" t="str">
            <v>From Risk - Fund Responsibility - Dublin Funds</v>
          </cell>
          <cell r="D2" t="str">
            <v>Under discussion with PM</v>
          </cell>
          <cell r="E2" t="str">
            <v>Under discussion with PM</v>
          </cell>
          <cell r="F2" t="str">
            <v>Yes</v>
          </cell>
          <cell r="G2">
            <v>145832</v>
          </cell>
          <cell r="H2" t="str">
            <v>AMUNDI FUNDS Global Multi-Asset</v>
          </cell>
          <cell r="I2" t="str">
            <v>Milan - Co managed</v>
          </cell>
          <cell r="J2" t="str">
            <v>Media+</v>
          </cell>
          <cell r="K2"/>
          <cell r="L2" t="str">
            <v>Sarah D'Rosario</v>
          </cell>
          <cell r="M2" t="str">
            <v>Luca Mascolo</v>
          </cell>
          <cell r="N2" t="str">
            <v>Luca Mascolo</v>
          </cell>
          <cell r="O2" t="str">
            <v>UCITS</v>
          </cell>
          <cell r="P2" t="str">
            <v>Discretionary</v>
          </cell>
          <cell r="Q2" t="str">
            <v>ALSA</v>
          </cell>
          <cell r="R2" t="str">
            <v>Luxembourg</v>
          </cell>
          <cell r="S2" t="str">
            <v xml:space="preserve">Société Générale </v>
          </cell>
          <cell r="T2" t="str">
            <v>John O'Toole</v>
          </cell>
          <cell r="U2" t="str">
            <v>John O'Toole</v>
          </cell>
          <cell r="V2" t="str">
            <v>Marco Sorgassi</v>
          </cell>
          <cell r="W2" t="str">
            <v xml:space="preserve">Enrico Bovalini </v>
          </cell>
          <cell r="X2" t="str">
            <v>Francesco Sandrini</v>
          </cell>
          <cell r="Y2" t="str">
            <v>CC: DL.MIL.INV.MA-MODERATE&amp;CONSERVATIVE</v>
          </cell>
          <cell r="AB2">
            <v>123172</v>
          </cell>
          <cell r="AC2" t="str">
            <v>Under discussion with PM</v>
          </cell>
          <cell r="AD2" t="str">
            <v>Under discussion with PM</v>
          </cell>
          <cell r="AE2" t="str">
            <v>Under discussion with PM</v>
          </cell>
        </row>
        <row r="3">
          <cell r="B3" t="str">
            <v>E142</v>
          </cell>
          <cell r="C3" t="str">
            <v>From Risk - Fund Responsibility - Dublin Funds</v>
          </cell>
          <cell r="D3" t="str">
            <v>BAL Multimanagement</v>
          </cell>
          <cell r="E3" t="str">
            <v>DUB BAL Multimanagement SDA Fds de Fds</v>
          </cell>
          <cell r="F3" t="str">
            <v>Yes</v>
          </cell>
          <cell r="G3">
            <v>123133</v>
          </cell>
          <cell r="H3" t="str">
            <v xml:space="preserve">Amundi Fund Solutions - Balanced </v>
          </cell>
          <cell r="I3" t="str">
            <v>Dublin</v>
          </cell>
          <cell r="J3" t="str">
            <v>Media+</v>
          </cell>
          <cell r="K3"/>
          <cell r="L3" t="str">
            <v>Sarah D'Rosario</v>
          </cell>
          <cell r="M3" t="str">
            <v>Luca Mascolo</v>
          </cell>
          <cell r="N3" t="str">
            <v>Luca Mascolo</v>
          </cell>
          <cell r="O3" t="str">
            <v>UCITS</v>
          </cell>
          <cell r="P3" t="str">
            <v>Discretionary</v>
          </cell>
          <cell r="Q3" t="str">
            <v>ALSA</v>
          </cell>
          <cell r="R3" t="str">
            <v>Luxembourg</v>
          </cell>
          <cell r="S3" t="str">
            <v xml:space="preserve">Société Générale </v>
          </cell>
          <cell r="T3" t="str">
            <v xml:space="preserve">John O'Toole </v>
          </cell>
          <cell r="U3" t="str">
            <v xml:space="preserve">John O'Toole </v>
          </cell>
          <cell r="V3" t="str">
            <v>Salvatore Buono</v>
          </cell>
          <cell r="W3" t="str">
            <v>Alan Butterly</v>
          </cell>
          <cell r="X3" t="str">
            <v>CC: DL.DUB.Inv-MAPM</v>
          </cell>
          <cell r="AB3">
            <v>123133</v>
          </cell>
          <cell r="AC3" t="str">
            <v>BAL Multimanagement</v>
          </cell>
          <cell r="AD3" t="str">
            <v>DUB BAL Multimanagement SDA Fds de Fds</v>
          </cell>
          <cell r="AE3" t="str">
            <v>006043000001</v>
          </cell>
        </row>
        <row r="4">
          <cell r="B4" t="str">
            <v>E143</v>
          </cell>
          <cell r="C4" t="str">
            <v>From Risk - Fund Responsibility - Dublin Funds</v>
          </cell>
          <cell r="D4" t="str">
            <v>BAL Multimanagement</v>
          </cell>
          <cell r="E4" t="str">
            <v>DUB BAL Multimanagement SDA Fds de Fds</v>
          </cell>
          <cell r="F4" t="str">
            <v>Yes</v>
          </cell>
          <cell r="G4">
            <v>124727</v>
          </cell>
          <cell r="H4" t="str">
            <v>Amundi Fund Solutions - Allocation Conservative</v>
          </cell>
          <cell r="I4" t="str">
            <v>Dublin</v>
          </cell>
          <cell r="J4" t="str">
            <v>Media+</v>
          </cell>
          <cell r="K4"/>
          <cell r="L4" t="str">
            <v>Sarah D'Rosario</v>
          </cell>
          <cell r="M4" t="str">
            <v>Luca Mascolo</v>
          </cell>
          <cell r="N4" t="str">
            <v>Luca Mascolo</v>
          </cell>
          <cell r="O4" t="str">
            <v>UCITS</v>
          </cell>
          <cell r="P4" t="str">
            <v>Discretionary</v>
          </cell>
          <cell r="Q4" t="str">
            <v>ALSA</v>
          </cell>
          <cell r="R4" t="str">
            <v>Luxembourg</v>
          </cell>
          <cell r="S4" t="str">
            <v xml:space="preserve">Société Générale </v>
          </cell>
          <cell r="T4" t="str">
            <v xml:space="preserve">John O'Toole </v>
          </cell>
          <cell r="U4" t="str">
            <v xml:space="preserve">John O'Toole </v>
          </cell>
          <cell r="V4" t="str">
            <v>Salvatore Buono</v>
          </cell>
          <cell r="W4" t="str">
            <v>Alan Butterly</v>
          </cell>
          <cell r="X4" t="str">
            <v>CC: DL.DUB.Inv-MAPM</v>
          </cell>
          <cell r="AB4">
            <v>124724</v>
          </cell>
          <cell r="AC4" t="str">
            <v>BAL Multimanagement</v>
          </cell>
          <cell r="AD4" t="str">
            <v>DUB BAL Multimanagement SDA Fds de Fds</v>
          </cell>
          <cell r="AE4" t="str">
            <v>006043000001</v>
          </cell>
        </row>
        <row r="5">
          <cell r="B5" t="str">
            <v>E144</v>
          </cell>
          <cell r="C5" t="str">
            <v>From Risk - Fund Responsibility - Dublin Funds</v>
          </cell>
          <cell r="D5" t="str">
            <v>BAL Multimanagement</v>
          </cell>
          <cell r="E5" t="str">
            <v>AMU BAL SDA Fds de Fds (used some absolute limits with High Rik with Equity exposure 0/120% and currency exposure up to 100%</v>
          </cell>
          <cell r="F5" t="str">
            <v>Yes</v>
          </cell>
          <cell r="G5">
            <v>124739</v>
          </cell>
          <cell r="H5" t="str">
            <v xml:space="preserve">Amundi Fund Solutions - Diversified Growth </v>
          </cell>
          <cell r="I5" t="str">
            <v>Dublin</v>
          </cell>
          <cell r="J5" t="str">
            <v>Media+</v>
          </cell>
          <cell r="K5"/>
          <cell r="L5" t="str">
            <v>Sarah D'Rosario</v>
          </cell>
          <cell r="M5" t="str">
            <v>Luca Mascolo</v>
          </cell>
          <cell r="N5" t="str">
            <v>Luca Mascolo</v>
          </cell>
          <cell r="O5" t="str">
            <v>UCITS</v>
          </cell>
          <cell r="P5" t="str">
            <v>Discretionary</v>
          </cell>
          <cell r="Q5" t="str">
            <v>ALSA</v>
          </cell>
          <cell r="R5" t="str">
            <v>Luxembourg</v>
          </cell>
          <cell r="S5" t="str">
            <v xml:space="preserve">Société Générale </v>
          </cell>
          <cell r="T5" t="str">
            <v xml:space="preserve">John O'Toole </v>
          </cell>
          <cell r="U5" t="str">
            <v xml:space="preserve">John O'Toole </v>
          </cell>
          <cell r="V5" t="str">
            <v>Bertrand Paquot</v>
          </cell>
          <cell r="W5" t="str">
            <v>CC: DL.DUB.Inv-MAPM</v>
          </cell>
          <cell r="X5" t="str">
            <v>CC: DL.DUB.Inv-MAPM</v>
          </cell>
          <cell r="AB5">
            <v>124736</v>
          </cell>
          <cell r="AC5" t="str">
            <v>BAL Multimanagement</v>
          </cell>
          <cell r="AD5" t="str">
            <v>AMU BAL SDA Fds de Fds (used some absolute limits with High Rik with Equity exposure 0/120% and currency exposure up to 100%</v>
          </cell>
          <cell r="AE5" t="str">
            <v>006043000001</v>
          </cell>
        </row>
        <row r="6">
          <cell r="B6" t="str">
            <v>E118</v>
          </cell>
          <cell r="C6" t="str">
            <v>From Risk - Fund Responsibility - Dublin Funds</v>
          </cell>
          <cell r="D6" t="str">
            <v>BAL Multimanagement</v>
          </cell>
          <cell r="E6" t="str">
            <v>DUB BAL Multimanagement SDA Fds de Fds</v>
          </cell>
          <cell r="F6" t="str">
            <v>Yes</v>
          </cell>
          <cell r="G6">
            <v>122223</v>
          </cell>
          <cell r="H6" t="str">
            <v>Amundi UniCredit Premium Portfolio – Prudential</v>
          </cell>
          <cell r="I6" t="str">
            <v>Dublin</v>
          </cell>
          <cell r="J6" t="str">
            <v>Media+</v>
          </cell>
          <cell r="K6"/>
          <cell r="L6" t="str">
            <v>Sarah D'Rosario</v>
          </cell>
          <cell r="M6" t="str">
            <v>Luca Mascolo</v>
          </cell>
          <cell r="N6" t="str">
            <v>Luca Mascolo</v>
          </cell>
          <cell r="O6" t="str">
            <v>UCITS</v>
          </cell>
          <cell r="P6" t="str">
            <v>Discretionary</v>
          </cell>
          <cell r="Q6" t="str">
            <v>ALSA</v>
          </cell>
          <cell r="R6" t="str">
            <v>Luxembourg</v>
          </cell>
          <cell r="S6" t="str">
            <v xml:space="preserve">Société Générale </v>
          </cell>
          <cell r="T6" t="str">
            <v xml:space="preserve">John O'Toole </v>
          </cell>
          <cell r="U6" t="str">
            <v xml:space="preserve">John O'Toole </v>
          </cell>
          <cell r="V6" t="str">
            <v>Alan Butterly</v>
          </cell>
          <cell r="W6" t="str">
            <v>CC: DL.DUB.Inv-MAPM</v>
          </cell>
          <cell r="AB6">
            <v>122223</v>
          </cell>
          <cell r="AC6" t="str">
            <v>BAL Multimanagement</v>
          </cell>
          <cell r="AD6" t="str">
            <v>DUB BAL Multimanagement SDA Fds de Fds</v>
          </cell>
          <cell r="AE6" t="str">
            <v>006043000001</v>
          </cell>
        </row>
        <row r="7">
          <cell r="B7" t="str">
            <v>E119</v>
          </cell>
          <cell r="C7" t="str">
            <v>From Risk - Fund Responsibility - Dublin Funds</v>
          </cell>
          <cell r="D7" t="str">
            <v>BAL Multimanagement</v>
          </cell>
          <cell r="E7" t="str">
            <v>DUB BAL Multimanagement SDA Fds de Fds</v>
          </cell>
          <cell r="F7" t="str">
            <v>Yes</v>
          </cell>
          <cell r="G7">
            <v>122224</v>
          </cell>
          <cell r="H7" t="str">
            <v>Amundi UniCredit Premium Portfolio – Dynamic</v>
          </cell>
          <cell r="I7" t="str">
            <v>Dublin</v>
          </cell>
          <cell r="J7" t="str">
            <v>Media+</v>
          </cell>
          <cell r="K7"/>
          <cell r="L7" t="str">
            <v>Sarah D'Rosario</v>
          </cell>
          <cell r="M7" t="str">
            <v>Luca Mascolo</v>
          </cell>
          <cell r="N7" t="str">
            <v>Luca Mascolo</v>
          </cell>
          <cell r="O7" t="str">
            <v>UCITS</v>
          </cell>
          <cell r="P7" t="str">
            <v>Discretionary</v>
          </cell>
          <cell r="Q7" t="str">
            <v>ALSA</v>
          </cell>
          <cell r="R7" t="str">
            <v>Luxembourg</v>
          </cell>
          <cell r="S7" t="str">
            <v xml:space="preserve">Société Générale </v>
          </cell>
          <cell r="T7" t="str">
            <v xml:space="preserve">John O'Toole </v>
          </cell>
          <cell r="U7" t="str">
            <v xml:space="preserve">John O'Toole </v>
          </cell>
          <cell r="V7" t="str">
            <v>Bertrand Paquot</v>
          </cell>
          <cell r="W7" t="str">
            <v>CC: DL.DUB.Inv-MAPM</v>
          </cell>
          <cell r="AB7">
            <v>122224</v>
          </cell>
          <cell r="AC7" t="str">
            <v>BAL Multimanagement</v>
          </cell>
          <cell r="AD7" t="str">
            <v>DUB BAL Multimanagement SDA Fds de Fds</v>
          </cell>
          <cell r="AE7" t="str">
            <v>006043000001</v>
          </cell>
        </row>
        <row r="8">
          <cell r="B8" t="str">
            <v>E120</v>
          </cell>
          <cell r="C8" t="str">
            <v>From Risk - Fund Responsibility - Dublin Funds</v>
          </cell>
          <cell r="D8" t="str">
            <v>BAL Multimanagement</v>
          </cell>
          <cell r="E8" t="str">
            <v>DUB BAL Multimanagement SDA Fds de Fds</v>
          </cell>
          <cell r="F8" t="str">
            <v>Yes</v>
          </cell>
          <cell r="G8">
            <v>122225</v>
          </cell>
          <cell r="H8" t="str">
            <v>Amundi UniCredit Premium Portfolio – Multi-Asset</v>
          </cell>
          <cell r="I8" t="str">
            <v>Dublin</v>
          </cell>
          <cell r="J8" t="str">
            <v>Media+</v>
          </cell>
          <cell r="K8"/>
          <cell r="L8" t="str">
            <v>Sarah D'Rosario</v>
          </cell>
          <cell r="M8" t="str">
            <v>Luca Mascolo</v>
          </cell>
          <cell r="N8" t="str">
            <v>Luca Mascolo</v>
          </cell>
          <cell r="O8" t="str">
            <v>UCITS</v>
          </cell>
          <cell r="P8" t="str">
            <v>Discretionary</v>
          </cell>
          <cell r="Q8" t="str">
            <v>ALSA</v>
          </cell>
          <cell r="R8" t="str">
            <v>Luxembourg</v>
          </cell>
          <cell r="S8" t="str">
            <v xml:space="preserve">Société Générale </v>
          </cell>
          <cell r="T8" t="str">
            <v xml:space="preserve">John O'Toole </v>
          </cell>
          <cell r="U8" t="str">
            <v xml:space="preserve">John O'Toole </v>
          </cell>
          <cell r="V8" t="str">
            <v>Alan Butterly</v>
          </cell>
          <cell r="W8" t="str">
            <v>CC: DL.DUB.Inv-MAPM</v>
          </cell>
          <cell r="AB8">
            <v>122225</v>
          </cell>
          <cell r="AC8" t="str">
            <v>BAL Multimanagement</v>
          </cell>
          <cell r="AD8" t="str">
            <v>DUB BAL Multimanagement SDA Fds de Fds</v>
          </cell>
          <cell r="AE8" t="str">
            <v>006043000001</v>
          </cell>
        </row>
        <row r="9">
          <cell r="B9" t="str">
            <v>E169</v>
          </cell>
          <cell r="C9" t="str">
            <v>From Risk - Fund Responsibility - Dublin Funds</v>
          </cell>
          <cell r="D9" t="str">
            <v>BAL Multimanagement</v>
          </cell>
          <cell r="E9" t="str">
            <v>DUB BAL Multimanagement SDA Fds de Fds</v>
          </cell>
          <cell r="F9" t="str">
            <v>Yes</v>
          </cell>
          <cell r="G9">
            <v>122226</v>
          </cell>
          <cell r="H9" t="str">
            <v>Amundi UniCredit Premium Portfolio – Plan</v>
          </cell>
          <cell r="I9" t="str">
            <v>Dublin</v>
          </cell>
          <cell r="J9" t="str">
            <v>Media+</v>
          </cell>
          <cell r="K9"/>
          <cell r="L9" t="str">
            <v>Sarah D'Rosario</v>
          </cell>
          <cell r="M9" t="str">
            <v>Luca Mascolo</v>
          </cell>
          <cell r="N9" t="str">
            <v>Luca Mascolo</v>
          </cell>
          <cell r="O9" t="str">
            <v>UCITS</v>
          </cell>
          <cell r="P9" t="str">
            <v>Discretionary</v>
          </cell>
          <cell r="Q9" t="str">
            <v>ALSA</v>
          </cell>
          <cell r="R9" t="str">
            <v>Luxembourg</v>
          </cell>
          <cell r="S9" t="str">
            <v xml:space="preserve">Société Générale </v>
          </cell>
          <cell r="T9" t="str">
            <v xml:space="preserve">John O'Toole </v>
          </cell>
          <cell r="U9" t="str">
            <v xml:space="preserve">John O'Toole </v>
          </cell>
          <cell r="V9" t="str">
            <v>Bertrand Paquot</v>
          </cell>
          <cell r="W9" t="str">
            <v>CC: DL.DUB.Inv-MAPM</v>
          </cell>
          <cell r="X9" t="str">
            <v>CC: DL.DUB.Inv-MAPM</v>
          </cell>
          <cell r="AB9">
            <v>122226</v>
          </cell>
          <cell r="AC9" t="str">
            <v>BAL Multimanagement</v>
          </cell>
          <cell r="AD9" t="str">
            <v>DUB BAL Multimanagement SDA Fds de Fds</v>
          </cell>
          <cell r="AE9" t="str">
            <v>006043000001</v>
          </cell>
        </row>
        <row r="10">
          <cell r="B10" t="str">
            <v>E207</v>
          </cell>
          <cell r="C10" t="str">
            <v>From Risk - Fund Responsibility - Dublin Funds</v>
          </cell>
          <cell r="D10" t="str">
            <v>TBD</v>
          </cell>
          <cell r="E10" t="str">
            <v>Agreed a light touch with VaR and Leverage limits</v>
          </cell>
          <cell r="F10" t="str">
            <v>Yes</v>
          </cell>
          <cell r="G10">
            <v>123114</v>
          </cell>
          <cell r="H10" t="str">
            <v>PI Investment Funds - Tactical Allocation Fund</v>
          </cell>
          <cell r="I10" t="str">
            <v>Dublin</v>
          </cell>
          <cell r="J10" t="str">
            <v>Media+</v>
          </cell>
          <cell r="K10"/>
          <cell r="L10" t="str">
            <v>Sarah D'Rosario</v>
          </cell>
          <cell r="M10" t="str">
            <v>Luca Mascolo</v>
          </cell>
          <cell r="N10" t="str">
            <v>Luca Mascolo</v>
          </cell>
          <cell r="O10" t="str">
            <v>UCITS</v>
          </cell>
          <cell r="P10" t="str">
            <v>Discretionary</v>
          </cell>
          <cell r="Q10" t="str">
            <v>ALSA</v>
          </cell>
          <cell r="R10" t="str">
            <v>Luxembourg</v>
          </cell>
          <cell r="S10" t="str">
            <v xml:space="preserve">Société Générale </v>
          </cell>
          <cell r="T10" t="str">
            <v xml:space="preserve">John O'Toole </v>
          </cell>
          <cell r="U10" t="str">
            <v xml:space="preserve">John O'Toole </v>
          </cell>
          <cell r="V10" t="str">
            <v>Salvatore Buono</v>
          </cell>
          <cell r="W10" t="str">
            <v>CC: DL.DUB.Inv-MAPM</v>
          </cell>
          <cell r="X10" t="str">
            <v>CC: DL.DUB.Inv-MAPM</v>
          </cell>
          <cell r="AA10"/>
          <cell r="AB10">
            <v>123114</v>
          </cell>
          <cell r="AC10" t="str">
            <v>TBD</v>
          </cell>
          <cell r="AD10" t="str">
            <v>Agreed a light touch with VaR and Leverage limits</v>
          </cell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</row>
        <row r="11">
          <cell r="B11" t="str">
            <v>E208</v>
          </cell>
          <cell r="C11" t="str">
            <v>From Risk - Fund Responsibility - Dublin Funds</v>
          </cell>
          <cell r="D11" t="str">
            <v>TBD</v>
          </cell>
          <cell r="E11" t="str">
            <v>Agreed a light touch with VaR and Leverage limits</v>
          </cell>
          <cell r="F11" t="str">
            <v>Yes</v>
          </cell>
          <cell r="G11">
            <v>123112</v>
          </cell>
          <cell r="H11" t="str">
            <v>PI Investment Funds - Tactical Allocation Bond Fund</v>
          </cell>
          <cell r="I11" t="str">
            <v>Dublin</v>
          </cell>
          <cell r="J11" t="str">
            <v>Media+</v>
          </cell>
          <cell r="K11"/>
          <cell r="L11" t="str">
            <v>Sarah D'Rosario</v>
          </cell>
          <cell r="M11" t="str">
            <v>Luca Mascolo</v>
          </cell>
          <cell r="N11" t="str">
            <v>Luca Mascolo</v>
          </cell>
          <cell r="O11" t="str">
            <v>UCITS</v>
          </cell>
          <cell r="P11" t="str">
            <v>Discretionary</v>
          </cell>
          <cell r="Q11" t="str">
            <v>ALSA</v>
          </cell>
          <cell r="R11" t="str">
            <v>Luxembourg</v>
          </cell>
          <cell r="S11" t="str">
            <v xml:space="preserve">Société Générale </v>
          </cell>
          <cell r="T11" t="str">
            <v xml:space="preserve">John O'Toole </v>
          </cell>
          <cell r="U11" t="str">
            <v xml:space="preserve">John O'Toole </v>
          </cell>
          <cell r="V11" t="str">
            <v>Salvatore Buono</v>
          </cell>
          <cell r="W11" t="str">
            <v>CC: DL.DUB.Inv-MAPM</v>
          </cell>
          <cell r="X11"/>
          <cell r="AA11"/>
          <cell r="AB11">
            <v>123112</v>
          </cell>
          <cell r="AC11" t="str">
            <v>TBD</v>
          </cell>
          <cell r="AD11" t="str">
            <v>Agreed a light touch with VaR and Leverage limits</v>
          </cell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</row>
        <row r="12">
          <cell r="B12" t="str">
            <v>E209</v>
          </cell>
          <cell r="C12" t="str">
            <v>From Risk - Fund Responsibility - Dublin Funds</v>
          </cell>
          <cell r="D12" t="str">
            <v>TBD</v>
          </cell>
          <cell r="E12" t="str">
            <v>Agreed a light touch with VaR and Leverage limits</v>
          </cell>
          <cell r="F12" t="str">
            <v>Yes</v>
          </cell>
          <cell r="G12">
            <v>124673</v>
          </cell>
          <cell r="H12" t="str">
            <v>PI Investment Funds - Dynamic Allocation Fund</v>
          </cell>
          <cell r="I12" t="str">
            <v>Dublin</v>
          </cell>
          <cell r="J12" t="str">
            <v>Media+</v>
          </cell>
          <cell r="K12"/>
          <cell r="L12" t="str">
            <v>Sarah D'Rosario</v>
          </cell>
          <cell r="M12" t="str">
            <v>Luca Mascolo</v>
          </cell>
          <cell r="N12" t="str">
            <v>Luca Mascolo</v>
          </cell>
          <cell r="O12" t="str">
            <v>UCITS</v>
          </cell>
          <cell r="P12" t="str">
            <v>Discretionary</v>
          </cell>
          <cell r="Q12" t="str">
            <v>ALSA</v>
          </cell>
          <cell r="R12" t="str">
            <v>Luxembourg</v>
          </cell>
          <cell r="S12" t="str">
            <v xml:space="preserve">Société Générale </v>
          </cell>
          <cell r="T12" t="str">
            <v xml:space="preserve">John O'Toole </v>
          </cell>
          <cell r="U12" t="str">
            <v xml:space="preserve">John O'Toole </v>
          </cell>
          <cell r="V12" t="str">
            <v>Salvatore Buono</v>
          </cell>
          <cell r="W12" t="str">
            <v>CC: DL.DUB.Inv-MAPM</v>
          </cell>
          <cell r="X12"/>
          <cell r="AA12"/>
          <cell r="AB12">
            <v>124673</v>
          </cell>
          <cell r="AC12" t="str">
            <v>TBD</v>
          </cell>
          <cell r="AD12" t="str">
            <v>Agreed a light touch with VaR and Leverage limits</v>
          </cell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</row>
        <row r="13">
          <cell r="B13" t="str">
            <v>E224</v>
          </cell>
          <cell r="C13" t="str">
            <v>From Risk - Fund Responsibility - Dublin Funds</v>
          </cell>
          <cell r="D13" t="str">
            <v>TBD</v>
          </cell>
          <cell r="E13" t="str">
            <v>Agreed a light touch with VaR and Leverage limits</v>
          </cell>
          <cell r="F13" t="str">
            <v>Yes</v>
          </cell>
          <cell r="G13">
            <v>124667</v>
          </cell>
          <cell r="H13" t="str">
            <v>PI Investment Funds - Tactical Allocation Pillar</v>
          </cell>
          <cell r="I13" t="str">
            <v>Dublin</v>
          </cell>
          <cell r="J13" t="str">
            <v>Media+</v>
          </cell>
          <cell r="K13"/>
          <cell r="L13" t="str">
            <v>Sarah D'Rosario</v>
          </cell>
          <cell r="M13" t="str">
            <v>Luca Mascolo</v>
          </cell>
          <cell r="N13" t="str">
            <v>Luca Mascolo</v>
          </cell>
          <cell r="O13" t="str">
            <v>UCITS</v>
          </cell>
          <cell r="P13" t="str">
            <v>Discretionary</v>
          </cell>
          <cell r="Q13" t="str">
            <v>ALSA</v>
          </cell>
          <cell r="R13" t="str">
            <v>Luxembourg</v>
          </cell>
          <cell r="S13" t="str">
            <v xml:space="preserve">Société Générale </v>
          </cell>
          <cell r="T13" t="str">
            <v xml:space="preserve">John O'Toole </v>
          </cell>
          <cell r="U13" t="str">
            <v xml:space="preserve">John O'Toole </v>
          </cell>
          <cell r="V13" t="str">
            <v>Salvatore Buono</v>
          </cell>
          <cell r="W13" t="str">
            <v>CC: DL.DUB.Inv-MAPM</v>
          </cell>
          <cell r="AA13"/>
          <cell r="AB13">
            <v>124667</v>
          </cell>
          <cell r="AC13" t="str">
            <v>TBD</v>
          </cell>
          <cell r="AD13" t="str">
            <v>Agreed a light touch with VaR and Leverage limits</v>
          </cell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</row>
        <row r="14">
          <cell r="B14" t="str">
            <v>PF71664</v>
          </cell>
          <cell r="C14" t="str">
            <v>From Risk - Fund Responsibility - Dublin Funds</v>
          </cell>
          <cell r="D14" t="str">
            <v>EFI Absolute Return</v>
          </cell>
          <cell r="E14" t="str">
            <v>DUB EFI Absolute Return Aggregate</v>
          </cell>
          <cell r="F14" t="str">
            <v>Yes</v>
          </cell>
          <cell r="G14">
            <v>132429</v>
          </cell>
          <cell r="H14" t="str">
            <v>Amundi Soluzioni Italia - Progetto Azione Megatrend 2023</v>
          </cell>
          <cell r="I14" t="str">
            <v>Dublin</v>
          </cell>
          <cell r="J14" t="str">
            <v>Media+</v>
          </cell>
          <cell r="K14" t="str">
            <v>Launched 28 Sept 2018</v>
          </cell>
          <cell r="L14" t="str">
            <v>Sarah D'Rosario</v>
          </cell>
          <cell r="M14" t="str">
            <v>Luca Mascolo</v>
          </cell>
          <cell r="N14" t="str">
            <v>Luca Mascolo</v>
          </cell>
          <cell r="O14" t="str">
            <v>UCITS</v>
          </cell>
          <cell r="P14" t="str">
            <v>Discretionary</v>
          </cell>
          <cell r="Q14" t="str">
            <v>Amundi Sgr</v>
          </cell>
          <cell r="R14" t="str">
            <v>Luxembourg</v>
          </cell>
          <cell r="S14" t="str">
            <v xml:space="preserve">Société Générale </v>
          </cell>
          <cell r="T14" t="str">
            <v xml:space="preserve">John O'Toole </v>
          </cell>
          <cell r="U14" t="str">
            <v xml:space="preserve">John O'Toole </v>
          </cell>
          <cell r="V14" t="str">
            <v>Salvatore Buono</v>
          </cell>
          <cell r="W14" t="str">
            <v>Richard Casey/Nicholas Pothier</v>
          </cell>
          <cell r="AB14">
            <v>132429</v>
          </cell>
          <cell r="AC14" t="str">
            <v>EFI Absolute Return</v>
          </cell>
          <cell r="AD14" t="str">
            <v>DUB EFI Absolute Return Aggregate</v>
          </cell>
          <cell r="AE14" t="str">
            <v>007021000001</v>
          </cell>
        </row>
        <row r="15">
          <cell r="B15" t="str">
            <v>PF76580</v>
          </cell>
          <cell r="C15" t="str">
            <v>From Risk - Fund Responsibility - Dublin Funds</v>
          </cell>
          <cell r="D15" t="str">
            <v>EFI Absolute Return</v>
          </cell>
          <cell r="E15" t="str">
            <v>DUB EFI Absolute Return Aggregate</v>
          </cell>
          <cell r="F15" t="str">
            <v>Yes</v>
          </cell>
          <cell r="G15">
            <v>140446</v>
          </cell>
          <cell r="H15" t="str">
            <v>Amundi Soluzioni Italia - Progetto Azione Megatrend II</v>
          </cell>
          <cell r="I15" t="str">
            <v>Dublin</v>
          </cell>
          <cell r="J15" t="str">
            <v>Media+</v>
          </cell>
          <cell r="K15"/>
          <cell r="L15" t="str">
            <v>Sarah D'Rosario</v>
          </cell>
          <cell r="M15" t="str">
            <v>Luca Mascolo</v>
          </cell>
          <cell r="N15" t="str">
            <v>Luca Mascolo</v>
          </cell>
          <cell r="O15" t="str">
            <v>UCITS</v>
          </cell>
          <cell r="P15" t="str">
            <v>Discretionary</v>
          </cell>
          <cell r="Q15" t="str">
            <v>Amundi Sgr</v>
          </cell>
          <cell r="R15" t="str">
            <v>Luxembourg</v>
          </cell>
          <cell r="S15" t="str">
            <v xml:space="preserve">Société Générale </v>
          </cell>
          <cell r="T15" t="str">
            <v xml:space="preserve">John O'Toole </v>
          </cell>
          <cell r="U15" t="str">
            <v xml:space="preserve">John O'Toole </v>
          </cell>
          <cell r="V15" t="str">
            <v>Salvatore Buono</v>
          </cell>
          <cell r="W15" t="str">
            <v>Richard Casey/Nicholas Pothier</v>
          </cell>
          <cell r="AB15">
            <v>132429</v>
          </cell>
          <cell r="AC15" t="str">
            <v>EFI Absolute Return</v>
          </cell>
          <cell r="AD15" t="str">
            <v>DUB EFI Absolute Return Aggregate</v>
          </cell>
          <cell r="AE15" t="str">
            <v>007021000001</v>
          </cell>
        </row>
        <row r="16">
          <cell r="B16" t="str">
            <v>PF78195</v>
          </cell>
          <cell r="C16" t="str">
            <v>From Risk - Fund Responsibility - Dublin Funds</v>
          </cell>
          <cell r="D16" t="str">
            <v>EFI Absolute Return</v>
          </cell>
          <cell r="E16" t="str">
            <v>DUB EFI Absolute Return Aggregate</v>
          </cell>
          <cell r="F16" t="str">
            <v>Yes</v>
          </cell>
          <cell r="G16">
            <v>148821</v>
          </cell>
          <cell r="H16" t="str">
            <v>Amundi Soluzioni Italia - Progetto Azione Cambiamento Climatico</v>
          </cell>
          <cell r="I16" t="str">
            <v>Dublin</v>
          </cell>
          <cell r="J16" t="str">
            <v>Media+</v>
          </cell>
          <cell r="K16" t="str">
            <v>Fund launch date 30th April 2019</v>
          </cell>
          <cell r="L16" t="str">
            <v>Luca Mascolo</v>
          </cell>
          <cell r="M16" t="str">
            <v>Luca Mascolo</v>
          </cell>
          <cell r="N16" t="str">
            <v>Luca Mascolo</v>
          </cell>
          <cell r="O16" t="str">
            <v>UCITS</v>
          </cell>
          <cell r="P16" t="str">
            <v>Discretionary</v>
          </cell>
          <cell r="Q16" t="str">
            <v>Amundi Sgr</v>
          </cell>
          <cell r="R16" t="str">
            <v>Luxembourg</v>
          </cell>
          <cell r="S16" t="str">
            <v xml:space="preserve">Société Générale </v>
          </cell>
          <cell r="T16" t="str">
            <v xml:space="preserve">John O'Toole </v>
          </cell>
          <cell r="U16" t="str">
            <v xml:space="preserve">John O'Toole </v>
          </cell>
          <cell r="V16" t="str">
            <v>Salvatore Buono</v>
          </cell>
          <cell r="W16" t="str">
            <v>Richard Casey/Nicholas Pothier</v>
          </cell>
          <cell r="AB16">
            <v>132429</v>
          </cell>
          <cell r="AC16" t="str">
            <v>EFI Absolute Return</v>
          </cell>
          <cell r="AD16" t="str">
            <v>DUB EFI Absolute Return Aggregate</v>
          </cell>
          <cell r="AE16" t="str">
            <v>007021000001</v>
          </cell>
        </row>
        <row r="17">
          <cell r="B17" t="str">
            <v>PF79139</v>
          </cell>
          <cell r="C17" t="str">
            <v>From Risk - Fund Responsibility - Dublin Funds</v>
          </cell>
          <cell r="F17" t="str">
            <v>Yes</v>
          </cell>
          <cell r="G17">
            <v>154937</v>
          </cell>
          <cell r="H17" t="str">
            <v>Amundi Soluzioni Italia - Progetto Azione Cambiamento Climatico II</v>
          </cell>
          <cell r="I17" t="str">
            <v>Dublin</v>
          </cell>
          <cell r="J17" t="str">
            <v>Media+</v>
          </cell>
          <cell r="K17" t="str">
            <v>Fund launch date 31st July 2019</v>
          </cell>
          <cell r="L17" t="str">
            <v>Luca Mascolo</v>
          </cell>
          <cell r="M17" t="str">
            <v>Luca Mascolo</v>
          </cell>
          <cell r="N17" t="str">
            <v>Luca Mascolo</v>
          </cell>
          <cell r="O17" t="str">
            <v>UCITS</v>
          </cell>
          <cell r="P17" t="str">
            <v>Discretionary</v>
          </cell>
          <cell r="Q17" t="str">
            <v>Amundi Sgr</v>
          </cell>
          <cell r="R17" t="str">
            <v>Luxembourg</v>
          </cell>
          <cell r="S17" t="str">
            <v xml:space="preserve">Société Générale </v>
          </cell>
          <cell r="T17" t="str">
            <v xml:space="preserve">John O'Toole </v>
          </cell>
          <cell r="U17" t="str">
            <v xml:space="preserve">John O'Toole </v>
          </cell>
          <cell r="V17" t="str">
            <v>Salvatore Buono</v>
          </cell>
          <cell r="W17" t="str">
            <v>Richard Casey/Nicholas Pothier</v>
          </cell>
        </row>
        <row r="18">
          <cell r="B18" t="str">
            <v>PSUKLD1</v>
          </cell>
          <cell r="C18" t="str">
            <v>From Risk - Fund Responsibility - Dublin Funds</v>
          </cell>
          <cell r="D18" t="str">
            <v>BAL Multimanagement</v>
          </cell>
          <cell r="E18" t="str">
            <v>AMU BAL SDA Fds de Fds (used some absolute limits with Low Rik)</v>
          </cell>
          <cell r="F18" t="str">
            <v>Yes</v>
          </cell>
          <cell r="G18">
            <v>153328</v>
          </cell>
          <cell r="H18" t="str">
            <v>Pioneer Institutional Solutions- UK Libor Diversified</v>
          </cell>
          <cell r="I18" t="str">
            <v>Dublin</v>
          </cell>
          <cell r="J18" t="str">
            <v>Media+</v>
          </cell>
          <cell r="K18"/>
          <cell r="L18" t="str">
            <v>Eduardo Monzon</v>
          </cell>
          <cell r="M18" t="str">
            <v>Luca Mascolo</v>
          </cell>
          <cell r="N18" t="str">
            <v>Luca Mascolo</v>
          </cell>
          <cell r="O18" t="str">
            <v>Non UCITS</v>
          </cell>
          <cell r="P18" t="str">
            <v>Discretionary</v>
          </cell>
          <cell r="Q18" t="str">
            <v>ALSA</v>
          </cell>
          <cell r="R18" t="str">
            <v>Luxembourg</v>
          </cell>
          <cell r="S18" t="str">
            <v xml:space="preserve">Société Générale </v>
          </cell>
          <cell r="T18" t="str">
            <v>John O'Toole</v>
          </cell>
          <cell r="U18" t="str">
            <v>John O'Toole</v>
          </cell>
          <cell r="V18" t="str">
            <v>Richard Casey</v>
          </cell>
          <cell r="W18" t="str">
            <v>Alan Butterly</v>
          </cell>
          <cell r="AB18">
            <v>124713</v>
          </cell>
          <cell r="AC18" t="str">
            <v>BAL Multimanagement</v>
          </cell>
          <cell r="AD18" t="str">
            <v>AMU BAL SDA Fds de Fds (used some absolute limits with Low Rik)</v>
          </cell>
          <cell r="AE18" t="str">
            <v>006043000001</v>
          </cell>
        </row>
        <row r="19">
          <cell r="B19" t="str">
            <v>U1</v>
          </cell>
          <cell r="C19" t="str">
            <v>From Risk - Fund Responsibility - Dublin Funds</v>
          </cell>
          <cell r="D19" t="str">
            <v>BAL Multimanagement</v>
          </cell>
          <cell r="E19" t="str">
            <v>DUB BAL Multimanagement SDA Fds de Fds</v>
          </cell>
          <cell r="F19" t="str">
            <v>Yes</v>
          </cell>
          <cell r="G19">
            <v>123116</v>
          </cell>
          <cell r="H19" t="str">
            <v>Pioneer UniCredit Soluzione 20</v>
          </cell>
          <cell r="I19" t="str">
            <v>Dublin</v>
          </cell>
          <cell r="J19" t="str">
            <v>Media+</v>
          </cell>
          <cell r="K19"/>
          <cell r="L19" t="str">
            <v>Sarah D'Rosario</v>
          </cell>
          <cell r="M19" t="str">
            <v>Luca Mascolo</v>
          </cell>
          <cell r="N19" t="str">
            <v>Luca Mascolo</v>
          </cell>
          <cell r="O19" t="str">
            <v>UCITS</v>
          </cell>
          <cell r="P19" t="str">
            <v>Discretionary</v>
          </cell>
          <cell r="Q19" t="str">
            <v>Amundi Sgr</v>
          </cell>
          <cell r="R19" t="str">
            <v>Italy</v>
          </cell>
          <cell r="S19" t="str">
            <v>Société Générale Securities Services S.p.A.</v>
          </cell>
          <cell r="T19" t="str">
            <v>John O'Toole</v>
          </cell>
          <cell r="U19" t="str">
            <v>John O'Toole</v>
          </cell>
          <cell r="V19" t="str">
            <v>Salvatore Buono</v>
          </cell>
          <cell r="W19" t="str">
            <v>CC: DL.DUB.Inv-MAPM</v>
          </cell>
          <cell r="AA19"/>
          <cell r="AB19">
            <v>123116</v>
          </cell>
          <cell r="AC19" t="str">
            <v>BAL Multimanagement</v>
          </cell>
          <cell r="AD19" t="str">
            <v>DUB BAL Multimanagement SDA Fds de Fds</v>
          </cell>
          <cell r="AE19" t="str">
            <v>006043000001</v>
          </cell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</row>
        <row r="20">
          <cell r="B20" t="str">
            <v>U2</v>
          </cell>
          <cell r="C20" t="str">
            <v>From Risk - Fund Responsibility - Dublin Funds</v>
          </cell>
          <cell r="D20" t="str">
            <v>BAL Multimanagement</v>
          </cell>
          <cell r="E20" t="str">
            <v>DUB BAL Multimanagement SDA Fds de Fds</v>
          </cell>
          <cell r="F20" t="str">
            <v>Yes</v>
          </cell>
          <cell r="G20">
            <v>123118</v>
          </cell>
          <cell r="H20" t="str">
            <v>Pioneer UniCredit Soluzione 40</v>
          </cell>
          <cell r="I20" t="str">
            <v>Dublin</v>
          </cell>
          <cell r="J20" t="str">
            <v>Media+</v>
          </cell>
          <cell r="K20"/>
          <cell r="L20" t="str">
            <v>Sarah D'Rosario</v>
          </cell>
          <cell r="M20" t="str">
            <v>Luca Mascolo</v>
          </cell>
          <cell r="N20" t="str">
            <v>Luca Mascolo</v>
          </cell>
          <cell r="O20" t="str">
            <v>UCITS</v>
          </cell>
          <cell r="P20" t="str">
            <v>Discretionary</v>
          </cell>
          <cell r="Q20" t="str">
            <v>Amundi Sgr</v>
          </cell>
          <cell r="R20" t="str">
            <v>Italy</v>
          </cell>
          <cell r="S20" t="str">
            <v>Société Générale Securities Services S.p.A.</v>
          </cell>
          <cell r="T20" t="str">
            <v>John O'Toole</v>
          </cell>
          <cell r="U20" t="str">
            <v>John O'Toole</v>
          </cell>
          <cell r="V20" t="str">
            <v>Salvatore Buono</v>
          </cell>
          <cell r="W20" t="str">
            <v>CC: DL.DUB.Inv-MAPM</v>
          </cell>
          <cell r="AA20"/>
          <cell r="AB20">
            <v>123118</v>
          </cell>
          <cell r="AC20" t="str">
            <v>BAL Multimanagement</v>
          </cell>
          <cell r="AD20" t="str">
            <v>DUB BAL Multimanagement SDA Fds de Fds</v>
          </cell>
          <cell r="AE20" t="str">
            <v>006043000001</v>
          </cell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</row>
        <row r="21">
          <cell r="B21" t="str">
            <v>PU3</v>
          </cell>
          <cell r="C21" t="str">
            <v>From Risk - Fund Responsibility - Dublin Funds</v>
          </cell>
          <cell r="D21" t="str">
            <v>BAL Multimanagement</v>
          </cell>
          <cell r="E21" t="str">
            <v>DUB BAL Multimanagement SDA Fds de Fds</v>
          </cell>
          <cell r="F21" t="str">
            <v>Yes</v>
          </cell>
          <cell r="G21">
            <v>124756</v>
          </cell>
          <cell r="H21" t="str">
            <v>Pioneer UniCredit Soluzione 70</v>
          </cell>
          <cell r="I21" t="str">
            <v>Dublin</v>
          </cell>
          <cell r="J21" t="str">
            <v>Media+</v>
          </cell>
          <cell r="K21"/>
          <cell r="L21" t="str">
            <v>Sarah D'Rosario</v>
          </cell>
          <cell r="M21" t="str">
            <v>Luca Mascolo</v>
          </cell>
          <cell r="N21" t="str">
            <v>Luca Mascolo</v>
          </cell>
          <cell r="O21" t="str">
            <v>UCITS</v>
          </cell>
          <cell r="P21" t="str">
            <v>Discretionary</v>
          </cell>
          <cell r="Q21" t="str">
            <v>Amundi Sgr</v>
          </cell>
          <cell r="R21" t="str">
            <v>Italy</v>
          </cell>
          <cell r="S21" t="str">
            <v>Société Générale Securities Services S.p.A.</v>
          </cell>
          <cell r="T21" t="str">
            <v>John O'Toole</v>
          </cell>
          <cell r="U21" t="str">
            <v>John O'Toole</v>
          </cell>
          <cell r="V21" t="str">
            <v>Salvatore Buono</v>
          </cell>
          <cell r="W21" t="str">
            <v>CC: DL.DUB.Inv-MAPM</v>
          </cell>
          <cell r="X21" t="str">
            <v>CC: DL.DUB.Inv-MAPM</v>
          </cell>
          <cell r="AA21"/>
          <cell r="AB21">
            <v>124756</v>
          </cell>
          <cell r="AC21" t="str">
            <v>BAL Multimanagement</v>
          </cell>
          <cell r="AD21" t="str">
            <v>DUB BAL Multimanagement SDA Fds de Fds</v>
          </cell>
          <cell r="AE21" t="str">
            <v>006043000001</v>
          </cell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</row>
        <row r="22">
          <cell r="B22" t="str">
            <v>U6</v>
          </cell>
          <cell r="C22" t="str">
            <v>From Risk - Fund Responsibility - Dublin Funds</v>
          </cell>
          <cell r="D22" t="str">
            <v>BAL Multimanagement</v>
          </cell>
          <cell r="E22" t="str">
            <v>AMU BAL SDA Fds de Fds (used absolute limits with medium risk)</v>
          </cell>
          <cell r="F22" t="str">
            <v>Yes</v>
          </cell>
          <cell r="G22">
            <v>124760</v>
          </cell>
          <cell r="H22" t="str">
            <v>Pioneer UniCredit Soluzione Paesi Emergenti</v>
          </cell>
          <cell r="I22" t="str">
            <v>Dublin</v>
          </cell>
          <cell r="J22" t="str">
            <v>Media+</v>
          </cell>
          <cell r="K22"/>
          <cell r="L22" t="str">
            <v>Sarah D'Rosario</v>
          </cell>
          <cell r="M22" t="str">
            <v>Luca Mascolo</v>
          </cell>
          <cell r="N22" t="str">
            <v>Luca Mascolo</v>
          </cell>
          <cell r="O22" t="str">
            <v>UCITS</v>
          </cell>
          <cell r="P22" t="str">
            <v>Discretionary</v>
          </cell>
          <cell r="Q22" t="str">
            <v>Amundi Sgr</v>
          </cell>
          <cell r="R22" t="str">
            <v>Italy</v>
          </cell>
          <cell r="S22" t="str">
            <v>Société Générale Securities Services S.p.A.</v>
          </cell>
          <cell r="T22" t="str">
            <v>John O'Toole</v>
          </cell>
          <cell r="U22" t="str">
            <v>John O'Toole</v>
          </cell>
          <cell r="V22" t="str">
            <v>Salvatore Buono</v>
          </cell>
          <cell r="W22" t="str">
            <v>Nicholas Pothier</v>
          </cell>
          <cell r="X22" t="str">
            <v>CC: DL.DUB.Inv-MAPM</v>
          </cell>
          <cell r="AB22">
            <v>124760</v>
          </cell>
          <cell r="AC22" t="str">
            <v>BAL Multimanagement</v>
          </cell>
          <cell r="AD22" t="str">
            <v>AMU BAL SDA Fds de Fds (used absolute limits with medium risk)</v>
          </cell>
          <cell r="AE22" t="str">
            <v>006043000001</v>
          </cell>
        </row>
        <row r="23">
          <cell r="B23" t="str">
            <v>U13</v>
          </cell>
          <cell r="C23" t="str">
            <v>From Risk - Fund Responsibility - Dublin Funds</v>
          </cell>
          <cell r="D23" t="str">
            <v>BAL Multimanagement</v>
          </cell>
          <cell r="E23" t="str">
            <v>AMU BAL SDA Fds de Fds (used some absolute limits with Low Rik)</v>
          </cell>
          <cell r="F23" t="str">
            <v>Yes</v>
          </cell>
          <cell r="G23">
            <v>124767</v>
          </cell>
          <cell r="H23" t="str">
            <v xml:space="preserve">Fondo UniCredit Evoluzione Reddito </v>
          </cell>
          <cell r="I23" t="str">
            <v>Dublin</v>
          </cell>
          <cell r="J23" t="str">
            <v>Media+</v>
          </cell>
          <cell r="K23"/>
          <cell r="L23" t="str">
            <v>Sarah D'Rosario</v>
          </cell>
          <cell r="M23" t="str">
            <v>Luca Mascolo</v>
          </cell>
          <cell r="N23" t="str">
            <v>Luca Mascolo</v>
          </cell>
          <cell r="O23" t="str">
            <v>UCITS</v>
          </cell>
          <cell r="P23" t="str">
            <v>Discretionary</v>
          </cell>
          <cell r="Q23" t="str">
            <v>Amundi Sgr</v>
          </cell>
          <cell r="R23" t="str">
            <v>Italy</v>
          </cell>
          <cell r="S23" t="str">
            <v>Société Générale Securities Services S.p.A.</v>
          </cell>
          <cell r="T23" t="str">
            <v>John O'Toole</v>
          </cell>
          <cell r="U23" t="str">
            <v>John O'Toole</v>
          </cell>
          <cell r="V23" t="str">
            <v>Salvatore Buono</v>
          </cell>
          <cell r="W23" t="str">
            <v>Richard Casey</v>
          </cell>
          <cell r="X23" t="str">
            <v>CC: DL.DUB.Inv-MAPM</v>
          </cell>
          <cell r="Y23"/>
          <cell r="Z23"/>
          <cell r="AB23">
            <v>124767</v>
          </cell>
          <cell r="AC23" t="str">
            <v>BAL Multimanagement</v>
          </cell>
          <cell r="AD23" t="str">
            <v>AMU BAL SDA Fds de Fds (used some absolute limits with Low Rik)</v>
          </cell>
          <cell r="AE23" t="str">
            <v>006043000001</v>
          </cell>
        </row>
        <row r="24">
          <cell r="B24" t="str">
            <v>U14</v>
          </cell>
          <cell r="C24" t="str">
            <v>From Risk - Fund Responsibility - Dublin Funds</v>
          </cell>
          <cell r="D24" t="str">
            <v>BAL Multimanagement</v>
          </cell>
          <cell r="E24" t="str">
            <v>AMU BAL SDA Fds de Fds (used absolute limits High risk)</v>
          </cell>
          <cell r="F24" t="str">
            <v>Yes</v>
          </cell>
          <cell r="G24">
            <v>124772</v>
          </cell>
          <cell r="H24" t="str">
            <v>Fondo UniCredit Evoluzione Trend</v>
          </cell>
          <cell r="I24" t="str">
            <v>Dublin</v>
          </cell>
          <cell r="J24" t="str">
            <v>Media+</v>
          </cell>
          <cell r="K24"/>
          <cell r="L24" t="str">
            <v>Sarah D'Rosario</v>
          </cell>
          <cell r="M24" t="str">
            <v>Luca Mascolo</v>
          </cell>
          <cell r="N24" t="str">
            <v>Luca Mascolo</v>
          </cell>
          <cell r="O24" t="str">
            <v>UCITS</v>
          </cell>
          <cell r="P24" t="str">
            <v>Discretionary</v>
          </cell>
          <cell r="Q24" t="str">
            <v>Amundi Sgr</v>
          </cell>
          <cell r="R24" t="str">
            <v>Italy</v>
          </cell>
          <cell r="S24" t="str">
            <v>Société Générale Securities Services S.p.A.</v>
          </cell>
          <cell r="T24" t="str">
            <v>John O'Toole</v>
          </cell>
          <cell r="U24" t="str">
            <v>John O'Toole</v>
          </cell>
          <cell r="V24" t="str">
            <v>Salvatore Buono</v>
          </cell>
          <cell r="W24" t="str">
            <v>Nicholas Pothier</v>
          </cell>
          <cell r="X24" t="str">
            <v>CC: DL.DUB.Inv-MAPM</v>
          </cell>
          <cell r="Y24"/>
          <cell r="Z24"/>
          <cell r="AB24">
            <v>124772</v>
          </cell>
          <cell r="AC24" t="str">
            <v>BAL Multimanagement</v>
          </cell>
          <cell r="AD24" t="str">
            <v>AMU BAL SDA Fds de Fds (used absolute limits High risk)</v>
          </cell>
          <cell r="AE24" t="str">
            <v>006043000001</v>
          </cell>
        </row>
        <row r="25">
          <cell r="B25" t="str">
            <v>U15</v>
          </cell>
          <cell r="C25" t="str">
            <v>From Risk - Fund Responsibility - Dublin Funds</v>
          </cell>
          <cell r="D25" t="str">
            <v>BAL Multimanagement</v>
          </cell>
          <cell r="E25" t="str">
            <v>AMU BAL SDA Fds de Fds (used absolute limits High risk)</v>
          </cell>
          <cell r="F25" t="str">
            <v>Yes</v>
          </cell>
          <cell r="G25">
            <v>124770</v>
          </cell>
          <cell r="H25" t="str">
            <v>Fondo UniCredit Evoluzione Economia Reale</v>
          </cell>
          <cell r="I25" t="str">
            <v>Dublin</v>
          </cell>
          <cell r="J25" t="str">
            <v>Media+</v>
          </cell>
          <cell r="K25"/>
          <cell r="L25" t="str">
            <v>Sarah D'Rosario</v>
          </cell>
          <cell r="M25" t="str">
            <v>Luca Mascolo</v>
          </cell>
          <cell r="N25" t="str">
            <v>Luca Mascolo</v>
          </cell>
          <cell r="O25" t="str">
            <v>UCITS</v>
          </cell>
          <cell r="P25" t="str">
            <v>Discretionary</v>
          </cell>
          <cell r="Q25" t="str">
            <v>Amundi Sgr</v>
          </cell>
          <cell r="R25" t="str">
            <v>Italy</v>
          </cell>
          <cell r="S25" t="str">
            <v>Société Générale Securities Services S.p.A.</v>
          </cell>
          <cell r="T25" t="str">
            <v>John O'Toole</v>
          </cell>
          <cell r="U25" t="str">
            <v>John O'Toole</v>
          </cell>
          <cell r="V25" t="str">
            <v>Salvatore Buono</v>
          </cell>
          <cell r="W25" t="str">
            <v>Nicholas Pothier</v>
          </cell>
          <cell r="X25" t="str">
            <v>CC: DL.DUB.Inv-MAPM</v>
          </cell>
          <cell r="AB25">
            <v>124770</v>
          </cell>
          <cell r="AC25" t="str">
            <v>BAL Multimanagement</v>
          </cell>
          <cell r="AD25" t="str">
            <v>AMU BAL SDA Fds de Fds (used absolute limits High risk)</v>
          </cell>
          <cell r="AE25" t="str">
            <v>006043000001</v>
          </cell>
        </row>
        <row r="26">
          <cell r="B26" t="str">
            <v>U17</v>
          </cell>
          <cell r="C26" t="str">
            <v>From Risk - Fund Responsibility - Dublin Funds</v>
          </cell>
          <cell r="D26" t="str">
            <v>BAL Multimanagement</v>
          </cell>
          <cell r="E26" t="str">
            <v>Dub BAL Multimanagement SDA Fds de Fds Attiva</v>
          </cell>
          <cell r="F26" t="str">
            <v>Yes</v>
          </cell>
          <cell r="G26">
            <v>122516</v>
          </cell>
          <cell r="H26" t="str">
            <v>Pioneer Innovazione Attiva</v>
          </cell>
          <cell r="I26" t="str">
            <v>Dublin</v>
          </cell>
          <cell r="J26" t="str">
            <v>Media+</v>
          </cell>
          <cell r="K26" t="str">
            <v>Open question on whether this is migrating</v>
          </cell>
          <cell r="L26" t="str">
            <v>Sarah D'Rosario</v>
          </cell>
          <cell r="M26" t="str">
            <v>Luca Mascolo</v>
          </cell>
          <cell r="N26" t="str">
            <v>Luca Mascolo</v>
          </cell>
          <cell r="O26" t="str">
            <v>UCITS</v>
          </cell>
          <cell r="P26" t="str">
            <v>Discretionary</v>
          </cell>
          <cell r="Q26" t="str">
            <v>Amundi Sgr</v>
          </cell>
          <cell r="R26" t="str">
            <v>Italy</v>
          </cell>
          <cell r="S26" t="str">
            <v>Société Générale Securities Services S.p.A.</v>
          </cell>
          <cell r="T26" t="str">
            <v xml:space="preserve">John O'Toole </v>
          </cell>
          <cell r="U26" t="str">
            <v xml:space="preserve">John O'Toole </v>
          </cell>
          <cell r="V26" t="str">
            <v>Alan Butterly</v>
          </cell>
          <cell r="W26" t="str">
            <v>Ryan Connolly</v>
          </cell>
          <cell r="X26" t="str">
            <v>Lucy Dimtcheva</v>
          </cell>
          <cell r="Y26"/>
          <cell r="Z26"/>
          <cell r="AB26">
            <v>122516</v>
          </cell>
          <cell r="AC26" t="str">
            <v>BAL Multimanagement</v>
          </cell>
          <cell r="AD26" t="str">
            <v>Dub BAL Multimanagement SDA Fds de Fds Attiva</v>
          </cell>
          <cell r="AE26" t="str">
            <v>006049000001</v>
          </cell>
        </row>
        <row r="27">
          <cell r="B27" t="str">
            <v>GW013</v>
          </cell>
          <cell r="C27" t="str">
            <v>From Risk - Fund Responsibility - Dublin Funds</v>
          </cell>
          <cell r="D27" t="str">
            <v>BAL Multimanagement</v>
          </cell>
          <cell r="E27" t="str">
            <v>DUB BAL Multimanagement Alt Greenway</v>
          </cell>
          <cell r="F27" t="str">
            <v>Yes</v>
          </cell>
          <cell r="G27">
            <v>67007</v>
          </cell>
          <cell r="H27" t="str">
            <v>GREEN WAY MARKET NEUTRAL WEEKLY FUND</v>
          </cell>
          <cell r="I27" t="str">
            <v>Dublin</v>
          </cell>
          <cell r="J27" t="str">
            <v>Media+</v>
          </cell>
          <cell r="K27"/>
          <cell r="L27" t="str">
            <v>Sarah D'Rosario</v>
          </cell>
          <cell r="M27" t="str">
            <v>Luca Mascolo</v>
          </cell>
          <cell r="N27" t="str">
            <v>Luca Mascolo</v>
          </cell>
          <cell r="O27" t="str">
            <v>AIF - Feeder</v>
          </cell>
          <cell r="P27" t="str">
            <v>Discretionary</v>
          </cell>
          <cell r="Q27" t="str">
            <v>Amundi Asset Management</v>
          </cell>
          <cell r="R27" t="str">
            <v>Ireland</v>
          </cell>
          <cell r="S27" t="str">
            <v>CACEIS BANK IRELAND</v>
          </cell>
          <cell r="T27" t="str">
            <v>John O'Toole</v>
          </cell>
          <cell r="U27" t="str">
            <v>David Allen</v>
          </cell>
          <cell r="V27" t="str">
            <v>Alan Butterly</v>
          </cell>
          <cell r="W27" t="str">
            <v>Ryan Connolly</v>
          </cell>
          <cell r="AB27">
            <v>67007</v>
          </cell>
          <cell r="AC27" t="str">
            <v>BAL Multimanagement</v>
          </cell>
          <cell r="AD27" t="str">
            <v>DUB BAL Multimanagement Alt Greenway</v>
          </cell>
          <cell r="AE27" t="str">
            <v xml:space="preserve">006051000001 </v>
          </cell>
        </row>
        <row r="28">
          <cell r="B28" t="str">
            <v>HF11</v>
          </cell>
          <cell r="C28" t="str">
            <v>From Risk - Fund Responsibility - Dublin Funds</v>
          </cell>
          <cell r="D28" t="str">
            <v>BAL Multimanagement</v>
          </cell>
          <cell r="E28" t="str">
            <v>DUB BAL Multimanagement Alt Greenway</v>
          </cell>
          <cell r="F28" t="str">
            <v>Yes</v>
          </cell>
          <cell r="G28">
            <v>113434</v>
          </cell>
          <cell r="H28" t="str">
            <v>GREEN WAY MKT NEUTRAL MASTER FD</v>
          </cell>
          <cell r="I28" t="str">
            <v>Dublin</v>
          </cell>
          <cell r="J28" t="str">
            <v>Media+</v>
          </cell>
          <cell r="K28"/>
          <cell r="L28" t="str">
            <v>Sarah D'Rosario</v>
          </cell>
          <cell r="M28" t="str">
            <v>Luca Mascolo</v>
          </cell>
          <cell r="N28" t="str">
            <v>Luca Mascolo</v>
          </cell>
          <cell r="O28" t="str">
            <v>AIF - Master</v>
          </cell>
          <cell r="P28" t="str">
            <v>Discretionary</v>
          </cell>
          <cell r="Q28" t="str">
            <v>Amundi Asset Management</v>
          </cell>
          <cell r="R28" t="str">
            <v>Ireland</v>
          </cell>
          <cell r="S28" t="str">
            <v>CACEIS BANK IRELAND</v>
          </cell>
          <cell r="T28" t="str">
            <v>John O'Toole</v>
          </cell>
          <cell r="U28" t="str">
            <v>David Allen</v>
          </cell>
          <cell r="V28" t="str">
            <v>Alan Butterly</v>
          </cell>
          <cell r="W28" t="str">
            <v>Ryan Connolly</v>
          </cell>
          <cell r="AB28">
            <v>67007</v>
          </cell>
          <cell r="AC28" t="str">
            <v>BAL Multimanagement</v>
          </cell>
          <cell r="AD28" t="str">
            <v>DUB BAL Multimanagement Alt Greenway</v>
          </cell>
          <cell r="AE28" t="str">
            <v xml:space="preserve">006051000001 </v>
          </cell>
        </row>
        <row r="29">
          <cell r="B29" t="str">
            <v>PACIFAI</v>
          </cell>
          <cell r="C29" t="str">
            <v>From Risk - Fund Responsibility - Dublin Funds</v>
          </cell>
          <cell r="D29" t="str">
            <v>BAL Multimanagement</v>
          </cell>
          <cell r="E29" t="str">
            <v>DUB BAL Multimanagement Alt Greenway</v>
          </cell>
          <cell r="F29" t="str">
            <v>Yes</v>
          </cell>
          <cell r="G29">
            <v>119823</v>
          </cell>
          <cell r="H29" t="str">
            <v>PACIFICA POCHE AI</v>
          </cell>
          <cell r="I29" t="str">
            <v>Dublin</v>
          </cell>
          <cell r="J29" t="str">
            <v>Media+</v>
          </cell>
          <cell r="K29"/>
          <cell r="L29" t="str">
            <v>Sarah D'Rosario</v>
          </cell>
          <cell r="M29" t="str">
            <v>Luca Mascolo</v>
          </cell>
          <cell r="N29" t="str">
            <v>Luca Mascolo</v>
          </cell>
          <cell r="O29" t="str">
            <v>Institutional - FR UCITS</v>
          </cell>
          <cell r="P29" t="str">
            <v>Discretionary</v>
          </cell>
          <cell r="Q29" t="str">
            <v>Amundi Asset Management</v>
          </cell>
          <cell r="R29" t="str">
            <v>Ireland</v>
          </cell>
          <cell r="S29" t="str">
            <v>CACEIS BANK</v>
          </cell>
          <cell r="T29" t="str">
            <v>John O'Toole</v>
          </cell>
          <cell r="U29" t="str">
            <v>David Allen</v>
          </cell>
          <cell r="V29" t="str">
            <v>Alan Butterly</v>
          </cell>
          <cell r="W29" t="str">
            <v>Ryan Connolly</v>
          </cell>
          <cell r="AB29">
            <v>119823</v>
          </cell>
          <cell r="AC29" t="str">
            <v>BAL Multimanagement</v>
          </cell>
          <cell r="AD29" t="str">
            <v>DUB BAL Multimanagement Alt Greenway</v>
          </cell>
          <cell r="AE29" t="str">
            <v xml:space="preserve">006051000001 </v>
          </cell>
        </row>
        <row r="30">
          <cell r="B30" t="str">
            <v>PF71066</v>
          </cell>
          <cell r="C30" t="str">
            <v>From Risk - Fund Responsibility - Dublin Funds</v>
          </cell>
          <cell r="D30" t="str">
            <v>EQY Benchmarked Bottom Up</v>
          </cell>
          <cell r="E30" t="str">
            <v>DUB EQY Fundamental Europe Stock Picking</v>
          </cell>
          <cell r="F30" t="e">
            <v>#N/A</v>
          </cell>
          <cell r="G30">
            <v>145141</v>
          </cell>
          <cell r="H30" t="str">
            <v>AMUNDI FUNDS Top European Players</v>
          </cell>
          <cell r="I30" t="str">
            <v>Dublin</v>
          </cell>
          <cell r="J30" t="str">
            <v>Media+</v>
          </cell>
          <cell r="K30" t="str">
            <v>PEA Fund - drop status post Brexit</v>
          </cell>
          <cell r="L30" t="str">
            <v>Luca Mascolo</v>
          </cell>
          <cell r="M30" t="str">
            <v>Ed Monzon</v>
          </cell>
          <cell r="N30" t="str">
            <v>Ed Monzon</v>
          </cell>
          <cell r="O30" t="str">
            <v>UCITS</v>
          </cell>
          <cell r="P30" t="str">
            <v>Discretionary</v>
          </cell>
          <cell r="Q30" t="str">
            <v>ALSA</v>
          </cell>
          <cell r="R30" t="str">
            <v>Luxembourg</v>
          </cell>
          <cell r="S30" t="str">
            <v xml:space="preserve">Société Générale </v>
          </cell>
          <cell r="T30" t="str">
            <v>Kasper Elmgreen</v>
          </cell>
          <cell r="U30" t="str">
            <v>Andrew Arbuthnott</v>
          </cell>
          <cell r="V30" t="str">
            <v>Andrew Arbuthnott</v>
          </cell>
          <cell r="W30" t="str">
            <v>Mary Mannion</v>
          </cell>
          <cell r="Y30"/>
          <cell r="Z30"/>
          <cell r="AA30" t="str">
            <v>Flagships</v>
          </cell>
          <cell r="AB30">
            <v>123077</v>
          </cell>
          <cell r="AC30" t="str">
            <v>EQY Benchmarked Bottom Up</v>
          </cell>
          <cell r="AD30" t="str">
            <v>DUB EQY Fundamental Europe Stock Picking</v>
          </cell>
          <cell r="AE30" t="str">
            <v>015056000001</v>
          </cell>
          <cell r="AN30" t="str">
            <v>Dub</v>
          </cell>
          <cell r="AO30" t="str">
            <v>Eqy</v>
          </cell>
          <cell r="AP30" t="str">
            <v>PF71066</v>
          </cell>
          <cell r="AQ30">
            <v>123077</v>
          </cell>
          <cell r="AR30" t="str">
            <v>EQY Benchmarked Bottom Up</v>
          </cell>
          <cell r="AS30" t="str">
            <v>DUB EQY Fundamental Europe Stock Picking</v>
          </cell>
        </row>
        <row r="31">
          <cell r="B31" t="str">
            <v>PF71070</v>
          </cell>
          <cell r="C31" t="str">
            <v>From Risk - Fund Responsibility - Dublin Funds</v>
          </cell>
          <cell r="D31" t="str">
            <v>New Absolute process</v>
          </cell>
          <cell r="E31" t="str">
            <v>Under discussion with SRM</v>
          </cell>
          <cell r="F31" t="e">
            <v>#N/A</v>
          </cell>
          <cell r="G31">
            <v>145187</v>
          </cell>
          <cell r="H31" t="str">
            <v>AMUNDI FUNDS Absolute Return European Equity</v>
          </cell>
          <cell r="I31" t="str">
            <v>Dublin</v>
          </cell>
          <cell r="J31" t="str">
            <v>Media+</v>
          </cell>
          <cell r="K31"/>
          <cell r="L31" t="str">
            <v>Luca Mascolo</v>
          </cell>
          <cell r="M31" t="str">
            <v>Ed Monzon</v>
          </cell>
          <cell r="N31" t="str">
            <v>Ed Monzon</v>
          </cell>
          <cell r="O31" t="str">
            <v>UCITS</v>
          </cell>
          <cell r="P31" t="str">
            <v>Discretionary</v>
          </cell>
          <cell r="Q31" t="str">
            <v>ALSA</v>
          </cell>
          <cell r="R31" t="str">
            <v>Luxembourg</v>
          </cell>
          <cell r="S31" t="str">
            <v xml:space="preserve">Société Générale </v>
          </cell>
          <cell r="T31" t="str">
            <v>Kasper Elmgreen</v>
          </cell>
          <cell r="U31" t="str">
            <v>Fabio Di Giansante</v>
          </cell>
          <cell r="V31" t="str">
            <v>Fabio Di Giansante</v>
          </cell>
          <cell r="W31" t="str">
            <v>Mary Mannion</v>
          </cell>
          <cell r="AA31" t="str">
            <v>independent</v>
          </cell>
          <cell r="AB31">
            <v>122277</v>
          </cell>
          <cell r="AC31" t="str">
            <v>New Absolute process</v>
          </cell>
          <cell r="AD31" t="str">
            <v>Under discussion with SRM</v>
          </cell>
          <cell r="AF31"/>
          <cell r="AG31"/>
          <cell r="AH31"/>
          <cell r="AI31"/>
          <cell r="AJ31"/>
          <cell r="AK31"/>
          <cell r="AL31"/>
          <cell r="AM31"/>
          <cell r="AN31" t="str">
            <v>Dub</v>
          </cell>
          <cell r="AO31" t="str">
            <v>Eqy</v>
          </cell>
          <cell r="AP31" t="str">
            <v>PF71070</v>
          </cell>
          <cell r="AQ31">
            <v>122277</v>
          </cell>
          <cell r="AR31" t="str">
            <v>New Absolute process</v>
          </cell>
          <cell r="AS31" t="str">
            <v>WIP</v>
          </cell>
        </row>
        <row r="32">
          <cell r="B32" t="str">
            <v>PF72339</v>
          </cell>
          <cell r="C32" t="str">
            <v>From Risk - Fund Responsibility - Dublin Funds</v>
          </cell>
          <cell r="D32" t="str">
            <v>EQY Benchmarked Bottom Up</v>
          </cell>
          <cell r="E32" t="str">
            <v>DUB EQY Fundamental Europe Stock Picking</v>
          </cell>
          <cell r="F32" t="e">
            <v>#N/A</v>
          </cell>
          <cell r="G32">
            <v>145683</v>
          </cell>
          <cell r="H32" t="str">
            <v>AMUNDI FUNDS Euroland Equity</v>
          </cell>
          <cell r="I32" t="str">
            <v>Dublin</v>
          </cell>
          <cell r="J32" t="str">
            <v>Media+</v>
          </cell>
          <cell r="K32" t="str">
            <v>PEA Fund - maintain PEA status</v>
          </cell>
          <cell r="L32" t="str">
            <v>Luca Mascolo</v>
          </cell>
          <cell r="M32" t="str">
            <v>Ed Monzon</v>
          </cell>
          <cell r="N32" t="str">
            <v>Ed Monzon</v>
          </cell>
          <cell r="O32" t="str">
            <v>UCITS</v>
          </cell>
          <cell r="P32" t="str">
            <v>Discretionary</v>
          </cell>
          <cell r="Q32" t="str">
            <v>ALSA</v>
          </cell>
          <cell r="R32" t="str">
            <v>Luxembourg</v>
          </cell>
          <cell r="S32" t="str">
            <v xml:space="preserve">Société Générale </v>
          </cell>
          <cell r="T32" t="str">
            <v>Kasper Elmgreen</v>
          </cell>
          <cell r="U32" t="str">
            <v>Fabio Di Giansante</v>
          </cell>
          <cell r="V32" t="str">
            <v>Fabio Di Giansante</v>
          </cell>
          <cell r="W32" t="str">
            <v>Mary Mannion</v>
          </cell>
          <cell r="X32"/>
          <cell r="AA32" t="str">
            <v>Flagships</v>
          </cell>
          <cell r="AB32">
            <v>123151</v>
          </cell>
          <cell r="AC32" t="str">
            <v>EQY Benchmarked Bottom Up</v>
          </cell>
          <cell r="AD32" t="str">
            <v>DUB EQY Fundamental Europe Stock Picking</v>
          </cell>
          <cell r="AE32" t="str">
            <v>015056000001</v>
          </cell>
          <cell r="AN32" t="str">
            <v>Dub</v>
          </cell>
          <cell r="AO32" t="str">
            <v>Eqy</v>
          </cell>
          <cell r="AP32" t="str">
            <v>PF72339</v>
          </cell>
          <cell r="AQ32">
            <v>123151</v>
          </cell>
          <cell r="AR32" t="str">
            <v>EQY Benchmarked Bottom Up</v>
          </cell>
          <cell r="AS32" t="str">
            <v>DUB EQY Fundamental Europe Stock Picking</v>
          </cell>
        </row>
        <row r="33">
          <cell r="B33" t="str">
            <v>PF72354</v>
          </cell>
          <cell r="C33" t="str">
            <v>From Risk - Fund Responsibility - Dublin Funds</v>
          </cell>
          <cell r="D33" t="str">
            <v>EQY Benchmarked Bottom Up</v>
          </cell>
          <cell r="E33" t="str">
            <v>DUB EQY Fundamental Europe Stock Picking Equity Va</v>
          </cell>
          <cell r="F33" t="e">
            <v>#N/A</v>
          </cell>
          <cell r="G33">
            <v>145763</v>
          </cell>
          <cell r="H33" t="str">
            <v>AMUNDI FUNDS European Equity Value</v>
          </cell>
          <cell r="I33" t="str">
            <v>Dublin</v>
          </cell>
          <cell r="J33" t="str">
            <v>Media+</v>
          </cell>
          <cell r="K33" t="str">
            <v>PEA Fund - drop status post Brexit</v>
          </cell>
          <cell r="L33" t="str">
            <v>Luca Mascolo</v>
          </cell>
          <cell r="M33" t="str">
            <v>Ed Monzon</v>
          </cell>
          <cell r="N33" t="str">
            <v>Ed Monzon</v>
          </cell>
          <cell r="O33" t="str">
            <v>UCITS</v>
          </cell>
          <cell r="P33" t="str">
            <v>Discretionary</v>
          </cell>
          <cell r="Q33" t="str">
            <v>ALSA</v>
          </cell>
          <cell r="R33" t="str">
            <v>Luxembourg</v>
          </cell>
          <cell r="S33" t="str">
            <v xml:space="preserve">Société Générale </v>
          </cell>
          <cell r="T33" t="str">
            <v>Kasper Elmgreen</v>
          </cell>
          <cell r="U33" t="str">
            <v>Andreas Wosol</v>
          </cell>
          <cell r="V33" t="str">
            <v>Andreas Wosol</v>
          </cell>
          <cell r="W33" t="str">
            <v>Mary Mannion</v>
          </cell>
          <cell r="Y33"/>
          <cell r="Z33"/>
          <cell r="AA33" t="str">
            <v>Flagships</v>
          </cell>
          <cell r="AB33">
            <v>124325</v>
          </cell>
          <cell r="AC33" t="str">
            <v>EQY Benchmarked Bottom Up</v>
          </cell>
          <cell r="AD33" t="str">
            <v>DUB EQY Fundamental Europe Stock Picking Equity Va</v>
          </cell>
          <cell r="AE33" t="str">
            <v xml:space="preserve">015058000001 </v>
          </cell>
          <cell r="AN33" t="str">
            <v>Dub</v>
          </cell>
          <cell r="AO33" t="str">
            <v>Eqy</v>
          </cell>
          <cell r="AP33" t="str">
            <v>PF72354</v>
          </cell>
          <cell r="AQ33">
            <v>124325</v>
          </cell>
          <cell r="AR33" t="str">
            <v>EQY Benchmarked Bottom Up</v>
          </cell>
          <cell r="AS33" t="str">
            <v>DUB EQY Fundamental Europe Stock Picking Equity Va</v>
          </cell>
        </row>
        <row r="34">
          <cell r="B34" t="str">
            <v>PF72356</v>
          </cell>
          <cell r="C34" t="str">
            <v>From Risk - Fund Responsibility - Dublin Funds</v>
          </cell>
          <cell r="D34" t="str">
            <v>EQY Thematic</v>
          </cell>
          <cell r="E34" t="str">
            <v>DUB EQY Thematic Europe Stock Picking ALET</v>
          </cell>
          <cell r="F34" t="e">
            <v>#N/A</v>
          </cell>
          <cell r="G34">
            <v>145782</v>
          </cell>
          <cell r="H34" t="str">
            <v>AMUNDI FUNDS Global Ecology ESG</v>
          </cell>
          <cell r="I34" t="str">
            <v>Dublin</v>
          </cell>
          <cell r="J34" t="str">
            <v>Media+</v>
          </cell>
          <cell r="K34"/>
          <cell r="L34" t="str">
            <v>Luca Mascolo</v>
          </cell>
          <cell r="M34" t="str">
            <v>Ed Monzon</v>
          </cell>
          <cell r="N34" t="str">
            <v>Ed Monzon</v>
          </cell>
          <cell r="O34" t="str">
            <v>UCITS</v>
          </cell>
          <cell r="P34" t="str">
            <v>Discretionary</v>
          </cell>
          <cell r="Q34" t="str">
            <v>ALSA</v>
          </cell>
          <cell r="R34" t="str">
            <v>Luxembourg</v>
          </cell>
          <cell r="S34" t="str">
            <v xml:space="preserve">Société Générale </v>
          </cell>
          <cell r="T34" t="str">
            <v>Kasper Elmgreen</v>
          </cell>
          <cell r="U34" t="str">
            <v>Piergaetano Iaccarino</v>
          </cell>
          <cell r="V34" t="str">
            <v>Christian Zimmermann</v>
          </cell>
          <cell r="W34" t="str">
            <v>Mary Mannion</v>
          </cell>
          <cell r="AA34" t="str">
            <v>Flagships</v>
          </cell>
          <cell r="AB34">
            <v>125877</v>
          </cell>
          <cell r="AC34" t="str">
            <v>EQY Thematic</v>
          </cell>
          <cell r="AD34" t="str">
            <v>DUB EQY Thematic Europe Stock Picking ALET</v>
          </cell>
          <cell r="AE34" t="str">
            <v>020047000001</v>
          </cell>
          <cell r="AN34" t="str">
            <v>Dub</v>
          </cell>
          <cell r="AO34" t="str">
            <v>Eqy</v>
          </cell>
          <cell r="AP34" t="str">
            <v>PF72356</v>
          </cell>
          <cell r="AQ34">
            <v>125877</v>
          </cell>
          <cell r="AR34" t="str">
            <v>EQY Thematic</v>
          </cell>
          <cell r="AS34" t="str">
            <v>DUB EQY Thematic Europe Stock Picking ALET</v>
          </cell>
        </row>
        <row r="35">
          <cell r="B35" t="str">
            <v>PF72358</v>
          </cell>
          <cell r="C35" t="str">
            <v>From Risk - Fund Responsibility - Dublin Funds</v>
          </cell>
          <cell r="D35" t="str">
            <v>EQY Benchmarked Bottom Up</v>
          </cell>
          <cell r="E35" t="str">
            <v>DUB EQY Fundamental Europe Stock Picking Equity Va</v>
          </cell>
          <cell r="F35" t="e">
            <v>#N/A</v>
          </cell>
          <cell r="G35">
            <v>145808</v>
          </cell>
          <cell r="H35" t="str">
            <v>AMUNDI FUNDS Global Equity Target Income</v>
          </cell>
          <cell r="I35" t="str">
            <v>Dublin</v>
          </cell>
          <cell r="J35" t="str">
            <v>Media+</v>
          </cell>
          <cell r="K35"/>
          <cell r="L35" t="str">
            <v>Luca Mascolo</v>
          </cell>
          <cell r="M35" t="str">
            <v>Ed Monzon</v>
          </cell>
          <cell r="N35" t="str">
            <v>Ed Monzon</v>
          </cell>
          <cell r="O35" t="str">
            <v>UCITS</v>
          </cell>
          <cell r="P35" t="str">
            <v>Discretionary</v>
          </cell>
          <cell r="Q35" t="str">
            <v>ALSA</v>
          </cell>
          <cell r="R35" t="str">
            <v>Luxembourg</v>
          </cell>
          <cell r="S35" t="str">
            <v xml:space="preserve">Société Générale </v>
          </cell>
          <cell r="T35" t="str">
            <v>Kasper Elmgreen</v>
          </cell>
          <cell r="U35" t="str">
            <v>Piergaetano Iaccarino</v>
          </cell>
          <cell r="V35" t="str">
            <v>Piergaetano Iaccarino</v>
          </cell>
          <cell r="W35" t="str">
            <v>Mary Mannion</v>
          </cell>
          <cell r="AA35" t="str">
            <v>Flagships</v>
          </cell>
          <cell r="AB35">
            <v>123163</v>
          </cell>
          <cell r="AC35" t="str">
            <v>EQY Benchmarked Bottom Up</v>
          </cell>
          <cell r="AD35" t="str">
            <v>DUB EQY Fundamental Europe Stock Picking Equity Va</v>
          </cell>
          <cell r="AE35" t="str">
            <v>015058000001</v>
          </cell>
          <cell r="AN35" t="str">
            <v>Dub</v>
          </cell>
          <cell r="AO35" t="str">
            <v>Eqy</v>
          </cell>
          <cell r="AP35" t="str">
            <v>PF72358</v>
          </cell>
          <cell r="AQ35">
            <v>123163</v>
          </cell>
          <cell r="AR35" t="str">
            <v>EQY Benchmarked Bottom Up</v>
          </cell>
          <cell r="AS35" t="str">
            <v>DUB EQY Fundamental Europe Stock Picking Equity Va</v>
          </cell>
        </row>
        <row r="36">
          <cell r="C36" t="str">
            <v>From Risk - Fund Responsibility - Dublin Funds</v>
          </cell>
          <cell r="F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W36"/>
        </row>
        <row r="37">
          <cell r="B37" t="str">
            <v>PF76730</v>
          </cell>
          <cell r="C37" t="str">
            <v>From Risk - Fund Responsibility - Dublin Funds</v>
          </cell>
          <cell r="D37" t="str">
            <v>EQY Benchmarked Bottom Up</v>
          </cell>
          <cell r="E37" t="str">
            <v>DUB EQY Fundamental Europe Stock Picking</v>
          </cell>
          <cell r="F37" t="e">
            <v>#N/A</v>
          </cell>
          <cell r="G37">
            <v>147231</v>
          </cell>
          <cell r="H37" t="str">
            <v xml:space="preserve">Amundi S.F. - European Research </v>
          </cell>
          <cell r="I37" t="str">
            <v>Dublin</v>
          </cell>
          <cell r="J37" t="str">
            <v>Media+</v>
          </cell>
          <cell r="K37" t="str">
            <v>PEA Fund - drop status post Brexit</v>
          </cell>
          <cell r="L37" t="str">
            <v>Luca Mascolo</v>
          </cell>
          <cell r="M37" t="str">
            <v>Ed Monzon</v>
          </cell>
          <cell r="N37" t="str">
            <v>Ed Monzon</v>
          </cell>
          <cell r="O37" t="str">
            <v>UCITS</v>
          </cell>
          <cell r="P37" t="str">
            <v>Discretionary</v>
          </cell>
          <cell r="Q37" t="str">
            <v>ALSA</v>
          </cell>
          <cell r="R37" t="str">
            <v>Luxembourg</v>
          </cell>
          <cell r="S37" t="str">
            <v xml:space="preserve">Société Générale </v>
          </cell>
          <cell r="T37" t="str">
            <v>Kasper Elmgreen</v>
          </cell>
          <cell r="U37" t="str">
            <v>Luc Mouzon</v>
          </cell>
          <cell r="V37" t="str">
            <v>Luc Mouzon</v>
          </cell>
          <cell r="W37" t="str">
            <v>Mary Mannion</v>
          </cell>
          <cell r="Y37"/>
          <cell r="Z37"/>
          <cell r="AA37" t="str">
            <v>Flagships</v>
          </cell>
          <cell r="AB37">
            <v>123157</v>
          </cell>
          <cell r="AC37" t="str">
            <v>EQY Benchmarked Bottom Up</v>
          </cell>
          <cell r="AD37" t="str">
            <v>DUB EQY Fundamental Europe Stock Picking</v>
          </cell>
          <cell r="AE37" t="str">
            <v>015056000001</v>
          </cell>
          <cell r="AN37" t="str">
            <v>Dub</v>
          </cell>
          <cell r="AO37" t="str">
            <v>Eqy</v>
          </cell>
          <cell r="AP37" t="str">
            <v>PF76730</v>
          </cell>
          <cell r="AQ37">
            <v>123157</v>
          </cell>
          <cell r="AR37" t="str">
            <v>EQY Benchmarked Bottom Up</v>
          </cell>
          <cell r="AS37" t="str">
            <v>DUB EQY Fundamental Europe Stock Picking</v>
          </cell>
        </row>
        <row r="38">
          <cell r="B38" t="str">
            <v>EEEMP</v>
          </cell>
          <cell r="C38" t="str">
            <v>From Risk - Fund Responsibility - Dublin Funds</v>
          </cell>
          <cell r="D38" t="str">
            <v>EQY Systematic Benchmarked</v>
          </cell>
          <cell r="E38" t="str">
            <v>Dub EQY Systematic Benchmarked</v>
          </cell>
          <cell r="F38" t="e">
            <v>#N/A</v>
          </cell>
          <cell r="G38">
            <v>124517</v>
          </cell>
          <cell r="H38" t="str">
            <v>Amundi S.F. - European Equity Market Plus</v>
          </cell>
          <cell r="I38" t="str">
            <v>Dublin</v>
          </cell>
          <cell r="J38" t="str">
            <v>Media+</v>
          </cell>
          <cell r="K38"/>
          <cell r="L38" t="str">
            <v>Luca Mascolo</v>
          </cell>
          <cell r="M38" t="str">
            <v>Ed Monzon</v>
          </cell>
          <cell r="N38" t="str">
            <v>Ed Monzon</v>
          </cell>
          <cell r="O38" t="str">
            <v>UCITS</v>
          </cell>
          <cell r="P38" t="str">
            <v>Discretionary</v>
          </cell>
          <cell r="Q38" t="str">
            <v>ALSA</v>
          </cell>
          <cell r="R38" t="str">
            <v>Luxembourg</v>
          </cell>
          <cell r="S38" t="str">
            <v xml:space="preserve">Société Générale </v>
          </cell>
          <cell r="T38" t="str">
            <v>Kasper Elmgreen</v>
          </cell>
          <cell r="U38" t="str">
            <v>Piergaetano Iaccarino</v>
          </cell>
          <cell r="V38" t="str">
            <v>Dieter Beil</v>
          </cell>
          <cell r="W38" t="str">
            <v>Mary Mannion</v>
          </cell>
          <cell r="AA38" t="str">
            <v>Flagships</v>
          </cell>
          <cell r="AB38">
            <v>124516</v>
          </cell>
          <cell r="AC38" t="str">
            <v>EQY Systematic Benchmarked</v>
          </cell>
          <cell r="AD38" t="str">
            <v>Dub EQY Systematic Benchmarked</v>
          </cell>
          <cell r="AE38" t="str">
            <v>017014000001</v>
          </cell>
          <cell r="AN38" t="str">
            <v>Dub</v>
          </cell>
          <cell r="AO38" t="str">
            <v>Eqy</v>
          </cell>
          <cell r="AP38" t="str">
            <v>EEEMP</v>
          </cell>
          <cell r="AQ38">
            <v>124516</v>
          </cell>
          <cell r="AR38" t="str">
            <v>EQY Systematic Benchmarked</v>
          </cell>
          <cell r="AS38" t="str">
            <v>Dub EQY Systematic Benchmarked</v>
          </cell>
        </row>
        <row r="39">
          <cell r="C39" t="str">
            <v>From Risk - Fund Responsibility - Dublin Funds</v>
          </cell>
          <cell r="F39" t="e">
            <v>#N/A</v>
          </cell>
        </row>
        <row r="40">
          <cell r="B40" t="str">
            <v>E193</v>
          </cell>
          <cell r="C40" t="str">
            <v>From Risk - Fund Responsibility - Dublin Funds</v>
          </cell>
          <cell r="D40" t="str">
            <v>BAL Multimanagement</v>
          </cell>
          <cell r="E40" t="str">
            <v>AMU BAL SDA Fds de Fds (used absolute limits mixed medium/High risk)</v>
          </cell>
          <cell r="F40" t="str">
            <v>Yes</v>
          </cell>
          <cell r="G40">
            <v>124719</v>
          </cell>
          <cell r="H40" t="str">
            <v>Amundi Fund Solutions - Diversified Income Best Select 2022</v>
          </cell>
          <cell r="I40" t="str">
            <v>Dublin</v>
          </cell>
          <cell r="J40" t="str">
            <v>Media+</v>
          </cell>
          <cell r="K40"/>
          <cell r="L40" t="str">
            <v>Sarah D'Rosario</v>
          </cell>
          <cell r="M40" t="str">
            <v>Luca Mascolo</v>
          </cell>
          <cell r="N40" t="str">
            <v>Luca Mascolo</v>
          </cell>
          <cell r="O40" t="str">
            <v>UCITS</v>
          </cell>
          <cell r="P40" t="str">
            <v>Discretionary co-managed</v>
          </cell>
          <cell r="Q40" t="str">
            <v>ALSA</v>
          </cell>
          <cell r="R40" t="str">
            <v>Luxembourg</v>
          </cell>
          <cell r="S40" t="str">
            <v xml:space="preserve">Société Générale </v>
          </cell>
          <cell r="T40" t="str">
            <v xml:space="preserve">John O'Toole </v>
          </cell>
          <cell r="U40" t="str">
            <v xml:space="preserve">John O'Toole </v>
          </cell>
          <cell r="V40" t="str">
            <v>Nicholas Pothier</v>
          </cell>
          <cell r="W40" t="str">
            <v>CC: DL.DUB.Inv-MAPM</v>
          </cell>
          <cell r="AB40">
            <v>124721</v>
          </cell>
          <cell r="AC40" t="str">
            <v>BAL Multimanagement</v>
          </cell>
          <cell r="AD40" t="str">
            <v>AMU BAL SDA Fds de Fds (used absolute limits mixed medium/High risk)</v>
          </cell>
          <cell r="AE40" t="str">
            <v>006043000001</v>
          </cell>
        </row>
        <row r="41">
          <cell r="C41" t="str">
            <v>From Risk - Fund Responsibility - Dublin Funds</v>
          </cell>
          <cell r="F41" t="e">
            <v>#N/A</v>
          </cell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U41"/>
          <cell r="V41"/>
        </row>
        <row r="42">
          <cell r="C42" t="str">
            <v>From Risk - Fund Responsibility - Dublin Funds</v>
          </cell>
          <cell r="F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U42"/>
          <cell r="V42"/>
        </row>
        <row r="43">
          <cell r="C43" t="str">
            <v>From Risk - Fund Responsibility - Dublin Funds</v>
          </cell>
          <cell r="F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U43"/>
          <cell r="V43"/>
        </row>
        <row r="44">
          <cell r="C44" t="str">
            <v>From Risk - Fund Responsibility - Dublin Funds</v>
          </cell>
          <cell r="F44" t="e">
            <v>#N/A</v>
          </cell>
          <cell r="I44"/>
          <cell r="M44"/>
          <cell r="N44"/>
          <cell r="O44"/>
          <cell r="P44"/>
          <cell r="Q44"/>
          <cell r="R44"/>
          <cell r="S44"/>
          <cell r="T44"/>
          <cell r="U44"/>
          <cell r="V44"/>
        </row>
        <row r="45">
          <cell r="C45" t="str">
            <v>From Risk - Fund Responsibility - Dublin Funds</v>
          </cell>
          <cell r="F45" t="e">
            <v>#N/A</v>
          </cell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</row>
        <row r="46">
          <cell r="B46" t="str">
            <v>UAE</v>
          </cell>
          <cell r="C46" t="str">
            <v>From Risk - Fund Responsibility - Dublin Funds</v>
          </cell>
          <cell r="D46" t="str">
            <v>EQY Benchmarked Bottom Up</v>
          </cell>
          <cell r="E46" t="str">
            <v>DUB EQY Fundamental Europe Stock Picking</v>
          </cell>
          <cell r="F46" t="e">
            <v>#N/A</v>
          </cell>
          <cell r="G46">
            <v>122234</v>
          </cell>
          <cell r="H46" t="str">
            <v>Pioneer Italia Azionario Europa</v>
          </cell>
          <cell r="I46" t="str">
            <v>Dublin</v>
          </cell>
          <cell r="J46" t="str">
            <v>Media+</v>
          </cell>
          <cell r="K46"/>
          <cell r="L46" t="str">
            <v>Luca Mascolo</v>
          </cell>
          <cell r="M46" t="str">
            <v>Ed Monzon</v>
          </cell>
          <cell r="N46" t="str">
            <v>Ed Monzon</v>
          </cell>
          <cell r="O46" t="str">
            <v>UCITS</v>
          </cell>
          <cell r="P46" t="str">
            <v>Discretionary</v>
          </cell>
          <cell r="Q46" t="str">
            <v>Amundi Sgr</v>
          </cell>
          <cell r="R46" t="str">
            <v>Italy</v>
          </cell>
          <cell r="S46" t="str">
            <v>Société Générale Securities Services S.p.A.</v>
          </cell>
          <cell r="T46" t="str">
            <v>Kasper Elmgreen</v>
          </cell>
          <cell r="U46" t="str">
            <v>Luc Mouzon</v>
          </cell>
          <cell r="V46" t="str">
            <v>Luc Mouzon</v>
          </cell>
          <cell r="W46" t="str">
            <v>Mary Mannion</v>
          </cell>
          <cell r="Y46"/>
          <cell r="Z46"/>
          <cell r="AA46" t="str">
            <v>Flagships</v>
          </cell>
          <cell r="AB46">
            <v>122234</v>
          </cell>
          <cell r="AC46" t="str">
            <v>EQY Benchmarked Bottom Up</v>
          </cell>
          <cell r="AD46" t="str">
            <v>DUB EQY Fundamental Europe Stock Picking</v>
          </cell>
          <cell r="AE46" t="str">
            <v>015056000001</v>
          </cell>
          <cell r="AN46" t="str">
            <v>Dub</v>
          </cell>
          <cell r="AO46" t="str">
            <v>Eqy</v>
          </cell>
          <cell r="AP46" t="str">
            <v>UAE</v>
          </cell>
          <cell r="AQ46">
            <v>122234</v>
          </cell>
          <cell r="AR46" t="str">
            <v>EQY Benchmarked Bottom Up</v>
          </cell>
          <cell r="AS46" t="str">
            <v>DUB EQY Fundamental Europe Stock Picking</v>
          </cell>
        </row>
        <row r="47">
          <cell r="B47" t="str">
            <v>UAMEU</v>
          </cell>
          <cell r="C47" t="str">
            <v>From Risk - Fund Responsibility - Dublin Funds</v>
          </cell>
          <cell r="D47" t="str">
            <v>EQY Benchmarked Bottom Up</v>
          </cell>
          <cell r="E47" t="str">
            <v>DUB EQY Fundamental Europe Stock Picking Sec Weigh</v>
          </cell>
          <cell r="F47" t="e">
            <v>#N/A</v>
          </cell>
          <cell r="G47">
            <v>122236</v>
          </cell>
          <cell r="H47" t="str">
            <v>Pioneer Italia Azionario Valore Europa a Distribuzione</v>
          </cell>
          <cell r="I47" t="str">
            <v>Dublin</v>
          </cell>
          <cell r="J47" t="str">
            <v>Media+</v>
          </cell>
          <cell r="K47"/>
          <cell r="L47" t="str">
            <v>Luca Mascolo</v>
          </cell>
          <cell r="M47" t="str">
            <v>Ed Monzon</v>
          </cell>
          <cell r="N47" t="str">
            <v>Ed Monzon</v>
          </cell>
          <cell r="O47" t="str">
            <v>UCITS</v>
          </cell>
          <cell r="P47" t="str">
            <v>Discretionary</v>
          </cell>
          <cell r="Q47" t="str">
            <v>Amundi Sgr</v>
          </cell>
          <cell r="R47" t="str">
            <v>Italy</v>
          </cell>
          <cell r="S47" t="str">
            <v>Société Générale Securities Services S.p.A.</v>
          </cell>
          <cell r="T47" t="str">
            <v>Kasper Elmgreen</v>
          </cell>
          <cell r="U47" t="str">
            <v>Piergaetano Iaccarino</v>
          </cell>
          <cell r="V47" t="str">
            <v>Dieter Beil</v>
          </cell>
          <cell r="W47" t="str">
            <v>Maurice Howell</v>
          </cell>
          <cell r="X47" t="str">
            <v>Mary Mannion</v>
          </cell>
          <cell r="Y47" t="str">
            <v>Ian O'Reilly</v>
          </cell>
          <cell r="Z47" t="str">
            <v>Christian Zimmerman</v>
          </cell>
          <cell r="AA47" t="str">
            <v>Flagships</v>
          </cell>
          <cell r="AB47">
            <v>122236</v>
          </cell>
          <cell r="AC47" t="str">
            <v>EQY Benchmarked Bottom Up</v>
          </cell>
          <cell r="AD47" t="str">
            <v>DUB EQY Fundamental Europe Stock Picking Sec Weigh</v>
          </cell>
          <cell r="AE47" t="str">
            <v xml:space="preserve">015057000001 </v>
          </cell>
          <cell r="AN47" t="str">
            <v>Dub</v>
          </cell>
          <cell r="AO47" t="str">
            <v>Eqy</v>
          </cell>
          <cell r="AP47" t="str">
            <v>UAMEU</v>
          </cell>
          <cell r="AQ47">
            <v>122236</v>
          </cell>
          <cell r="AR47" t="str">
            <v>EQY Benchmarked Bottom Up</v>
          </cell>
          <cell r="AS47" t="str">
            <v>DUB EQY Fundamental Europe Stock Picking Sec Weigh</v>
          </cell>
        </row>
        <row r="48">
          <cell r="C48" t="str">
            <v>From Risk - Fund Responsibility - Dublin Funds</v>
          </cell>
          <cell r="F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B49" t="str">
            <v>PF81179</v>
          </cell>
          <cell r="C49" t="str">
            <v>From Risk - Fund Responsibility - Dublin Funds</v>
          </cell>
          <cell r="D49" t="str">
            <v>EQY Benchmarked Bottom Up</v>
          </cell>
          <cell r="E49" t="str">
            <v>Dub Eqy Fundamental Europe Stock Picking wider sector</v>
          </cell>
          <cell r="F49" t="e">
            <v>#N/A</v>
          </cell>
          <cell r="G49">
            <v>122001</v>
          </cell>
          <cell r="H49" t="str">
            <v>(R) European Equities 3</v>
          </cell>
          <cell r="I49" t="str">
            <v>Dublin</v>
          </cell>
          <cell r="J49" t="str">
            <v>Media+</v>
          </cell>
          <cell r="K49"/>
          <cell r="L49" t="str">
            <v>Luca Mascolo</v>
          </cell>
          <cell r="M49" t="str">
            <v>Ed Monzon</v>
          </cell>
          <cell r="N49" t="str">
            <v>Ed Monzon</v>
          </cell>
          <cell r="O49" t="str">
            <v>UCITS</v>
          </cell>
          <cell r="P49" t="str">
            <v>Discretionary</v>
          </cell>
          <cell r="Q49" t="str">
            <v>Amundi Deutschland</v>
          </cell>
          <cell r="R49" t="str">
            <v>Germany</v>
          </cell>
          <cell r="S49" t="str">
            <v>CACEIS</v>
          </cell>
          <cell r="T49" t="str">
            <v>Kasper Elmgreen</v>
          </cell>
          <cell r="U49" t="str">
            <v>Andreas Wosol</v>
          </cell>
          <cell r="V49" t="str">
            <v>Andreas Wosol</v>
          </cell>
          <cell r="W49" t="str">
            <v>Mary Mannion</v>
          </cell>
          <cell r="AA49" t="str">
            <v>independent</v>
          </cell>
          <cell r="AB49">
            <v>122001</v>
          </cell>
          <cell r="AC49" t="str">
            <v>EQY Benchmarked Bottom Up</v>
          </cell>
          <cell r="AD49" t="str">
            <v>Dub Eqy Fundamental Europe Stock Picking wider sector</v>
          </cell>
          <cell r="AE49" t="str">
            <v>015059000001</v>
          </cell>
          <cell r="AN49" t="str">
            <v>Dub</v>
          </cell>
          <cell r="AO49" t="str">
            <v>Eqy</v>
          </cell>
          <cell r="AP49" t="str">
            <v>PF81179</v>
          </cell>
          <cell r="AQ49">
            <v>122001</v>
          </cell>
          <cell r="AR49" t="str">
            <v>EQY Benchmarked Bottom Up</v>
          </cell>
          <cell r="AS49" t="str">
            <v>Dub Eqy Fundamental Europe Stock Picking wider sector</v>
          </cell>
        </row>
        <row r="50">
          <cell r="C50" t="str">
            <v>From Risk - Fund Responsibility - Dublin Funds</v>
          </cell>
          <cell r="F50" t="e">
            <v>#N/A</v>
          </cell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T50"/>
          <cell r="U50"/>
        </row>
        <row r="51">
          <cell r="B51" t="str">
            <v>CISIUSA</v>
          </cell>
          <cell r="C51" t="str">
            <v>From Risk - Fund Responsibility - Dublin Funds</v>
          </cell>
          <cell r="D51" t="str">
            <v>EQY Physical Replication</v>
          </cell>
          <cell r="E51" t="str">
            <v>DUB EQY Physical Replication Optimised Index Repli</v>
          </cell>
          <cell r="F51" t="e">
            <v>#N/A</v>
          </cell>
          <cell r="G51">
            <v>123461</v>
          </cell>
          <cell r="H51" t="str">
            <v>Pioneer Austria - Stock Index USA</v>
          </cell>
          <cell r="I51" t="str">
            <v>Dublin</v>
          </cell>
          <cell r="J51" t="str">
            <v>Media+</v>
          </cell>
          <cell r="K51"/>
          <cell r="L51" t="str">
            <v>Luca Mascolo</v>
          </cell>
          <cell r="M51" t="str">
            <v>Ed Monzon</v>
          </cell>
          <cell r="N51" t="str">
            <v>Ed Monzon</v>
          </cell>
          <cell r="O51" t="str">
            <v>UCITS</v>
          </cell>
          <cell r="P51" t="str">
            <v>Discretionary</v>
          </cell>
          <cell r="Q51" t="str">
            <v>Amundi Austria</v>
          </cell>
          <cell r="R51" t="str">
            <v>Austria</v>
          </cell>
          <cell r="S51" t="str">
            <v xml:space="preserve">BACA </v>
          </cell>
          <cell r="T51" t="str">
            <v>Kasper Elmgreen</v>
          </cell>
          <cell r="U51" t="str">
            <v>Piergaetano Iaccarino</v>
          </cell>
          <cell r="V51" t="str">
            <v>Dieter Beil</v>
          </cell>
          <cell r="W51" t="str">
            <v>Mary Mannion</v>
          </cell>
          <cell r="AA51" t="str">
            <v>independent</v>
          </cell>
          <cell r="AB51">
            <v>123461</v>
          </cell>
          <cell r="AC51" t="str">
            <v>EQY Physical Replication</v>
          </cell>
          <cell r="AD51" t="str">
            <v>DUB EQY Physical Replication Optimised Index Repli</v>
          </cell>
          <cell r="AE51" t="str">
            <v>018022000001</v>
          </cell>
          <cell r="AN51" t="str">
            <v>Dub</v>
          </cell>
          <cell r="AO51" t="str">
            <v>Eqy</v>
          </cell>
          <cell r="AP51" t="str">
            <v>CISIUSA</v>
          </cell>
          <cell r="AQ51">
            <v>123461</v>
          </cell>
          <cell r="AR51" t="str">
            <v>EQY Physical Replication</v>
          </cell>
          <cell r="AS51" t="str">
            <v>DUB EQY Physical Replication Optimised Index Repli</v>
          </cell>
        </row>
        <row r="52">
          <cell r="C52" t="str">
            <v>From Risk - Fund Responsibility - Dublin Funds</v>
          </cell>
          <cell r="F52" t="e">
            <v>#N/A</v>
          </cell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T52"/>
          <cell r="U52"/>
          <cell r="V52"/>
          <cell r="AA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</row>
        <row r="53">
          <cell r="B53" t="str">
            <v>DOK</v>
          </cell>
          <cell r="C53" t="str">
            <v>From Risk - Fund Responsibility - Dublin Funds</v>
          </cell>
          <cell r="D53" t="str">
            <v>EQY Benchmarked Bottom Up</v>
          </cell>
          <cell r="E53" t="str">
            <v>DUB EQY Fundamental Europe Stock Picking</v>
          </cell>
          <cell r="F53" t="e">
            <v>#N/A</v>
          </cell>
          <cell r="G53">
            <v>125248</v>
          </cell>
          <cell r="H53" t="str">
            <v xml:space="preserve">Daiwa Oushu Kou-haitou Kabu Mother Fund </v>
          </cell>
          <cell r="I53" t="str">
            <v>Dublin</v>
          </cell>
          <cell r="J53" t="str">
            <v>Media+</v>
          </cell>
          <cell r="K53" t="str">
            <v>DB constraint</v>
          </cell>
          <cell r="L53" t="str">
            <v>Luca Mascolo</v>
          </cell>
          <cell r="M53" t="str">
            <v>Ed Monzon</v>
          </cell>
          <cell r="N53" t="str">
            <v>Ed Monzon</v>
          </cell>
          <cell r="O53"/>
          <cell r="P53" t="str">
            <v>Discretionary</v>
          </cell>
          <cell r="Q53" t="str">
            <v>Daiwa Asset Management Co Ltd</v>
          </cell>
          <cell r="R53" t="str">
            <v>Institutional</v>
          </cell>
          <cell r="S53" t="str">
            <v>BBH</v>
          </cell>
          <cell r="T53" t="str">
            <v>Kasper Elmgreen</v>
          </cell>
          <cell r="U53" t="str">
            <v>Andrew Arbuthnott</v>
          </cell>
          <cell r="V53" t="str">
            <v>Piergaetano Iaccarino</v>
          </cell>
          <cell r="W53" t="str">
            <v>Mary Mannion</v>
          </cell>
          <cell r="Y53"/>
          <cell r="Z53"/>
          <cell r="AA53" t="str">
            <v>independent</v>
          </cell>
          <cell r="AB53">
            <v>125248</v>
          </cell>
          <cell r="AC53" t="str">
            <v>EQY Benchmarked Bottom Up</v>
          </cell>
          <cell r="AD53" t="str">
            <v>DUB EQY Fundamental Europe Stock Picking</v>
          </cell>
          <cell r="AE53" t="str">
            <v>015056000001</v>
          </cell>
          <cell r="AN53" t="str">
            <v>Dub</v>
          </cell>
          <cell r="AO53" t="str">
            <v>Eqy</v>
          </cell>
          <cell r="AP53" t="str">
            <v>DOK</v>
          </cell>
          <cell r="AQ53">
            <v>125248</v>
          </cell>
          <cell r="AR53" t="str">
            <v>EQY Benchmarked Bottom Up</v>
          </cell>
          <cell r="AS53" t="str">
            <v>DUB EQY Fundamental Europe Stock Picking</v>
          </cell>
        </row>
        <row r="54">
          <cell r="B54" t="str">
            <v>PCNP</v>
          </cell>
          <cell r="C54" t="str">
            <v>From Risk - Fund Responsibility - Dublin Funds</v>
          </cell>
          <cell r="D54" t="str">
            <v>EQY Benchmarked Bottom Up</v>
          </cell>
          <cell r="E54" t="str">
            <v>DUB EQY Fundamental Europe Stock Picking</v>
          </cell>
          <cell r="F54" t="e">
            <v>#N/A</v>
          </cell>
          <cell r="G54">
            <v>125235</v>
          </cell>
          <cell r="H54" t="str">
            <v xml:space="preserve">CNP Actions Europe Pioneer </v>
          </cell>
          <cell r="I54" t="str">
            <v>Dublin</v>
          </cell>
          <cell r="J54" t="str">
            <v>Media+</v>
          </cell>
          <cell r="K54" t="str">
            <v>Brexit - UK listed as permitted country</v>
          </cell>
          <cell r="L54" t="str">
            <v>Luca Mascolo</v>
          </cell>
          <cell r="M54" t="str">
            <v>Ed Monzon</v>
          </cell>
          <cell r="N54" t="str">
            <v>Ed Monzon</v>
          </cell>
          <cell r="O54" t="str">
            <v>FR  UCITS</v>
          </cell>
          <cell r="P54" t="str">
            <v>Discretionary</v>
          </cell>
          <cell r="Q54" t="str">
            <v>CamGestion</v>
          </cell>
          <cell r="R54" t="str">
            <v>Institutional</v>
          </cell>
          <cell r="S54" t="str">
            <v>BNP PAM</v>
          </cell>
          <cell r="T54" t="str">
            <v>Kasper Elmgreen</v>
          </cell>
          <cell r="U54" t="str">
            <v>Luc Mouzon</v>
          </cell>
          <cell r="V54" t="str">
            <v>Luc Mouzon</v>
          </cell>
          <cell r="W54" t="str">
            <v>Mary Mannion</v>
          </cell>
          <cell r="Y54"/>
          <cell r="Z54"/>
          <cell r="AA54" t="str">
            <v xml:space="preserve">Amundi Funds II - European Research </v>
          </cell>
          <cell r="AB54">
            <v>125235</v>
          </cell>
          <cell r="AC54" t="str">
            <v>EQY Benchmarked Bottom Up</v>
          </cell>
          <cell r="AD54" t="str">
            <v>DUB EQY Fundamental Europe Stock Picking</v>
          </cell>
          <cell r="AE54" t="str">
            <v>015056000001</v>
          </cell>
        </row>
        <row r="55">
          <cell r="B55" t="str">
            <v>NOMET</v>
          </cell>
          <cell r="C55" t="str">
            <v>From Risk - Fund Responsibility - Dublin Funds</v>
          </cell>
          <cell r="D55" t="str">
            <v>EQY Benchmarked Bottom Up</v>
          </cell>
          <cell r="E55" t="str">
            <v>DUB EQY Fundamental Europe Stock Picking</v>
          </cell>
          <cell r="F55" t="e">
            <v>#N/A</v>
          </cell>
          <cell r="G55">
            <v>125255</v>
          </cell>
          <cell r="H55" t="str">
            <v>Nomura Euro Top Company Mother Fund</v>
          </cell>
          <cell r="I55" t="str">
            <v>Dublin</v>
          </cell>
          <cell r="J55" t="str">
            <v>Media+</v>
          </cell>
          <cell r="K55"/>
          <cell r="L55" t="str">
            <v>Luca Mascolo</v>
          </cell>
          <cell r="M55" t="str">
            <v>Ed Monzon</v>
          </cell>
          <cell r="N55" t="str">
            <v>Ed Monzon</v>
          </cell>
          <cell r="O55"/>
          <cell r="P55" t="str">
            <v>Discretionary</v>
          </cell>
          <cell r="Q55" t="str">
            <v>Nomura Asset Management Co Ltd</v>
          </cell>
          <cell r="R55" t="str">
            <v>Institutional</v>
          </cell>
          <cell r="S55" t="str">
            <v>Citi HK</v>
          </cell>
          <cell r="T55" t="str">
            <v>Kasper Elmgreen</v>
          </cell>
          <cell r="U55" t="str">
            <v>Andrew Arbuthnott</v>
          </cell>
          <cell r="V55" t="str">
            <v>Andrew Arbuthnott</v>
          </cell>
          <cell r="W55" t="str">
            <v>Mary Mannion</v>
          </cell>
          <cell r="Y55"/>
          <cell r="Z55"/>
          <cell r="AA55" t="str">
            <v>Amundi Funds II - Top European Players</v>
          </cell>
          <cell r="AB55">
            <v>131913</v>
          </cell>
          <cell r="AC55" t="str">
            <v>EQY Benchmarked Bottom Up</v>
          </cell>
          <cell r="AD55" t="str">
            <v>DUB EQY Fundamental Europe Stock Picking</v>
          </cell>
          <cell r="AE55" t="str">
            <v>015056000001</v>
          </cell>
        </row>
        <row r="56">
          <cell r="B56" t="str">
            <v>I23</v>
          </cell>
          <cell r="C56" t="str">
            <v>From Risk - Fund Responsibility - Dublin Funds</v>
          </cell>
          <cell r="D56" t="str">
            <v>EQY Benchmarked Bottom Up</v>
          </cell>
          <cell r="E56" t="str">
            <v>DUB EQY Fundamental Europe Stock Picking</v>
          </cell>
          <cell r="F56" t="e">
            <v>#N/A</v>
          </cell>
          <cell r="G56">
            <v>125185</v>
          </cell>
          <cell r="H56" t="str">
            <v>Multi Manager Access EMU</v>
          </cell>
          <cell r="I56" t="str">
            <v>Dublin</v>
          </cell>
          <cell r="J56" t="str">
            <v>Media+</v>
          </cell>
          <cell r="K56" t="str">
            <v>DB constraint</v>
          </cell>
          <cell r="L56" t="str">
            <v>Luca Mascolo</v>
          </cell>
          <cell r="M56" t="str">
            <v>Ed Monzon</v>
          </cell>
          <cell r="N56" t="str">
            <v>Ed Monzon</v>
          </cell>
          <cell r="O56" t="str">
            <v>Lux UCITS</v>
          </cell>
          <cell r="P56" t="str">
            <v>Discretionary</v>
          </cell>
          <cell r="Q56" t="str">
            <v>Multi Manager Access SICAV</v>
          </cell>
          <cell r="R56" t="str">
            <v>Institutional</v>
          </cell>
          <cell r="S56" t="str">
            <v>UBS Luxembourg S.A.</v>
          </cell>
          <cell r="T56" t="str">
            <v>Kasper Elmgreen</v>
          </cell>
          <cell r="U56" t="str">
            <v>Fabio Di Giansante</v>
          </cell>
          <cell r="V56" t="str">
            <v>Fabio Di Giansante</v>
          </cell>
          <cell r="W56" t="str">
            <v>Mary Mannion</v>
          </cell>
          <cell r="X56"/>
          <cell r="AA56" t="str">
            <v>Amundi Funds II - Euroland Equity</v>
          </cell>
          <cell r="AB56">
            <v>125185</v>
          </cell>
          <cell r="AC56" t="str">
            <v>EQY Benchmarked Bottom Up</v>
          </cell>
          <cell r="AD56" t="str">
            <v>DUB EQY Fundamental Europe Stock Picking</v>
          </cell>
          <cell r="AE56" t="str">
            <v>015056000001</v>
          </cell>
        </row>
        <row r="57">
          <cell r="B57" t="str">
            <v>I28</v>
          </cell>
          <cell r="C57" t="str">
            <v>From Risk - Fund Responsibility - Dublin Funds</v>
          </cell>
          <cell r="D57" t="str">
            <v>EQY Benchmarked Bottom Up</v>
          </cell>
          <cell r="E57" t="str">
            <v>DUB EQY Fundamental Europe Stock Picking</v>
          </cell>
          <cell r="F57" t="e">
            <v>#N/A</v>
          </cell>
          <cell r="G57">
            <v>125254</v>
          </cell>
          <cell r="H57" t="str">
            <v>Qinvest Pioneer European Fund</v>
          </cell>
          <cell r="I57" t="str">
            <v>Dublin</v>
          </cell>
          <cell r="J57" t="str">
            <v>Media+</v>
          </cell>
          <cell r="K57" t="str">
            <v>DB constraint</v>
          </cell>
          <cell r="L57" t="str">
            <v>Luca Mascolo</v>
          </cell>
          <cell r="M57" t="str">
            <v>Ed Monzon</v>
          </cell>
          <cell r="N57" t="str">
            <v>Ed Monzon</v>
          </cell>
          <cell r="P57" t="str">
            <v>Discretionary</v>
          </cell>
          <cell r="Q57" t="str">
            <v>QWM Limited</v>
          </cell>
          <cell r="R57" t="str">
            <v>Institutional</v>
          </cell>
          <cell r="S57" t="str">
            <v>HSBC  Securities Services (Luxembourg)</v>
          </cell>
          <cell r="T57" t="str">
            <v>Kasper Elmgreen</v>
          </cell>
          <cell r="U57" t="str">
            <v>Andrew Arbuthnott</v>
          </cell>
          <cell r="V57" t="str">
            <v>Andrew Arbuthnott</v>
          </cell>
          <cell r="W57" t="str">
            <v>Mary Mannion</v>
          </cell>
          <cell r="Y57"/>
          <cell r="Z57"/>
          <cell r="AA57" t="str">
            <v>independent</v>
          </cell>
          <cell r="AB57">
            <v>125254</v>
          </cell>
          <cell r="AC57" t="str">
            <v>EQY Benchmarked Bottom Up</v>
          </cell>
          <cell r="AD57" t="str">
            <v>DUB EQY Fundamental Europe Stock Picking</v>
          </cell>
          <cell r="AE57" t="str">
            <v>015056000001</v>
          </cell>
          <cell r="AN57" t="str">
            <v>Dub</v>
          </cell>
          <cell r="AO57" t="str">
            <v>Eqy</v>
          </cell>
          <cell r="AP57" t="str">
            <v>I28</v>
          </cell>
          <cell r="AQ57">
            <v>125254</v>
          </cell>
          <cell r="AR57" t="str">
            <v>EQY Benchmarked Bottom Up</v>
          </cell>
          <cell r="AS57" t="str">
            <v>DUB EQY Fundamental Europe Stock Picking</v>
          </cell>
        </row>
        <row r="58">
          <cell r="B58" t="str">
            <v>I32</v>
          </cell>
          <cell r="C58" t="str">
            <v>From Risk - Fund Responsibility - Dublin Funds</v>
          </cell>
          <cell r="D58" t="str">
            <v>EQY Benchmarked Bottom Up</v>
          </cell>
          <cell r="E58" t="str">
            <v>DUB EQY Fundamental Europe Stock Picking</v>
          </cell>
          <cell r="F58" t="e">
            <v>#N/A</v>
          </cell>
          <cell r="G58">
            <v>125258</v>
          </cell>
          <cell r="H58" t="str">
            <v>SSP/M (PNI) – Euro Equity</v>
          </cell>
          <cell r="I58" t="str">
            <v>Dublin</v>
          </cell>
          <cell r="J58" t="str">
            <v>Media+</v>
          </cell>
          <cell r="K58" t="str">
            <v>DB constraint</v>
          </cell>
          <cell r="L58" t="str">
            <v>Luca Mascolo</v>
          </cell>
          <cell r="M58" t="str">
            <v>Ed Monzon</v>
          </cell>
          <cell r="N58" t="str">
            <v>Ed Monzon</v>
          </cell>
          <cell r="O58" t="str">
            <v>Lux UCITS</v>
          </cell>
          <cell r="P58" t="str">
            <v>Discretionary</v>
          </cell>
          <cell r="Q58" t="str">
            <v>OFI LUX</v>
          </cell>
          <cell r="R58" t="str">
            <v>Institutional</v>
          </cell>
          <cell r="S58" t="str">
            <v>JP Morgan Bank Luxembourg S.A.</v>
          </cell>
          <cell r="T58" t="str">
            <v>Kasper Elmgreen</v>
          </cell>
          <cell r="U58" t="str">
            <v>Fabio Di Giansante</v>
          </cell>
          <cell r="V58" t="str">
            <v>Fabio Di Giansante</v>
          </cell>
          <cell r="W58" t="str">
            <v>Mary Mannion</v>
          </cell>
          <cell r="X58"/>
          <cell r="AA58" t="str">
            <v>Amundi Funds II - Euroland Equity</v>
          </cell>
          <cell r="AB58">
            <v>125258</v>
          </cell>
          <cell r="AC58" t="str">
            <v>EQY Benchmarked Bottom Up</v>
          </cell>
          <cell r="AD58" t="str">
            <v>DUB EQY Fundamental Europe Stock Picking</v>
          </cell>
          <cell r="AE58" t="str">
            <v>015056000001</v>
          </cell>
        </row>
        <row r="59">
          <cell r="B59" t="str">
            <v>I51</v>
          </cell>
          <cell r="C59" t="str">
            <v>From Risk - Fund Responsibility - Dublin Funds</v>
          </cell>
          <cell r="D59" t="str">
            <v>EQY Benchmarked Bottom Up</v>
          </cell>
          <cell r="E59" t="str">
            <v>DUB EQY Fundamental Europe Stock Picking Equity Va</v>
          </cell>
          <cell r="F59" t="e">
            <v>#N/A</v>
          </cell>
          <cell r="G59">
            <v>125157</v>
          </cell>
          <cell r="H59" t="str">
            <v>ABN AMRO MMF Europe Mandate #9</v>
          </cell>
          <cell r="I59" t="str">
            <v>Dublin</v>
          </cell>
          <cell r="J59" t="str">
            <v>Media+</v>
          </cell>
          <cell r="K59" t="str">
            <v>Brexit - At least 75% EEA</v>
          </cell>
          <cell r="L59" t="str">
            <v>Luca Mascolo</v>
          </cell>
          <cell r="M59" t="str">
            <v>Ed Monzon</v>
          </cell>
          <cell r="N59" t="str">
            <v>Ed Monzon</v>
          </cell>
          <cell r="O59" t="str">
            <v>Lux UCITS</v>
          </cell>
          <cell r="P59" t="str">
            <v>Discretionary</v>
          </cell>
          <cell r="Q59" t="str">
            <v>ABN Amro</v>
          </cell>
          <cell r="R59" t="str">
            <v>Institutional</v>
          </cell>
          <cell r="S59" t="str">
            <v>State Street Bank Luxembourg</v>
          </cell>
          <cell r="T59" t="str">
            <v>Kasper Elmgreen</v>
          </cell>
          <cell r="U59" t="str">
            <v>Andreas Wosol</v>
          </cell>
          <cell r="V59" t="str">
            <v>Andreas Wosol</v>
          </cell>
          <cell r="W59" t="str">
            <v>Mary Mannion</v>
          </cell>
          <cell r="X59"/>
          <cell r="Y59"/>
          <cell r="Z59"/>
          <cell r="AA59" t="str">
            <v>Amundi Funds II - European Equity Value</v>
          </cell>
          <cell r="AB59">
            <v>125157</v>
          </cell>
          <cell r="AC59" t="str">
            <v>EQY Benchmarked Bottom Up</v>
          </cell>
          <cell r="AD59" t="str">
            <v>DUB EQY Fundamental Europe Stock Picking Equity Va</v>
          </cell>
          <cell r="AE59" t="str">
            <v xml:space="preserve">015058000001 </v>
          </cell>
        </row>
        <row r="60">
          <cell r="B60" t="str">
            <v>L933</v>
          </cell>
          <cell r="C60" t="str">
            <v>From Risk - Fund Responsibility - Dublin Funds</v>
          </cell>
          <cell r="D60" t="str">
            <v>EQY Benchmarked Bottom Up</v>
          </cell>
          <cell r="E60" t="str">
            <v>DUB EQY Fundamental Europe Stock Picking</v>
          </cell>
          <cell r="F60" t="e">
            <v>#N/A</v>
          </cell>
          <cell r="G60">
            <v>100384</v>
          </cell>
          <cell r="H60" t="str">
            <v>Silver Amundi Euro Equity</v>
          </cell>
          <cell r="I60" t="str">
            <v>Dublin</v>
          </cell>
          <cell r="J60" t="str">
            <v>Media+</v>
          </cell>
          <cell r="K60" t="str">
            <v>Brexit - Confirm if UK remains eligible DB constraint</v>
          </cell>
          <cell r="L60" t="str">
            <v>Sarah D'Rosario</v>
          </cell>
          <cell r="M60" t="str">
            <v>Ed Monzon</v>
          </cell>
          <cell r="N60" t="str">
            <v>Ed Monzon</v>
          </cell>
          <cell r="O60" t="str">
            <v>FR  UCITS</v>
          </cell>
          <cell r="P60" t="str">
            <v>Discretionary</v>
          </cell>
          <cell r="Q60" t="str">
            <v>Lyxor</v>
          </cell>
          <cell r="R60" t="str">
            <v>Institutional</v>
          </cell>
          <cell r="T60" t="str">
            <v>Kasper Elmgreen</v>
          </cell>
          <cell r="U60" t="str">
            <v>Fabio Di Giansante</v>
          </cell>
          <cell r="V60" t="str">
            <v>Fabio Di Giansante</v>
          </cell>
          <cell r="W60" t="str">
            <v>Mary Mannion</v>
          </cell>
          <cell r="X60"/>
          <cell r="AA60" t="str">
            <v>Amundi Funds II - Euroland Equity</v>
          </cell>
          <cell r="AB60">
            <v>100384</v>
          </cell>
          <cell r="AC60" t="str">
            <v>EQY Benchmarked Bottom Up</v>
          </cell>
          <cell r="AD60" t="str">
            <v>DUB EQY Fundamental Europe Stock Picking</v>
          </cell>
          <cell r="AE60" t="str">
            <v>015056000001</v>
          </cell>
        </row>
        <row r="61">
          <cell r="B61" t="str">
            <v>PF72494</v>
          </cell>
          <cell r="C61" t="str">
            <v>From Risk - Fund Responsibility - Dublin Funds</v>
          </cell>
          <cell r="D61" t="str">
            <v>EQY Benchmarked Bottom Up</v>
          </cell>
          <cell r="E61" t="str">
            <v>DUB EQY Fundamental Europe Stock Picking Equity Va</v>
          </cell>
          <cell r="F61" t="e">
            <v>#N/A</v>
          </cell>
          <cell r="G61">
            <v>131772</v>
          </cell>
          <cell r="H61" t="str">
            <v xml:space="preserve">Arzt2 AE Amundi </v>
          </cell>
          <cell r="I61" t="str">
            <v>Dublin</v>
          </cell>
          <cell r="J61" t="str">
            <v>Media+</v>
          </cell>
          <cell r="K61" t="str">
            <v>Brexit - only EEA countries eligible</v>
          </cell>
          <cell r="L61" t="str">
            <v>Sarah D'Rosario</v>
          </cell>
          <cell r="M61" t="str">
            <v>Ed Monzon</v>
          </cell>
          <cell r="N61" t="str">
            <v>Ed Monzon</v>
          </cell>
          <cell r="O61" t="str">
            <v>UCITS</v>
          </cell>
          <cell r="P61" t="str">
            <v>Discretionary</v>
          </cell>
          <cell r="Q61" t="str">
            <v>Amundi Deutschland/INKA</v>
          </cell>
          <cell r="R61" t="str">
            <v>Germany</v>
          </cell>
          <cell r="S61" t="str">
            <v>HSBC Trinkhaus &amp; Burkhardt</v>
          </cell>
          <cell r="T61" t="str">
            <v>Kasper Elmgreen</v>
          </cell>
          <cell r="U61" t="str">
            <v>Andreas Wosol</v>
          </cell>
          <cell r="V61" t="str">
            <v>Andreas Wosol</v>
          </cell>
          <cell r="W61" t="str">
            <v>Mary Mannion</v>
          </cell>
          <cell r="AA61" t="str">
            <v>Amundi Funds II - European Equity Value</v>
          </cell>
          <cell r="AB61">
            <v>131772</v>
          </cell>
          <cell r="AC61" t="str">
            <v>EQY Benchmarked Bottom Up</v>
          </cell>
          <cell r="AD61" t="str">
            <v>DUB EQY Fundamental Europe Stock Picking Equity Va</v>
          </cell>
          <cell r="AE61" t="str">
            <v xml:space="preserve">015058000001 </v>
          </cell>
        </row>
        <row r="62">
          <cell r="B62" t="str">
            <v>PF72466</v>
          </cell>
          <cell r="C62" t="str">
            <v>From Risk - Fund Responsibility - Dublin Funds</v>
          </cell>
          <cell r="D62" t="str">
            <v>EQY Benchmarked Bottom Up</v>
          </cell>
          <cell r="E62" t="str">
            <v>DUB EQY Fundamental Europe Stock Picking Equity Va</v>
          </cell>
          <cell r="F62" t="e">
            <v>#N/A</v>
          </cell>
          <cell r="G62">
            <v>131826</v>
          </cell>
          <cell r="H62" t="str">
            <v>FAM SUI AMUNDI EUROPEAN EQ VALUE FAM FD</v>
          </cell>
          <cell r="I62" t="str">
            <v>Dublin</v>
          </cell>
          <cell r="J62" t="str">
            <v>Media+</v>
          </cell>
          <cell r="K62" t="str">
            <v>Brexit - 75% in permitted countries</v>
          </cell>
          <cell r="L62" t="str">
            <v>Luca Mascolo</v>
          </cell>
          <cell r="M62" t="str">
            <v>Ed Monzon</v>
          </cell>
          <cell r="N62" t="str">
            <v>Ed Monzon</v>
          </cell>
          <cell r="O62" t="str">
            <v>Irish UCITS</v>
          </cell>
          <cell r="P62" t="str">
            <v>Discretionary</v>
          </cell>
          <cell r="Q62" t="str">
            <v>Fineco</v>
          </cell>
          <cell r="R62" t="str">
            <v>Ireland</v>
          </cell>
          <cell r="S62" t="str">
            <v>BNP Paribas Dublin</v>
          </cell>
          <cell r="T62" t="str">
            <v>Kasper Elmgreen</v>
          </cell>
          <cell r="U62" t="str">
            <v>Andreas Wosol</v>
          </cell>
          <cell r="V62" t="str">
            <v>Andreas Wosol</v>
          </cell>
          <cell r="W62" t="str">
            <v>Mary Mannion</v>
          </cell>
          <cell r="AA62" t="str">
            <v>Amundi Funds II - European Equity Value</v>
          </cell>
          <cell r="AB62">
            <v>131826</v>
          </cell>
          <cell r="AC62" t="str">
            <v>EQY Benchmarked Bottom Up</v>
          </cell>
          <cell r="AD62" t="str">
            <v>DUB EQY Fundamental Europe Stock Picking Equity Va</v>
          </cell>
          <cell r="AE62" t="str">
            <v xml:space="preserve">015058000001 </v>
          </cell>
        </row>
        <row r="63">
          <cell r="B63" t="str">
            <v>S100108</v>
          </cell>
          <cell r="C63" t="str">
            <v>From Risk - Fund Responsibility - Dublin Funds</v>
          </cell>
          <cell r="D63" t="str">
            <v>EQY Benchmarked Bottom Up</v>
          </cell>
          <cell r="E63" t="str">
            <v>DUB EQY Global Equity</v>
          </cell>
          <cell r="F63" t="e">
            <v>#N/A</v>
          </cell>
          <cell r="G63">
            <v>110142</v>
          </cell>
          <cell r="H63" t="str">
            <v>SG Actions Monde Selection</v>
          </cell>
          <cell r="I63" t="str">
            <v>Dublin</v>
          </cell>
          <cell r="J63" t="str">
            <v>Media+</v>
          </cell>
          <cell r="K63"/>
          <cell r="L63" t="str">
            <v>Luca Mascolo</v>
          </cell>
          <cell r="M63" t="str">
            <v>Ed Monzon</v>
          </cell>
          <cell r="N63" t="str">
            <v>Ed Monzon</v>
          </cell>
          <cell r="O63" t="str">
            <v>UCITS</v>
          </cell>
          <cell r="P63" t="str">
            <v>Discretionary</v>
          </cell>
          <cell r="R63" t="str">
            <v>France</v>
          </cell>
          <cell r="S63" t="str">
            <v xml:space="preserve">Société Générale </v>
          </cell>
          <cell r="T63" t="str">
            <v>Kasper Elmgreen</v>
          </cell>
          <cell r="U63" t="str">
            <v>Deiter Beil</v>
          </cell>
          <cell r="V63" t="str">
            <v>Maurice Howell</v>
          </cell>
          <cell r="W63" t="str">
            <v>Mary Mannion</v>
          </cell>
          <cell r="AA63" t="str">
            <v>In line with US Global Select</v>
          </cell>
          <cell r="AB63">
            <v>110142</v>
          </cell>
          <cell r="AC63" t="str">
            <v>EQY Benchmarked Bottom Up</v>
          </cell>
          <cell r="AD63" t="str">
            <v>DUB EQY Global Equity</v>
          </cell>
          <cell r="AE63" t="str">
            <v>015061000001</v>
          </cell>
        </row>
        <row r="64">
          <cell r="B64" t="str">
            <v>L22145A</v>
          </cell>
          <cell r="C64" t="str">
            <v>From Risk - Fund Responsibility - Dublin Funds</v>
          </cell>
          <cell r="D64" t="str">
            <v>EQY Benchmarked Bottom Up</v>
          </cell>
          <cell r="E64" t="str">
            <v>DUB EQY Fundamental Europe Stock Picking</v>
          </cell>
          <cell r="F64" t="e">
            <v>#N/A</v>
          </cell>
          <cell r="G64">
            <v>115268</v>
          </cell>
          <cell r="H64" t="str">
            <v>AMUNDI PATRIMOINE - POCHE ACTIONS</v>
          </cell>
          <cell r="I64" t="str">
            <v>Dublin</v>
          </cell>
          <cell r="J64" t="str">
            <v>Media+</v>
          </cell>
          <cell r="K64"/>
          <cell r="L64" t="str">
            <v>Luca Mascolo</v>
          </cell>
          <cell r="M64" t="str">
            <v>Ed Monzon</v>
          </cell>
          <cell r="N64" t="str">
            <v>Ed Monzon</v>
          </cell>
          <cell r="O64" t="str">
            <v>UCITS</v>
          </cell>
          <cell r="P64" t="str">
            <v>Discretionary</v>
          </cell>
          <cell r="Q64" t="str">
            <v>Amundi Asset Management</v>
          </cell>
          <cell r="R64" t="str">
            <v>France</v>
          </cell>
          <cell r="S64" t="str">
            <v>CACEIS BANK</v>
          </cell>
          <cell r="T64" t="str">
            <v>Kasper Elmgreen</v>
          </cell>
          <cell r="U64" t="str">
            <v>Fabio Di Giansante</v>
          </cell>
          <cell r="V64" t="str">
            <v>Fabio Di Giansante</v>
          </cell>
          <cell r="W64" t="str">
            <v>Mary Mannion</v>
          </cell>
          <cell r="AA64" t="str">
            <v>Amundi Funds II - Euroland Equity</v>
          </cell>
          <cell r="AB64">
            <v>115268</v>
          </cell>
          <cell r="AC64" t="str">
            <v>EQY Benchmarked Bottom Up</v>
          </cell>
          <cell r="AD64" t="str">
            <v>DUB EQY Fundamental Europe Stock Picking</v>
          </cell>
          <cell r="AE64" t="str">
            <v>015056000001</v>
          </cell>
        </row>
        <row r="65">
          <cell r="B65" t="str">
            <v>L2651B</v>
          </cell>
          <cell r="C65" t="str">
            <v>From Risk - Fund Responsibility - Dublin Funds</v>
          </cell>
          <cell r="D65" t="str">
            <v>EQY Benchmarked Bottom Up</v>
          </cell>
          <cell r="E65" t="str">
            <v>DUB EQY Fundamental Europe Stock Picking</v>
          </cell>
          <cell r="F65" t="e">
            <v>#N/A</v>
          </cell>
          <cell r="G65">
            <v>116839</v>
          </cell>
          <cell r="H65" t="str">
            <v>AMUNDI PATRIMOINE PEA ACT STOCK PICKING</v>
          </cell>
          <cell r="I65" t="str">
            <v>Dublin</v>
          </cell>
          <cell r="J65" t="str">
            <v>Media+</v>
          </cell>
          <cell r="K65" t="str">
            <v>PEA Fund</v>
          </cell>
          <cell r="L65" t="str">
            <v>Luca Mascolo</v>
          </cell>
          <cell r="M65" t="str">
            <v>Ed Monzon</v>
          </cell>
          <cell r="N65" t="str">
            <v>Ed Monzon</v>
          </cell>
          <cell r="O65" t="str">
            <v>UCITS</v>
          </cell>
          <cell r="P65" t="str">
            <v>Discretionary</v>
          </cell>
          <cell r="Q65" t="str">
            <v>Amundi Asset Management</v>
          </cell>
          <cell r="R65" t="str">
            <v>France</v>
          </cell>
          <cell r="S65" t="str">
            <v>CACEIS BANK</v>
          </cell>
          <cell r="T65" t="str">
            <v>Kasper Elmgreen</v>
          </cell>
          <cell r="U65" t="str">
            <v>Fabio Di Giansante</v>
          </cell>
          <cell r="V65" t="str">
            <v>Fabio Di Giansante</v>
          </cell>
          <cell r="W65" t="str">
            <v>Mary Mannion</v>
          </cell>
          <cell r="AA65" t="str">
            <v>Amundi Funds II - Euroland Equity</v>
          </cell>
          <cell r="AB65">
            <v>116839</v>
          </cell>
          <cell r="AC65" t="str">
            <v>EQY Benchmarked Bottom Up</v>
          </cell>
          <cell r="AD65" t="str">
            <v>DUB EQY Fundamental Europe Stock Picking</v>
          </cell>
          <cell r="AE65" t="str">
            <v>015056000001</v>
          </cell>
        </row>
        <row r="66">
          <cell r="B66" t="str">
            <v>PF34678A</v>
          </cell>
          <cell r="C66" t="str">
            <v>From Risk - Fund Responsibility - Dublin Funds</v>
          </cell>
          <cell r="D66" t="str">
            <v>EQY Benchmarked Bottom Up</v>
          </cell>
          <cell r="E66" t="str">
            <v>DUB EQY Fundamental Europe Stock Picking</v>
          </cell>
          <cell r="F66" t="e">
            <v>#N/A</v>
          </cell>
          <cell r="G66">
            <v>121777</v>
          </cell>
          <cell r="H66" t="str">
            <v>AMUNDI FDS GBL PERSP-POC ACT</v>
          </cell>
          <cell r="I66" t="str">
            <v>Dublin</v>
          </cell>
          <cell r="J66" t="str">
            <v>Media+</v>
          </cell>
          <cell r="K66"/>
          <cell r="L66" t="str">
            <v>Luca Mascolo</v>
          </cell>
          <cell r="M66" t="str">
            <v>Ed Monzon</v>
          </cell>
          <cell r="N66" t="str">
            <v>Ed Monzon</v>
          </cell>
          <cell r="O66" t="str">
            <v>UCITS</v>
          </cell>
          <cell r="P66" t="str">
            <v>Discretionary</v>
          </cell>
          <cell r="Q66" t="str">
            <v>Amundi Luxembourg SA</v>
          </cell>
          <cell r="R66" t="str">
            <v>Luxembourg</v>
          </cell>
          <cell r="S66" t="str">
            <v>CACEIS BANK</v>
          </cell>
          <cell r="T66" t="str">
            <v>Kasper Elmgreen</v>
          </cell>
          <cell r="U66" t="str">
            <v>Fabio Di Giansante</v>
          </cell>
          <cell r="V66" t="str">
            <v>Fabio Di Giansante</v>
          </cell>
          <cell r="W66" t="str">
            <v>Mary Mannion</v>
          </cell>
          <cell r="AA66" t="str">
            <v>Amundi Funds II - Euroland Equity</v>
          </cell>
          <cell r="AB66">
            <v>117404</v>
          </cell>
          <cell r="AC66" t="str">
            <v>EQY Benchmarked Bottom Up</v>
          </cell>
          <cell r="AD66" t="str">
            <v>DUB EQY Fundamental Europe Stock Picking</v>
          </cell>
          <cell r="AE66" t="str">
            <v>015056000001</v>
          </cell>
        </row>
        <row r="67">
          <cell r="B67" t="str">
            <v>PF41117A</v>
          </cell>
          <cell r="C67" t="str">
            <v>From Risk - Fund Responsibility - Dublin Funds</v>
          </cell>
          <cell r="D67" t="str">
            <v>EQY Benchmarked Bottom Up</v>
          </cell>
          <cell r="E67" t="str">
            <v>DUB EQY Fundamental Europe Stock Picking</v>
          </cell>
          <cell r="F67" t="e">
            <v>#N/A</v>
          </cell>
          <cell r="G67">
            <v>117797</v>
          </cell>
          <cell r="H67" t="str">
            <v>AMUNDI TRANSMISSION ACT - POCHE EURO</v>
          </cell>
          <cell r="I67" t="str">
            <v>Dublin</v>
          </cell>
          <cell r="J67" t="str">
            <v>Media+</v>
          </cell>
          <cell r="K67" t="str">
            <v>PEA Fund - Maintain PEA status</v>
          </cell>
          <cell r="L67" t="str">
            <v>Luca Mascolo</v>
          </cell>
          <cell r="M67" t="str">
            <v>Ed Monzon</v>
          </cell>
          <cell r="N67" t="str">
            <v>Ed Monzon</v>
          </cell>
          <cell r="O67" t="str">
            <v>UCITS</v>
          </cell>
          <cell r="P67" t="str">
            <v>Discretionary</v>
          </cell>
          <cell r="Q67" t="str">
            <v>Amundi Asset Management</v>
          </cell>
          <cell r="R67" t="str">
            <v>France</v>
          </cell>
          <cell r="S67" t="str">
            <v>CACEIS BANK</v>
          </cell>
          <cell r="T67" t="str">
            <v>Kasper Elmgreen</v>
          </cell>
          <cell r="U67" t="str">
            <v>Fabio Di Giansante</v>
          </cell>
          <cell r="V67" t="str">
            <v>Fabio Di Giansante</v>
          </cell>
          <cell r="W67" t="str">
            <v>Mary Mannion</v>
          </cell>
          <cell r="AA67" t="str">
            <v>Amundi Funds II - Euroland Equity</v>
          </cell>
          <cell r="AB67">
            <v>117797</v>
          </cell>
          <cell r="AC67" t="str">
            <v>EQY Benchmarked Bottom Up</v>
          </cell>
          <cell r="AD67" t="str">
            <v>DUB EQY Fundamental Europe Stock Picking</v>
          </cell>
          <cell r="AE67" t="str">
            <v>015056000001</v>
          </cell>
        </row>
        <row r="68">
          <cell r="B68" t="str">
            <v>PIFCE</v>
          </cell>
          <cell r="C68" t="str">
            <v>From Risk - Fund Responsibility - Dublin Funds</v>
          </cell>
          <cell r="D68" t="str">
            <v>EQY Benchmarked Bottom Up</v>
          </cell>
          <cell r="E68" t="str">
            <v>DUB EQY Fundamental Europe Stock Picking</v>
          </cell>
          <cell r="F68" t="e">
            <v>#N/A</v>
          </cell>
          <cell r="G68">
            <v>22003</v>
          </cell>
          <cell r="H68" t="str">
            <v>AMUNDI ACTIONS EURO</v>
          </cell>
          <cell r="I68" t="str">
            <v>Dublin</v>
          </cell>
          <cell r="J68" t="str">
            <v>Media+</v>
          </cell>
          <cell r="K68" t="str">
            <v>PEA fund  Maintain PEA status. Amundi Actions Europe merging into Amundi Actions Euro</v>
          </cell>
          <cell r="L68" t="str">
            <v>Luca Mascolo</v>
          </cell>
          <cell r="M68" t="str">
            <v>Ed Monzon</v>
          </cell>
          <cell r="N68" t="str">
            <v>Ed Monzon</v>
          </cell>
          <cell r="O68" t="str">
            <v>UCITS</v>
          </cell>
          <cell r="P68" t="str">
            <v>Discretionary</v>
          </cell>
          <cell r="Q68" t="str">
            <v>Amundi Asset Management</v>
          </cell>
          <cell r="R68" t="str">
            <v>France</v>
          </cell>
          <cell r="S68" t="str">
            <v>CACEIS BANK</v>
          </cell>
          <cell r="T68" t="str">
            <v>Kasper Elmgreen</v>
          </cell>
          <cell r="U68" t="str">
            <v>Fabio Di Giansante</v>
          </cell>
          <cell r="V68" t="str">
            <v>Fabio Di Giansante</v>
          </cell>
          <cell r="W68" t="str">
            <v>Mary Mannion</v>
          </cell>
          <cell r="AA68" t="str">
            <v>Amundi Funds II - Euroland Equity</v>
          </cell>
          <cell r="AB68">
            <v>22003</v>
          </cell>
          <cell r="AC68" t="str">
            <v>EQY Benchmarked Bottom Up</v>
          </cell>
          <cell r="AD68" t="str">
            <v>DUB EQY Fundamental Europe Stock Picking</v>
          </cell>
          <cell r="AE68" t="str">
            <v>015056000001</v>
          </cell>
        </row>
        <row r="69">
          <cell r="B69" t="str">
            <v>S100029</v>
          </cell>
          <cell r="C69" t="str">
            <v>From Risk - Fund Responsibility - Dublin Funds</v>
          </cell>
          <cell r="D69" t="str">
            <v>EQY Benchmarked Bottom Up</v>
          </cell>
          <cell r="E69" t="str">
            <v>DUB EQY Fundamental Europe Stock Picking</v>
          </cell>
          <cell r="F69" t="e">
            <v>#N/A</v>
          </cell>
          <cell r="G69">
            <v>109891</v>
          </cell>
          <cell r="H69" t="str">
            <v>SG ACTIONS EUROPE SELECTION</v>
          </cell>
          <cell r="I69" t="str">
            <v>Dublin</v>
          </cell>
          <cell r="J69" t="str">
            <v>Media+</v>
          </cell>
          <cell r="K69" t="str">
            <v>PEA Fund - drop status post Brexit. 30% non-EU. Merge into SG Actions Euro Selection in April</v>
          </cell>
          <cell r="L69" t="str">
            <v>Luca Mascolo</v>
          </cell>
          <cell r="M69" t="str">
            <v>Ed Monzon</v>
          </cell>
          <cell r="N69" t="str">
            <v>Ed Monzon</v>
          </cell>
          <cell r="O69" t="str">
            <v>UCITS</v>
          </cell>
          <cell r="P69" t="str">
            <v>Discretionary</v>
          </cell>
          <cell r="Q69" t="str">
            <v>Société Générale Gestion</v>
          </cell>
          <cell r="R69" t="str">
            <v>France</v>
          </cell>
          <cell r="S69" t="str">
            <v xml:space="preserve">Société Générale </v>
          </cell>
          <cell r="T69" t="str">
            <v>Kasper Elmgreen</v>
          </cell>
          <cell r="U69" t="str">
            <v>Andrew Arbuthnott</v>
          </cell>
          <cell r="V69" t="str">
            <v>Andrew Arbuthnott</v>
          </cell>
          <cell r="W69" t="str">
            <v>Mary Mannion</v>
          </cell>
          <cell r="AA69" t="str">
            <v>Amundi Funds II - Top European Players</v>
          </cell>
          <cell r="AB69">
            <v>109891</v>
          </cell>
          <cell r="AC69" t="str">
            <v>EQY Benchmarked Bottom Up</v>
          </cell>
          <cell r="AD69" t="str">
            <v>DUB EQY Fundamental Europe Stock Picking</v>
          </cell>
          <cell r="AE69" t="str">
            <v>015056000001</v>
          </cell>
        </row>
        <row r="70">
          <cell r="B70" t="str">
            <v>S100089</v>
          </cell>
          <cell r="C70" t="str">
            <v>From Risk - Fund Responsibility - Dublin Funds</v>
          </cell>
          <cell r="D70" t="str">
            <v>EQY Benchmarked Bottom Up</v>
          </cell>
          <cell r="E70" t="str">
            <v>DUB EQY Fundamental Europe Stock Picking Equity Va</v>
          </cell>
          <cell r="F70" t="e">
            <v>#N/A</v>
          </cell>
          <cell r="G70">
            <v>109742</v>
          </cell>
          <cell r="H70" t="str">
            <v>SG ACTIONS EURO VALUE</v>
          </cell>
          <cell r="I70" t="str">
            <v>Dublin</v>
          </cell>
          <cell r="J70" t="str">
            <v>Media+</v>
          </cell>
          <cell r="K70" t="str">
            <v>PEA Fund - drop status post Brexit</v>
          </cell>
          <cell r="L70" t="str">
            <v>Luca Mascolo</v>
          </cell>
          <cell r="M70" t="str">
            <v>Ed Monzon</v>
          </cell>
          <cell r="N70" t="str">
            <v>Ed Monzon</v>
          </cell>
          <cell r="O70" t="str">
            <v>UCITS</v>
          </cell>
          <cell r="P70" t="str">
            <v>Discretionary</v>
          </cell>
          <cell r="Q70" t="str">
            <v>Société Générale Gestion</v>
          </cell>
          <cell r="R70" t="str">
            <v>France</v>
          </cell>
          <cell r="S70" t="str">
            <v xml:space="preserve">Société Générale </v>
          </cell>
          <cell r="T70" t="str">
            <v>Kasper Elmgreen</v>
          </cell>
          <cell r="U70" t="str">
            <v>Andreas Wosol</v>
          </cell>
          <cell r="V70" t="str">
            <v>Roberto Campani</v>
          </cell>
          <cell r="W70" t="str">
            <v>Mary Mannion</v>
          </cell>
          <cell r="AA70" t="str">
            <v>Amundi Funds II - European Equity Value, cant hold CHF</v>
          </cell>
          <cell r="AB70">
            <v>109742</v>
          </cell>
          <cell r="AC70" t="str">
            <v>EQY Benchmarked Bottom Up</v>
          </cell>
          <cell r="AD70" t="str">
            <v>DUB EQY Fundamental Europe Stock Picking Equity Va</v>
          </cell>
          <cell r="AE70" t="str">
            <v xml:space="preserve">015058000001 </v>
          </cell>
        </row>
        <row r="71">
          <cell r="B71" t="str">
            <v>S100120</v>
          </cell>
          <cell r="C71" t="str">
            <v>From Risk - Fund Responsibility - Dublin Funds</v>
          </cell>
          <cell r="D71" t="str">
            <v>EQY Benchmarked Bottom Up</v>
          </cell>
          <cell r="E71" t="str">
            <v>DUB EQY Fundamental Europe Stock Picking</v>
          </cell>
          <cell r="F71" t="e">
            <v>#N/A</v>
          </cell>
          <cell r="G71">
            <v>109687</v>
          </cell>
          <cell r="H71" t="str">
            <v>SG ACTIONS EURO SELECTION</v>
          </cell>
          <cell r="I71" t="str">
            <v>Dublin</v>
          </cell>
          <cell r="J71" t="str">
            <v>Media+</v>
          </cell>
          <cell r="K71" t="str">
            <v>PEA Fund - drop status post Brexit. SG Actions Europe Selection will merge into SG Actions Euro selection in April</v>
          </cell>
          <cell r="L71" t="str">
            <v>Luca Mascolo</v>
          </cell>
          <cell r="M71" t="str">
            <v>Ed Monzon</v>
          </cell>
          <cell r="N71" t="str">
            <v>Ed Monzon</v>
          </cell>
          <cell r="O71" t="str">
            <v>UCITS</v>
          </cell>
          <cell r="P71" t="str">
            <v>Discretionary</v>
          </cell>
          <cell r="Q71" t="str">
            <v>Société Générale Gestion</v>
          </cell>
          <cell r="R71" t="str">
            <v>France</v>
          </cell>
          <cell r="S71" t="str">
            <v xml:space="preserve">Société Générale </v>
          </cell>
          <cell r="T71" t="str">
            <v>Kasper Elmgreen</v>
          </cell>
          <cell r="U71" t="str">
            <v>Fabio Di Giansante</v>
          </cell>
          <cell r="V71" t="str">
            <v>Fabio Di Giansante</v>
          </cell>
          <cell r="W71" t="str">
            <v>Mary Mannion</v>
          </cell>
          <cell r="AA71" t="str">
            <v>Amundi Funds II - Euroland Equity</v>
          </cell>
          <cell r="AB71">
            <v>109687</v>
          </cell>
          <cell r="AC71" t="str">
            <v>EQY Benchmarked Bottom Up</v>
          </cell>
          <cell r="AD71" t="str">
            <v>DUB EQY Fundamental Europe Stock Picking</v>
          </cell>
          <cell r="AE71" t="str">
            <v>015056000001</v>
          </cell>
        </row>
        <row r="72">
          <cell r="B72" t="str">
            <v>TS</v>
          </cell>
          <cell r="C72" t="str">
            <v>From Risk - Fund Responsibility - Dublin Funds</v>
          </cell>
          <cell r="D72" t="str">
            <v>EQY Benchmarked Bottom Up</v>
          </cell>
          <cell r="E72" t="str">
            <v>DUB EQY Fundamental Europe Stock Picking</v>
          </cell>
          <cell r="F72" t="e">
            <v>#N/A</v>
          </cell>
          <cell r="G72">
            <v>106087</v>
          </cell>
          <cell r="H72" t="str">
            <v>AMUNDI ACTIONS EUROPE</v>
          </cell>
          <cell r="I72" t="str">
            <v>Dublin</v>
          </cell>
          <cell r="J72" t="str">
            <v>Media+</v>
          </cell>
          <cell r="K72" t="str">
            <v>PEA - Maintain PEA.  This fund feeds into Top European Players but there is a proposal to merge it with Amundi Actions Euro (PIFCE) which feeds in Euroland. 75% PEA apparently. Equity Europe Concentrated feeds into TS.</v>
          </cell>
          <cell r="L72" t="str">
            <v>Luca Mascolo</v>
          </cell>
          <cell r="M72" t="str">
            <v>Ed Monzon</v>
          </cell>
          <cell r="N72" t="str">
            <v>Ed Monzon</v>
          </cell>
          <cell r="O72" t="str">
            <v>UCITS</v>
          </cell>
          <cell r="P72" t="str">
            <v>Discretionary</v>
          </cell>
          <cell r="Q72" t="str">
            <v>Amundi Asset Management</v>
          </cell>
          <cell r="R72" t="str">
            <v>France</v>
          </cell>
          <cell r="S72" t="str">
            <v>CACEIS BANK</v>
          </cell>
          <cell r="T72" t="str">
            <v>Kasper Elmgreen</v>
          </cell>
          <cell r="U72" t="str">
            <v>Andrew Arbuthnott</v>
          </cell>
          <cell r="V72" t="str">
            <v>Andrew Arbuthnott</v>
          </cell>
          <cell r="W72" t="str">
            <v>Mary Mannion</v>
          </cell>
          <cell r="X72"/>
          <cell r="Y72"/>
          <cell r="Z72"/>
          <cell r="AA72" t="str">
            <v>Amundi Funds II - Top European Players</v>
          </cell>
          <cell r="AB72">
            <v>106087</v>
          </cell>
          <cell r="AC72" t="str">
            <v>EQY Benchmarked Bottom Up</v>
          </cell>
          <cell r="AD72" t="str">
            <v>DUB EQY Fundamental Europe Stock Picking</v>
          </cell>
          <cell r="AE72" t="str">
            <v>015056000001</v>
          </cell>
        </row>
        <row r="73">
          <cell r="B73" t="str">
            <v>PF44053B</v>
          </cell>
          <cell r="C73" t="str">
            <v>From Risk - Fund Responsibility - Dublin Funds</v>
          </cell>
          <cell r="D73" t="str">
            <v>EQY Benchmarked Bottom Up</v>
          </cell>
          <cell r="E73" t="str">
            <v>DUB EQY Global Equity</v>
          </cell>
          <cell r="F73" t="e">
            <v>#N/A</v>
          </cell>
          <cell r="G73">
            <v>120434</v>
          </cell>
          <cell r="H73" t="str">
            <v>Amundi Orizzonte 2021 - EQUITY</v>
          </cell>
          <cell r="I73" t="str">
            <v>Dublin</v>
          </cell>
          <cell r="J73" t="str">
            <v>Media+</v>
          </cell>
          <cell r="K73"/>
          <cell r="L73" t="str">
            <v>Luca Mascolo</v>
          </cell>
          <cell r="M73" t="str">
            <v>Ed Monzon</v>
          </cell>
          <cell r="N73" t="str">
            <v>Ed Monzon</v>
          </cell>
          <cell r="O73" t="str">
            <v>UCITS</v>
          </cell>
          <cell r="P73" t="str">
            <v>Discretionary</v>
          </cell>
          <cell r="Q73" t="str">
            <v>Amundi Luxembourg SA</v>
          </cell>
          <cell r="R73" t="str">
            <v>Italy</v>
          </cell>
          <cell r="S73" t="str">
            <v>CACEIS BANK</v>
          </cell>
          <cell r="T73" t="str">
            <v>Kasper Elmgreen</v>
          </cell>
          <cell r="U73" t="str">
            <v>Deiter Beil</v>
          </cell>
          <cell r="V73" t="str">
            <v>Maurice Howell</v>
          </cell>
          <cell r="W73" t="str">
            <v>Mary Mannion</v>
          </cell>
          <cell r="AA73" t="str">
            <v>Independent - Target price sell</v>
          </cell>
          <cell r="AB73">
            <v>120434</v>
          </cell>
          <cell r="AC73" t="str">
            <v>EQY Benchmarked Bottom Up</v>
          </cell>
          <cell r="AD73" t="str">
            <v>DUB EQY Global Equity</v>
          </cell>
          <cell r="AE73" t="str">
            <v>015061000001</v>
          </cell>
        </row>
        <row r="74">
          <cell r="B74" t="str">
            <v>PF41117</v>
          </cell>
          <cell r="C74" t="str">
            <v>From Risk - Fund Responsibility - Dublin Funds</v>
          </cell>
          <cell r="D74" t="str">
            <v>EQY Benchmarked Bottom Up</v>
          </cell>
          <cell r="E74" t="str">
            <v>DUB EQY Stock Picking Euro</v>
          </cell>
          <cell r="F74" t="e">
            <v>#N/A</v>
          </cell>
          <cell r="G74">
            <v>117796</v>
          </cell>
          <cell r="H74" t="str">
            <v>AMUNDI TRANSMISSION ACT</v>
          </cell>
          <cell r="I74" t="str">
            <v>Dublin</v>
          </cell>
          <cell r="J74" t="str">
            <v>Media+</v>
          </cell>
          <cell r="K74" t="str">
            <v>PEA Fund - Maintain PEA status</v>
          </cell>
          <cell r="M74" t="str">
            <v>Ed Monzon</v>
          </cell>
          <cell r="N74" t="str">
            <v>Ed Monzon</v>
          </cell>
          <cell r="S74" t="str">
            <v>CACEIS BANK</v>
          </cell>
          <cell r="T74" t="str">
            <v>Kasper Elmgreen</v>
          </cell>
          <cell r="U74" t="str">
            <v>Fabio Di Giansante</v>
          </cell>
          <cell r="V74" t="str">
            <v>Fabio Di Giansante</v>
          </cell>
          <cell r="W74" t="str">
            <v>Mary Mannion</v>
          </cell>
          <cell r="AA74" t="str">
            <v>Amundi Funds II - Euroland Equity</v>
          </cell>
          <cell r="AB74">
            <v>117796</v>
          </cell>
          <cell r="AC74" t="str">
            <v>EQY Benchmarked Bottom Up</v>
          </cell>
          <cell r="AD74" t="str">
            <v>DUB EQY Stock Picking Euro</v>
          </cell>
          <cell r="AE74" t="str">
            <v>015062000001</v>
          </cell>
        </row>
        <row r="75">
          <cell r="F75" t="e">
            <v>#N/A</v>
          </cell>
        </row>
        <row r="76">
          <cell r="F76" t="e">
            <v>#N/A</v>
          </cell>
        </row>
        <row r="77">
          <cell r="F77" t="e">
            <v>#N/A</v>
          </cell>
          <cell r="I77"/>
        </row>
        <row r="78">
          <cell r="B78" t="str">
            <v>Dorothée Le Bois</v>
          </cell>
          <cell r="F78" t="e">
            <v>#N/A</v>
          </cell>
          <cell r="H78" t="str">
            <v>AMUNDI ACTIONS EUROPE</v>
          </cell>
          <cell r="I78" t="str">
            <v>X</v>
          </cell>
          <cell r="K78" t="str">
            <v>Top European Players</v>
          </cell>
        </row>
        <row r="79">
          <cell r="F79" t="e">
            <v>#N/A</v>
          </cell>
          <cell r="I79" t="str">
            <v>merge</v>
          </cell>
          <cell r="J79" t="str">
            <v>AMUNDI ACTIONS EURO</v>
          </cell>
          <cell r="K79" t="str">
            <v>Euroland</v>
          </cell>
          <cell r="L79" t="str">
            <v xml:space="preserve">Target date for change is March 2020, prospectus updates wil not be kicked off until the outcome of Brexit is known.  </v>
          </cell>
        </row>
        <row r="80">
          <cell r="F80" t="e">
            <v>#N/A</v>
          </cell>
        </row>
        <row r="82">
          <cell r="B82" t="str">
            <v>Laurent Pouillet</v>
          </cell>
          <cell r="H82" t="str">
            <v>SG ACTIONS EUROPE SELECTION</v>
          </cell>
          <cell r="I82" t="str">
            <v>X</v>
          </cell>
          <cell r="K82" t="str">
            <v>Top European Players</v>
          </cell>
          <cell r="L82"/>
        </row>
        <row r="83">
          <cell r="B83" t="str">
            <v>Daphne Radulescu</v>
          </cell>
          <cell r="I83" t="str">
            <v>merge</v>
          </cell>
          <cell r="J83" t="str">
            <v>SG ACTIONS EURO SELECTION</v>
          </cell>
          <cell r="K83" t="str">
            <v>Euroland</v>
          </cell>
          <cell r="L83" t="str">
            <v>Target date April 2020</v>
          </cell>
          <cell r="M83" t="str">
            <v>Potential breach from 1st November to April 2020 on maximum exposure to non-EU stocks</v>
          </cell>
        </row>
        <row r="84">
          <cell r="B84" t="str">
            <v>Alex Drabowicz</v>
          </cell>
          <cell r="L84" t="str">
            <v>Is there going to be a change to the BM and investment policy before April 2020? - Question from Alex, MC asked Laurent</v>
          </cell>
        </row>
        <row r="85">
          <cell r="B85"/>
          <cell r="C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</row>
        <row r="86">
          <cell r="B86"/>
          <cell r="C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</row>
        <row r="87">
          <cell r="B87"/>
          <cell r="C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</row>
        <row r="88">
          <cell r="B88"/>
          <cell r="C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U88"/>
        </row>
        <row r="89">
          <cell r="B89"/>
          <cell r="C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</row>
        <row r="90">
          <cell r="B90"/>
          <cell r="C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</row>
        <row r="91">
          <cell r="B91"/>
          <cell r="C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V91"/>
        </row>
        <row r="92">
          <cell r="B92"/>
          <cell r="C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</row>
        <row r="93">
          <cell r="B93"/>
          <cell r="C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</row>
        <row r="94">
          <cell r="B94"/>
          <cell r="C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</row>
        <row r="95">
          <cell r="B95"/>
          <cell r="C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</row>
        <row r="96">
          <cell r="B96"/>
          <cell r="C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</row>
        <row r="97">
          <cell r="B97"/>
          <cell r="C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</row>
        <row r="98">
          <cell r="B98"/>
          <cell r="C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</row>
        <row r="99">
          <cell r="B99"/>
          <cell r="C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</row>
        <row r="100">
          <cell r="B100"/>
          <cell r="C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</row>
        <row r="101">
          <cell r="B101"/>
          <cell r="C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</row>
        <row r="102">
          <cell r="B102"/>
          <cell r="C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</row>
        <row r="103">
          <cell r="B103"/>
          <cell r="C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</row>
        <row r="104">
          <cell r="B104"/>
          <cell r="C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</row>
        <row r="105">
          <cell r="B105"/>
          <cell r="C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</row>
        <row r="106">
          <cell r="B106"/>
          <cell r="C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</row>
        <row r="107">
          <cell r="B107"/>
          <cell r="C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</row>
        <row r="108">
          <cell r="B108"/>
          <cell r="C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</row>
        <row r="109">
          <cell r="B109"/>
          <cell r="C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</row>
        <row r="110">
          <cell r="B110"/>
          <cell r="C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</row>
        <row r="111">
          <cell r="B111"/>
          <cell r="C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</row>
        <row r="112">
          <cell r="B112"/>
          <cell r="C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</row>
        <row r="113">
          <cell r="B113"/>
          <cell r="C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</row>
        <row r="114">
          <cell r="B114"/>
          <cell r="C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</row>
        <row r="115">
          <cell r="B115"/>
          <cell r="C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</row>
        <row r="116">
          <cell r="B116"/>
          <cell r="C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</row>
        <row r="117">
          <cell r="B117"/>
          <cell r="C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</row>
        <row r="118">
          <cell r="B118"/>
          <cell r="C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</row>
        <row r="119">
          <cell r="B119"/>
          <cell r="C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</row>
        <row r="120">
          <cell r="B120"/>
          <cell r="C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</row>
        <row r="121">
          <cell r="B121"/>
          <cell r="C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</row>
        <row r="122">
          <cell r="B122"/>
          <cell r="C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</row>
        <row r="123">
          <cell r="B123"/>
          <cell r="C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</row>
        <row r="124">
          <cell r="B124"/>
          <cell r="C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</row>
        <row r="125">
          <cell r="B125"/>
          <cell r="C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</row>
        <row r="126">
          <cell r="B126"/>
          <cell r="C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</row>
        <row r="127">
          <cell r="B127"/>
          <cell r="C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B128"/>
          <cell r="C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B129"/>
          <cell r="C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</row>
        <row r="130">
          <cell r="B130"/>
          <cell r="C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</row>
        <row r="131">
          <cell r="B131"/>
          <cell r="C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</row>
        <row r="132">
          <cell r="B132"/>
          <cell r="C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</row>
        <row r="133">
          <cell r="B133"/>
          <cell r="C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</row>
        <row r="134">
          <cell r="B134"/>
          <cell r="C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</row>
        <row r="135">
          <cell r="B135"/>
          <cell r="C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</row>
        <row r="136">
          <cell r="B136"/>
          <cell r="C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</row>
        <row r="137">
          <cell r="B137"/>
          <cell r="C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</row>
        <row r="138">
          <cell r="B138"/>
          <cell r="C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</row>
        <row r="139">
          <cell r="B139"/>
          <cell r="C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</row>
        <row r="140">
          <cell r="B140"/>
          <cell r="C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</row>
        <row r="141">
          <cell r="B141"/>
          <cell r="C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</row>
        <row r="142">
          <cell r="B142"/>
          <cell r="C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</row>
        <row r="143">
          <cell r="B143"/>
          <cell r="C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</row>
        <row r="144">
          <cell r="B144"/>
          <cell r="C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</row>
        <row r="145">
          <cell r="B145"/>
          <cell r="C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</row>
        <row r="146">
          <cell r="B146"/>
          <cell r="C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</row>
        <row r="147">
          <cell r="B147"/>
          <cell r="C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</row>
        <row r="148">
          <cell r="B148"/>
          <cell r="C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</row>
        <row r="149">
          <cell r="B149"/>
          <cell r="C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</row>
        <row r="150">
          <cell r="B150"/>
          <cell r="C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</row>
        <row r="151">
          <cell r="B151"/>
          <cell r="C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</row>
        <row r="152">
          <cell r="B152"/>
          <cell r="C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</row>
        <row r="153">
          <cell r="B153"/>
          <cell r="C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</row>
        <row r="154">
          <cell r="B154"/>
          <cell r="C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</row>
        <row r="155">
          <cell r="B155"/>
          <cell r="C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</row>
        <row r="156">
          <cell r="B156"/>
          <cell r="C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</row>
        <row r="157">
          <cell r="B157"/>
          <cell r="C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</row>
        <row r="158">
          <cell r="B158"/>
          <cell r="C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</row>
        <row r="159">
          <cell r="B159"/>
          <cell r="C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</row>
        <row r="160">
          <cell r="B160"/>
          <cell r="C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</row>
        <row r="161">
          <cell r="B161"/>
          <cell r="C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</row>
        <row r="162">
          <cell r="B162"/>
          <cell r="C162"/>
          <cell r="F162"/>
          <cell r="G162"/>
          <cell r="H162"/>
          <cell r="I162"/>
          <cell r="J162"/>
          <cell r="K162"/>
        </row>
        <row r="163">
          <cell r="B163"/>
          <cell r="C163"/>
          <cell r="F163"/>
          <cell r="G163"/>
          <cell r="H163"/>
          <cell r="I163"/>
          <cell r="J163"/>
          <cell r="K163"/>
        </row>
      </sheetData>
      <sheetData sheetId="1">
        <row r="1">
          <cell r="A1" t="str">
            <v>Aladdin code</v>
          </cell>
          <cell r="B1"/>
          <cell r="C1" t="str">
            <v>In the Master List?</v>
          </cell>
          <cell r="D1" t="str">
            <v>Portfolio name</v>
          </cell>
          <cell r="E1" t="str">
            <v>Management Company</v>
          </cell>
          <cell r="F1" t="str">
            <v>Delegated Management Company</v>
          </cell>
          <cell r="G1" t="str">
            <v>Domicile</v>
          </cell>
          <cell r="H1" t="str">
            <v>Legal type (Mutual funds, mandates,…)</v>
          </cell>
          <cell r="I1" t="str">
            <v>Asset class</v>
          </cell>
          <cell r="J1" t="str">
            <v>Sub asset class</v>
          </cell>
          <cell r="K1" t="str">
            <v>Portfolio manager</v>
          </cell>
          <cell r="L1" t="str">
            <v>Eagle Code (Pioneer)</v>
          </cell>
        </row>
        <row r="2">
          <cell r="A2" t="str">
            <v>1PM</v>
          </cell>
          <cell r="B2" t="str">
            <v>From Risk - Fund Responsibility - Model Portfolios</v>
          </cell>
          <cell r="C2" t="str">
            <v>Yes</v>
          </cell>
          <cell r="D2" t="str">
            <v>Diamond 7 Unit Linked</v>
          </cell>
          <cell r="E2" t="str">
            <v>AMUNDI SGR</v>
          </cell>
          <cell r="F2" t="str">
            <v>PIM LTD</v>
          </cell>
          <cell r="G2" t="str">
            <v>Italy</v>
          </cell>
          <cell r="H2" t="str">
            <v>Unit Linked</v>
          </cell>
          <cell r="I2" t="str">
            <v>Equity</v>
          </cell>
          <cell r="J2" t="str">
            <v>Blend</v>
          </cell>
          <cell r="K2" t="str">
            <v>Bertrand Paquot</v>
          </cell>
          <cell r="L2" t="str">
            <v>MQ103341</v>
          </cell>
          <cell r="M2" t="e">
            <v>#N/A</v>
          </cell>
        </row>
        <row r="3">
          <cell r="A3" t="str">
            <v>1QM</v>
          </cell>
          <cell r="B3" t="str">
            <v>From Risk - Fund Responsibility - Model Portfolios</v>
          </cell>
          <cell r="C3" t="str">
            <v>Yes</v>
          </cell>
          <cell r="D3" t="str">
            <v>Ares Risparmio  Bilanciato M</v>
          </cell>
          <cell r="E3" t="str">
            <v>AMUNDI SGR</v>
          </cell>
          <cell r="F3" t="str">
            <v>PIM LTD</v>
          </cell>
          <cell r="G3" t="str">
            <v>Italy</v>
          </cell>
          <cell r="H3" t="str">
            <v>Unit Linked</v>
          </cell>
          <cell r="I3" t="str">
            <v>Asset Allocation</v>
          </cell>
          <cell r="J3" t="str">
            <v>Moderate</v>
          </cell>
          <cell r="K3" t="str">
            <v>Bertrand Paquot</v>
          </cell>
          <cell r="L3" t="str">
            <v>MQ103340</v>
          </cell>
          <cell r="M3" t="e">
            <v>#N/A</v>
          </cell>
        </row>
        <row r="4">
          <cell r="A4" t="str">
            <v>1RM</v>
          </cell>
          <cell r="B4" t="str">
            <v>From Risk - Fund Responsibility - Model Portfolios</v>
          </cell>
          <cell r="C4" t="str">
            <v>Yes</v>
          </cell>
          <cell r="D4" t="str">
            <v>Ares Risparmio Obbligazionario</v>
          </cell>
          <cell r="E4" t="str">
            <v>AMUNDI SGR</v>
          </cell>
          <cell r="F4" t="str">
            <v>PIM LTD</v>
          </cell>
          <cell r="G4" t="str">
            <v>Italy</v>
          </cell>
          <cell r="H4" t="str">
            <v xml:space="preserve">Unit Linked </v>
          </cell>
          <cell r="I4" t="str">
            <v>Bond</v>
          </cell>
          <cell r="J4" t="str">
            <v>Government</v>
          </cell>
          <cell r="K4" t="str">
            <v>Bertrand Paquot</v>
          </cell>
          <cell r="L4" t="str">
            <v>MQ103345</v>
          </cell>
          <cell r="M4" t="e">
            <v>#N/A</v>
          </cell>
        </row>
        <row r="5">
          <cell r="A5" t="str">
            <v>AMMIN</v>
          </cell>
          <cell r="B5" t="str">
            <v>From Risk - Fund Responsibility - Model Portfolios</v>
          </cell>
          <cell r="C5" t="e">
            <v>#N/A</v>
          </cell>
          <cell r="D5" t="str">
            <v>FUNDAMENTAL EMU EQUITY</v>
          </cell>
          <cell r="E5" t="str">
            <v>AMUNDI SGR</v>
          </cell>
          <cell r="F5" t="str">
            <v>PIM LTD</v>
          </cell>
          <cell r="G5" t="str">
            <v>Italy</v>
          </cell>
          <cell r="H5" t="str">
            <v>European Equity team</v>
          </cell>
          <cell r="I5" t="e">
            <v>#N/A</v>
          </cell>
          <cell r="J5" t="e">
            <v>#N/A</v>
          </cell>
          <cell r="K5" t="str">
            <v>Fabio Di Giansante</v>
          </cell>
          <cell r="L5" t="str">
            <v>MQ102291</v>
          </cell>
          <cell r="M5" t="e">
            <v>#N/A</v>
          </cell>
        </row>
        <row r="6">
          <cell r="A6" t="str">
            <v>APMA1</v>
          </cell>
          <cell r="B6" t="str">
            <v>From Risk - Fund Responsibility - Model Portfolios</v>
          </cell>
          <cell r="C6" t="str">
            <v>Yes</v>
          </cell>
          <cell r="D6" t="str">
            <v>Advisory Piraeus MA 1</v>
          </cell>
          <cell r="E6" t="str">
            <v>AMUNDI SGR</v>
          </cell>
          <cell r="F6" t="str">
            <v>PIM LTD</v>
          </cell>
          <cell r="G6" t="str">
            <v>Italy</v>
          </cell>
          <cell r="H6" t="str">
            <v>Segregate Account</v>
          </cell>
          <cell r="I6" t="e">
            <v>#N/A</v>
          </cell>
          <cell r="J6" t="e">
            <v>#N/A</v>
          </cell>
          <cell r="K6" t="str">
            <v>PierPaolo Paparo</v>
          </cell>
          <cell r="L6" t="str">
            <v>MQ103888</v>
          </cell>
          <cell r="M6" t="e">
            <v>#N/A</v>
          </cell>
        </row>
        <row r="7">
          <cell r="A7" t="str">
            <v>APMA2</v>
          </cell>
          <cell r="B7" t="str">
            <v>From Risk - Fund Responsibility - Model Portfolios</v>
          </cell>
          <cell r="C7" t="str">
            <v>Yes</v>
          </cell>
          <cell r="D7" t="str">
            <v>Advisory Piraeus MA 2</v>
          </cell>
          <cell r="E7" t="str">
            <v>AMUNDI SGR</v>
          </cell>
          <cell r="F7" t="str">
            <v>PIM LTD</v>
          </cell>
          <cell r="G7" t="str">
            <v>Italy</v>
          </cell>
          <cell r="H7" t="str">
            <v>Segregate Account</v>
          </cell>
          <cell r="I7" t="e">
            <v>#N/A</v>
          </cell>
          <cell r="J7" t="e">
            <v>#N/A</v>
          </cell>
          <cell r="K7" t="str">
            <v>PierPaolo Paparo</v>
          </cell>
          <cell r="L7" t="str">
            <v>MQ103889</v>
          </cell>
          <cell r="M7" t="e">
            <v>#N/A</v>
          </cell>
        </row>
        <row r="8">
          <cell r="A8" t="str">
            <v>APMA3</v>
          </cell>
          <cell r="B8" t="str">
            <v>From Risk - Fund Responsibility - Model Portfolios</v>
          </cell>
          <cell r="C8" t="str">
            <v>Yes</v>
          </cell>
          <cell r="D8" t="str">
            <v>Advisory Piraeus MA 3</v>
          </cell>
          <cell r="E8" t="str">
            <v>AMUNDI SGR</v>
          </cell>
          <cell r="F8" t="str">
            <v>PIM LTD</v>
          </cell>
          <cell r="G8" t="str">
            <v>Italy</v>
          </cell>
          <cell r="H8" t="str">
            <v>Segregate Account</v>
          </cell>
          <cell r="I8" t="e">
            <v>#N/A</v>
          </cell>
          <cell r="J8" t="e">
            <v>#N/A</v>
          </cell>
          <cell r="K8" t="str">
            <v>PierPaolo Paparo</v>
          </cell>
          <cell r="L8" t="str">
            <v>MQ103890</v>
          </cell>
          <cell r="M8" t="e">
            <v>#N/A</v>
          </cell>
        </row>
        <row r="9">
          <cell r="A9" t="str">
            <v>APMA4</v>
          </cell>
          <cell r="B9" t="str">
            <v>From Risk - Fund Responsibility - Model Portfolios</v>
          </cell>
          <cell r="C9" t="str">
            <v>Yes</v>
          </cell>
          <cell r="D9" t="str">
            <v>Advisory Piraeus MA 4</v>
          </cell>
          <cell r="E9" t="str">
            <v>AMUNDI SGR</v>
          </cell>
          <cell r="F9" t="str">
            <v>PIM LTD</v>
          </cell>
          <cell r="G9" t="str">
            <v>Italy</v>
          </cell>
          <cell r="H9" t="str">
            <v>Segregate Account</v>
          </cell>
          <cell r="I9" t="e">
            <v>#N/A</v>
          </cell>
          <cell r="J9" t="e">
            <v>#N/A</v>
          </cell>
          <cell r="K9" t="str">
            <v>PierPaolo Paparo</v>
          </cell>
          <cell r="L9" t="str">
            <v>MQ103891</v>
          </cell>
          <cell r="M9" t="e">
            <v>#N/A</v>
          </cell>
        </row>
        <row r="10">
          <cell r="A10" t="str">
            <v>CCRESCITA</v>
          </cell>
          <cell r="B10" t="str">
            <v>From Risk - Fund Responsibility - Model Portfolios</v>
          </cell>
          <cell r="C10" t="str">
            <v>Yes</v>
          </cell>
          <cell r="D10" t="str">
            <v>CAM CRESCITA</v>
          </cell>
          <cell r="E10" t="str">
            <v>AMUNDI SGR</v>
          </cell>
          <cell r="F10" t="str">
            <v>PIM LTD</v>
          </cell>
          <cell r="G10" t="str">
            <v>Italy</v>
          </cell>
          <cell r="H10" t="str">
            <v>Segregate Account</v>
          </cell>
          <cell r="I10" t="str">
            <v>Equity</v>
          </cell>
          <cell r="J10" t="str">
            <v>Blend</v>
          </cell>
          <cell r="K10" t="str">
            <v>Salvatore Buono</v>
          </cell>
          <cell r="L10" t="str">
            <v>MQ103235</v>
          </cell>
          <cell r="M10" t="e">
            <v>#N/A</v>
          </cell>
        </row>
        <row r="11">
          <cell r="A11" t="str">
            <v>CMEDIUM</v>
          </cell>
          <cell r="B11" t="str">
            <v>From Risk - Fund Responsibility - Model Portfolios</v>
          </cell>
          <cell r="C11" t="str">
            <v>Yes</v>
          </cell>
          <cell r="D11" t="str">
            <v>CAM MEDIUM</v>
          </cell>
          <cell r="E11" t="str">
            <v>AMUNDI SGR</v>
          </cell>
          <cell r="F11" t="str">
            <v>PIM LTD</v>
          </cell>
          <cell r="G11" t="str">
            <v>Italy</v>
          </cell>
          <cell r="H11" t="str">
            <v>Segregate Account</v>
          </cell>
          <cell r="I11" t="str">
            <v>Asset Allocation</v>
          </cell>
          <cell r="J11" t="str">
            <v>Cautious</v>
          </cell>
          <cell r="K11" t="str">
            <v>Salvatore Buono</v>
          </cell>
          <cell r="L11" t="str">
            <v>MQ103183</v>
          </cell>
          <cell r="M11" t="e">
            <v>#N/A</v>
          </cell>
        </row>
        <row r="12">
          <cell r="A12" t="str">
            <v>CNPDYNPR80</v>
          </cell>
          <cell r="B12" t="str">
            <v>From Risk - Fund Responsibility - Model Portfolios</v>
          </cell>
          <cell r="C12" t="str">
            <v>Yes</v>
          </cell>
          <cell r="D12" t="str">
            <v>CNP Dynamic Protection 80</v>
          </cell>
          <cell r="E12" t="str">
            <v>AMUNDI SGR</v>
          </cell>
          <cell r="F12" t="str">
            <v>PIM LTD</v>
          </cell>
          <cell r="G12" t="str">
            <v>Italy</v>
          </cell>
          <cell r="H12" t="str">
            <v>Unit linked</v>
          </cell>
          <cell r="I12" t="str">
            <v>Capital Guaranteed / Protected</v>
          </cell>
          <cell r="J12" t="str">
            <v>Other</v>
          </cell>
          <cell r="K12" t="str">
            <v>Lorenzo Di Pietrantonio</v>
          </cell>
          <cell r="L12" t="str">
            <v>A527087</v>
          </cell>
          <cell r="M12" t="e">
            <v>#N/A</v>
          </cell>
        </row>
        <row r="13">
          <cell r="A13" t="str">
            <v>COBBLEURO</v>
          </cell>
          <cell r="B13" t="str">
            <v>From Risk - Fund Responsibility - Model Portfolios</v>
          </cell>
          <cell r="C13" t="str">
            <v>Yes</v>
          </cell>
          <cell r="D13" t="str">
            <v>CAM OBBLIGAZIONARIA EURO</v>
          </cell>
          <cell r="E13" t="str">
            <v>AMUNDI SGR</v>
          </cell>
          <cell r="F13" t="str">
            <v>PIM LTD</v>
          </cell>
          <cell r="G13" t="str">
            <v>Italy</v>
          </cell>
          <cell r="H13" t="str">
            <v>Segregate Account</v>
          </cell>
          <cell r="I13" t="e">
            <v>#N/A</v>
          </cell>
          <cell r="J13" t="e">
            <v>#N/A</v>
          </cell>
          <cell r="K13" t="str">
            <v>Salvatore Buono</v>
          </cell>
          <cell r="L13" t="str">
            <v>MQ103269</v>
          </cell>
          <cell r="M13" t="e">
            <v>#N/A</v>
          </cell>
        </row>
        <row r="14">
          <cell r="A14" t="str">
            <v>CREDDITO</v>
          </cell>
          <cell r="B14" t="str">
            <v>From Risk - Fund Responsibility - Model Portfolios</v>
          </cell>
          <cell r="C14" t="str">
            <v>Yes</v>
          </cell>
          <cell r="D14" t="str">
            <v>CAM REDDITO</v>
          </cell>
          <cell r="E14" t="str">
            <v>AMUNDI SGR</v>
          </cell>
          <cell r="F14" t="str">
            <v>PIM LTD</v>
          </cell>
          <cell r="G14" t="str">
            <v>Italy</v>
          </cell>
          <cell r="H14" t="str">
            <v>Segregate Account</v>
          </cell>
          <cell r="I14" t="str">
            <v>Bond</v>
          </cell>
          <cell r="J14" t="str">
            <v>Aggregate</v>
          </cell>
          <cell r="K14" t="str">
            <v>Salvatore Buono</v>
          </cell>
          <cell r="L14" t="str">
            <v>MQ103221</v>
          </cell>
          <cell r="M14" t="e">
            <v>#N/A</v>
          </cell>
        </row>
        <row r="15">
          <cell r="A15" t="str">
            <v>CRVDYNPR80</v>
          </cell>
          <cell r="B15" t="str">
            <v>From Risk - Fund Responsibility - Model Portfolios</v>
          </cell>
          <cell r="C15" t="str">
            <v>Yes</v>
          </cell>
          <cell r="D15" t="str">
            <v>CRV Dynamic Protection 80</v>
          </cell>
          <cell r="E15" t="str">
            <v>AMUNDI SGR</v>
          </cell>
          <cell r="F15" t="str">
            <v>PIM LTD</v>
          </cell>
          <cell r="G15" t="str">
            <v>Italy</v>
          </cell>
          <cell r="H15" t="str">
            <v>Unit linked</v>
          </cell>
          <cell r="I15" t="str">
            <v>Capital Guaranteed / Protected</v>
          </cell>
          <cell r="J15" t="str">
            <v>Other</v>
          </cell>
          <cell r="K15" t="str">
            <v>Lorenzo Di Pietrantonio</v>
          </cell>
          <cell r="L15" t="str">
            <v>A527088</v>
          </cell>
          <cell r="M15" t="e">
            <v>#N/A</v>
          </cell>
        </row>
        <row r="16">
          <cell r="A16" t="str">
            <v>CSABR</v>
          </cell>
          <cell r="B16" t="str">
            <v>From Risk - Fund Responsibility - Model Portfolios</v>
          </cell>
          <cell r="C16" t="e">
            <v>#N/A</v>
          </cell>
          <cell r="D16" t="str">
            <v>Cordusio SIM Advisory Absolute Return</v>
          </cell>
          <cell r="E16" t="str">
            <v>AMUNDI SGR</v>
          </cell>
          <cell r="F16" t="str">
            <v>PIM LTD</v>
          </cell>
          <cell r="G16" t="str">
            <v>Italy</v>
          </cell>
          <cell r="H16" t="str">
            <v>Segregate Account</v>
          </cell>
          <cell r="I16" t="e">
            <v>#N/A</v>
          </cell>
          <cell r="J16" t="e">
            <v>#N/A</v>
          </cell>
          <cell r="K16" t="str">
            <v>Alan Butterly</v>
          </cell>
          <cell r="L16" t="str">
            <v>A579119</v>
          </cell>
          <cell r="M16" t="e">
            <v>#N/A</v>
          </cell>
        </row>
        <row r="17">
          <cell r="A17" t="str">
            <v>CSVILUPPO</v>
          </cell>
          <cell r="B17" t="str">
            <v>From Risk - Fund Responsibility - Model Portfolios</v>
          </cell>
          <cell r="C17" t="str">
            <v>Yes</v>
          </cell>
          <cell r="D17" t="str">
            <v>CAM SVILUPPO</v>
          </cell>
          <cell r="E17" t="str">
            <v>AMUNDI SGR</v>
          </cell>
          <cell r="F17" t="str">
            <v>PIM LTD</v>
          </cell>
          <cell r="G17" t="str">
            <v>Italy</v>
          </cell>
          <cell r="H17" t="str">
            <v>Segregate Account</v>
          </cell>
          <cell r="I17" t="str">
            <v>Equity</v>
          </cell>
          <cell r="J17" t="str">
            <v>Blend</v>
          </cell>
          <cell r="K17" t="str">
            <v>Salvatore Buono</v>
          </cell>
          <cell r="L17" t="str">
            <v>MQ103251</v>
          </cell>
          <cell r="M17" t="e">
            <v>#N/A</v>
          </cell>
        </row>
        <row r="18">
          <cell r="A18" t="str">
            <v>CTREND_20</v>
          </cell>
          <cell r="B18" t="str">
            <v>From Risk - Fund Responsibility - Model Portfolios</v>
          </cell>
          <cell r="C18" t="str">
            <v>Yes</v>
          </cell>
          <cell r="D18" t="str">
            <v>CAM TREND 20</v>
          </cell>
          <cell r="E18" t="str">
            <v>AMUNDI SGR</v>
          </cell>
          <cell r="F18" t="str">
            <v>PIM LTD</v>
          </cell>
          <cell r="G18" t="str">
            <v>Italy</v>
          </cell>
          <cell r="H18" t="str">
            <v>Segregate Account</v>
          </cell>
          <cell r="I18" t="e">
            <v>#N/A</v>
          </cell>
          <cell r="J18" t="e">
            <v>#N/A</v>
          </cell>
          <cell r="K18" t="str">
            <v>Salvatore Buono</v>
          </cell>
          <cell r="L18" t="str">
            <v>MQ103231</v>
          </cell>
          <cell r="M18" t="e">
            <v>#N/A</v>
          </cell>
        </row>
        <row r="19">
          <cell r="A19" t="str">
            <v>DINAR1TF</v>
          </cell>
          <cell r="B19" t="str">
            <v>From Risk - Fund Responsibility - Model Portfolios</v>
          </cell>
          <cell r="C19" t="str">
            <v>Yes</v>
          </cell>
          <cell r="D19" t="str">
            <v>Life Program Active 1</v>
          </cell>
          <cell r="E19" t="str">
            <v>AMUNDI SGR</v>
          </cell>
          <cell r="F19" t="str">
            <v>PIM LTD</v>
          </cell>
          <cell r="G19" t="str">
            <v>Italy</v>
          </cell>
          <cell r="H19" t="str">
            <v xml:space="preserve">Unit Linked </v>
          </cell>
          <cell r="I19" t="str">
            <v>Asset Allocation</v>
          </cell>
          <cell r="J19" t="str">
            <v>Cautious</v>
          </cell>
          <cell r="K19" t="str">
            <v>Bertrand Paquot</v>
          </cell>
          <cell r="L19" t="str">
            <v>MQ102547</v>
          </cell>
          <cell r="M19" t="e">
            <v>#N/A</v>
          </cell>
        </row>
        <row r="20">
          <cell r="A20" t="str">
            <v>DINAR2TF</v>
          </cell>
          <cell r="B20" t="str">
            <v>From Risk - Fund Responsibility - Model Portfolios</v>
          </cell>
          <cell r="C20" t="str">
            <v>Yes</v>
          </cell>
          <cell r="D20" t="str">
            <v>Uniflex Active 2</v>
          </cell>
          <cell r="E20" t="str">
            <v>AMUNDI SGR</v>
          </cell>
          <cell r="F20" t="str">
            <v>PIM LTD</v>
          </cell>
          <cell r="G20" t="str">
            <v>Italy</v>
          </cell>
          <cell r="H20" t="str">
            <v xml:space="preserve">Unit Linked </v>
          </cell>
          <cell r="I20" t="str">
            <v>Asset Allocation</v>
          </cell>
          <cell r="J20" t="str">
            <v>Moderate</v>
          </cell>
          <cell r="K20" t="str">
            <v>Bertrand Paquot</v>
          </cell>
          <cell r="L20" t="str">
            <v>MQ102549</v>
          </cell>
          <cell r="M20" t="e">
            <v>#N/A</v>
          </cell>
        </row>
        <row r="21">
          <cell r="A21" t="str">
            <v>DINAR3TF</v>
          </cell>
          <cell r="B21" t="str">
            <v>From Risk - Fund Responsibility - Model Portfolios</v>
          </cell>
          <cell r="C21" t="str">
            <v>Yes</v>
          </cell>
          <cell r="D21" t="str">
            <v>Life Program Active 3</v>
          </cell>
          <cell r="E21" t="str">
            <v>AMUNDI SGR</v>
          </cell>
          <cell r="F21" t="str">
            <v>PIM LTD</v>
          </cell>
          <cell r="G21" t="str">
            <v>Italy</v>
          </cell>
          <cell r="H21" t="str">
            <v>Unit Linked</v>
          </cell>
          <cell r="I21" t="str">
            <v>Asset Allocation</v>
          </cell>
          <cell r="J21" t="str">
            <v>Moderate</v>
          </cell>
          <cell r="K21" t="str">
            <v>Bertrand Paquot</v>
          </cell>
          <cell r="L21" t="str">
            <v>MQ102551</v>
          </cell>
          <cell r="M21" t="e">
            <v>#N/A</v>
          </cell>
        </row>
        <row r="22">
          <cell r="A22" t="str">
            <v>LINPRO</v>
          </cell>
          <cell r="B22" t="str">
            <v>From Risk - Fund Responsibility - Model Portfolios</v>
          </cell>
          <cell r="C22" t="str">
            <v>Yes</v>
          </cell>
          <cell r="D22" t="str">
            <v>Linea Protetta</v>
          </cell>
          <cell r="E22" t="str">
            <v>AMUNDI SGR</v>
          </cell>
          <cell r="F22" t="str">
            <v>PIM LTD</v>
          </cell>
          <cell r="G22" t="str">
            <v>Italy</v>
          </cell>
          <cell r="H22" t="str">
            <v>Segregate Account</v>
          </cell>
          <cell r="I22" t="str">
            <v>Capital Guaranteed / Protected</v>
          </cell>
          <cell r="J22" t="str">
            <v>CPPI / VAR</v>
          </cell>
          <cell r="K22" t="str">
            <v>Lorenzo Di Pietrantonio</v>
          </cell>
          <cell r="L22" t="str">
            <v>MQ100239</v>
          </cell>
          <cell r="M22" t="e">
            <v>#N/A</v>
          </cell>
        </row>
        <row r="23">
          <cell r="A23" t="str">
            <v>MAA</v>
          </cell>
          <cell r="B23" t="str">
            <v>From Risk - Fund Responsibility - Model Portfolios</v>
          </cell>
          <cell r="C23" t="str">
            <v>Yes</v>
          </cell>
          <cell r="D23" t="str">
            <v>CAM Novembre</v>
          </cell>
          <cell r="E23" t="str">
            <v>AMUNDI SGR</v>
          </cell>
          <cell r="F23" t="str">
            <v>PIM LTD</v>
          </cell>
          <cell r="G23" t="str">
            <v>Italy</v>
          </cell>
          <cell r="H23" t="str">
            <v>Unit Linked</v>
          </cell>
          <cell r="I23" t="str">
            <v>Capital Guaranteed / Protected</v>
          </cell>
          <cell r="J23" t="str">
            <v>CPPI / VAR</v>
          </cell>
          <cell r="K23" t="str">
            <v>Lorenzo Di Pietrantonio</v>
          </cell>
          <cell r="L23" t="str">
            <v>MQ103308</v>
          </cell>
          <cell r="M23" t="e">
            <v>#N/A</v>
          </cell>
        </row>
        <row r="24">
          <cell r="A24" t="str">
            <v>MAB</v>
          </cell>
          <cell r="B24" t="str">
            <v>From Risk - Fund Responsibility - Model Portfolios</v>
          </cell>
          <cell r="C24" t="str">
            <v>Yes</v>
          </cell>
          <cell r="D24" t="str">
            <v>CAM Dicembre</v>
          </cell>
          <cell r="E24" t="str">
            <v>AMUNDI SGR</v>
          </cell>
          <cell r="F24" t="str">
            <v>PIM LTD</v>
          </cell>
          <cell r="G24" t="str">
            <v>Italy</v>
          </cell>
          <cell r="H24" t="str">
            <v>Unit Linked</v>
          </cell>
          <cell r="I24" t="str">
            <v>Capital Guaranteed / Protected</v>
          </cell>
          <cell r="J24" t="str">
            <v>CPPI / VAR</v>
          </cell>
          <cell r="K24" t="str">
            <v>Lorenzo Di Pietrantonio</v>
          </cell>
          <cell r="L24" t="str">
            <v>MQ103309</v>
          </cell>
          <cell r="M24" t="e">
            <v>#N/A</v>
          </cell>
        </row>
        <row r="25">
          <cell r="A25" t="str">
            <v>MAC</v>
          </cell>
          <cell r="B25" t="str">
            <v>From Risk - Fund Responsibility - Model Portfolios</v>
          </cell>
          <cell r="C25" t="str">
            <v>Yes</v>
          </cell>
          <cell r="D25" t="str">
            <v>CAM Gennaio</v>
          </cell>
          <cell r="E25" t="str">
            <v>AMUNDI SGR</v>
          </cell>
          <cell r="F25" t="str">
            <v>PIM LTD</v>
          </cell>
          <cell r="G25" t="str">
            <v>Italy</v>
          </cell>
          <cell r="H25" t="str">
            <v>Unit Linked</v>
          </cell>
          <cell r="I25" t="str">
            <v>Capital Guaranteed / Protected</v>
          </cell>
          <cell r="J25" t="str">
            <v>CPPI / VAR</v>
          </cell>
          <cell r="K25" t="str">
            <v>Lorenzo Di Pietrantonio</v>
          </cell>
          <cell r="L25" t="str">
            <v>MQ103310</v>
          </cell>
          <cell r="M25" t="e">
            <v>#N/A</v>
          </cell>
        </row>
        <row r="26">
          <cell r="A26" t="str">
            <v>MAD</v>
          </cell>
          <cell r="B26" t="str">
            <v>From Risk - Fund Responsibility - Model Portfolios</v>
          </cell>
          <cell r="C26" t="str">
            <v>Yes</v>
          </cell>
          <cell r="D26" t="str">
            <v>CAM Febbraio</v>
          </cell>
          <cell r="E26" t="str">
            <v>AMUNDI SGR</v>
          </cell>
          <cell r="F26" t="str">
            <v>PIM LTD</v>
          </cell>
          <cell r="G26" t="str">
            <v>Italy</v>
          </cell>
          <cell r="H26" t="str">
            <v>Unit Linked</v>
          </cell>
          <cell r="I26" t="str">
            <v>Capital Guaranteed / Protected</v>
          </cell>
          <cell r="J26" t="str">
            <v>CPPI / VAR</v>
          </cell>
          <cell r="K26" t="str">
            <v>Lorenzo Di Pietrantonio</v>
          </cell>
          <cell r="L26" t="str">
            <v>MQ103311</v>
          </cell>
          <cell r="M26" t="e">
            <v>#N/A</v>
          </cell>
        </row>
        <row r="27">
          <cell r="A27" t="str">
            <v>MAE</v>
          </cell>
          <cell r="B27" t="str">
            <v>From Risk - Fund Responsibility - Model Portfolios</v>
          </cell>
          <cell r="C27" t="str">
            <v>Yes</v>
          </cell>
          <cell r="D27" t="str">
            <v>CAM Marzo</v>
          </cell>
          <cell r="E27" t="str">
            <v>AMUNDI SGR</v>
          </cell>
          <cell r="F27" t="str">
            <v>PIM LTD</v>
          </cell>
          <cell r="G27" t="str">
            <v>Italy</v>
          </cell>
          <cell r="H27" t="str">
            <v>Unit Linked</v>
          </cell>
          <cell r="I27" t="str">
            <v>Capital Guaranteed / Protected</v>
          </cell>
          <cell r="J27" t="str">
            <v>CPPI / VAR</v>
          </cell>
          <cell r="K27" t="str">
            <v>Lorenzo Di Pietrantonio</v>
          </cell>
          <cell r="L27" t="str">
            <v>MQ103312</v>
          </cell>
          <cell r="M27" t="e">
            <v>#N/A</v>
          </cell>
        </row>
        <row r="28">
          <cell r="A28" t="str">
            <v>MAF</v>
          </cell>
          <cell r="B28" t="str">
            <v>From Risk - Fund Responsibility - Model Portfolios</v>
          </cell>
          <cell r="C28" t="str">
            <v>Yes</v>
          </cell>
          <cell r="D28" t="str">
            <v>CAM Aprile</v>
          </cell>
          <cell r="E28" t="str">
            <v>AMUNDI SGR</v>
          </cell>
          <cell r="F28" t="str">
            <v>PIM LTD</v>
          </cell>
          <cell r="G28" t="str">
            <v>Italy</v>
          </cell>
          <cell r="H28" t="str">
            <v>Unit Linked</v>
          </cell>
          <cell r="I28" t="str">
            <v>Capital Guaranteed / Protected</v>
          </cell>
          <cell r="J28" t="str">
            <v>CPPI / VAR</v>
          </cell>
          <cell r="K28" t="str">
            <v>Lorenzo Di Pietrantonio</v>
          </cell>
          <cell r="L28" t="str">
            <v>MQ103313</v>
          </cell>
          <cell r="M28" t="e">
            <v>#N/A</v>
          </cell>
        </row>
        <row r="29">
          <cell r="A29" t="str">
            <v>MAG</v>
          </cell>
          <cell r="B29" t="str">
            <v>From Risk - Fund Responsibility - Model Portfolios</v>
          </cell>
          <cell r="C29" t="str">
            <v>Yes</v>
          </cell>
          <cell r="D29" t="str">
            <v>CAM Maggio</v>
          </cell>
          <cell r="E29" t="str">
            <v>AMUNDI SGR</v>
          </cell>
          <cell r="F29" t="str">
            <v>PIM LTD</v>
          </cell>
          <cell r="G29" t="str">
            <v>Italy</v>
          </cell>
          <cell r="H29" t="str">
            <v>Unit Linked</v>
          </cell>
          <cell r="I29" t="str">
            <v>Capital Guaranteed / Protected</v>
          </cell>
          <cell r="J29" t="str">
            <v>CPPI / VAR</v>
          </cell>
          <cell r="K29" t="str">
            <v>Lorenzo Di Pietrantonio</v>
          </cell>
          <cell r="L29" t="str">
            <v>MQ103314</v>
          </cell>
          <cell r="M29" t="e">
            <v>#N/A</v>
          </cell>
        </row>
        <row r="30">
          <cell r="A30" t="str">
            <v>MAH</v>
          </cell>
          <cell r="B30" t="str">
            <v>From Risk - Fund Responsibility - Model Portfolios</v>
          </cell>
          <cell r="C30" t="str">
            <v>Yes</v>
          </cell>
          <cell r="D30" t="str">
            <v>CAM Giugno</v>
          </cell>
          <cell r="E30" t="str">
            <v>AMUNDI SGR</v>
          </cell>
          <cell r="F30" t="str">
            <v>PIM LTD</v>
          </cell>
          <cell r="G30" t="str">
            <v>Italy</v>
          </cell>
          <cell r="H30" t="str">
            <v>Unit Linked</v>
          </cell>
          <cell r="I30" t="str">
            <v>Capital Guaranteed / Protected</v>
          </cell>
          <cell r="J30" t="str">
            <v>CPPI / VAR</v>
          </cell>
          <cell r="K30" t="str">
            <v>Lorenzo Di Pietrantonio</v>
          </cell>
          <cell r="L30" t="str">
            <v>MQ103315</v>
          </cell>
          <cell r="M30" t="e">
            <v>#N/A</v>
          </cell>
        </row>
        <row r="31">
          <cell r="A31" t="str">
            <v>PMAI</v>
          </cell>
          <cell r="B31" t="str">
            <v>From Risk - Fund Responsibility - Model Portfolios</v>
          </cell>
          <cell r="C31" t="str">
            <v>Yes</v>
          </cell>
          <cell r="D31" t="str">
            <v>CAM Luglio</v>
          </cell>
          <cell r="E31" t="str">
            <v>AMUNDI SGR</v>
          </cell>
          <cell r="F31" t="str">
            <v>PIM LTD</v>
          </cell>
          <cell r="G31" t="str">
            <v>Italy</v>
          </cell>
          <cell r="H31" t="str">
            <v>Unit Linked</v>
          </cell>
          <cell r="I31" t="str">
            <v>Capital Guaranteed / Protected</v>
          </cell>
          <cell r="J31" t="str">
            <v>CPPI / VAR</v>
          </cell>
          <cell r="K31" t="str">
            <v>Lorenzo Di Pietrantonio</v>
          </cell>
          <cell r="L31" t="str">
            <v>MQ103316</v>
          </cell>
          <cell r="M31" t="e">
            <v>#N/A</v>
          </cell>
        </row>
        <row r="32">
          <cell r="A32" t="str">
            <v>MAL</v>
          </cell>
          <cell r="B32" t="str">
            <v>From Risk - Fund Responsibility - Model Portfolios</v>
          </cell>
          <cell r="C32" t="str">
            <v>Yes</v>
          </cell>
          <cell r="D32" t="str">
            <v>CAM Agosto</v>
          </cell>
          <cell r="E32" t="str">
            <v>AMUNDI SGR</v>
          </cell>
          <cell r="F32" t="str">
            <v>PIM LTD</v>
          </cell>
          <cell r="G32" t="str">
            <v>Italy</v>
          </cell>
          <cell r="H32" t="str">
            <v>Unit Linked</v>
          </cell>
          <cell r="I32" t="str">
            <v>Capital Guaranteed / Protected</v>
          </cell>
          <cell r="J32" t="str">
            <v>CPPI / VAR</v>
          </cell>
          <cell r="K32" t="str">
            <v>Lorenzo Di Pietrantonio</v>
          </cell>
          <cell r="L32" t="str">
            <v>MQ103317</v>
          </cell>
          <cell r="M32" t="e">
            <v>#N/A</v>
          </cell>
        </row>
        <row r="33">
          <cell r="A33" t="str">
            <v>MAM</v>
          </cell>
          <cell r="B33" t="str">
            <v>From Risk - Fund Responsibility - Model Portfolios</v>
          </cell>
          <cell r="C33" t="str">
            <v>Yes</v>
          </cell>
          <cell r="D33" t="str">
            <v>CAM Settembre</v>
          </cell>
          <cell r="E33" t="str">
            <v>AMUNDI SGR</v>
          </cell>
          <cell r="F33" t="str">
            <v>PIM LTD</v>
          </cell>
          <cell r="G33" t="str">
            <v>Italy</v>
          </cell>
          <cell r="H33" t="str">
            <v>Unit Linked</v>
          </cell>
          <cell r="I33" t="str">
            <v>Capital Guaranteed / Protected</v>
          </cell>
          <cell r="J33" t="str">
            <v>CPPI / VAR</v>
          </cell>
          <cell r="K33" t="str">
            <v>Lorenzo Di Pietrantonio</v>
          </cell>
          <cell r="L33" t="str">
            <v>MQ103318</v>
          </cell>
          <cell r="M33" t="e">
            <v>#N/A</v>
          </cell>
        </row>
        <row r="34">
          <cell r="A34" t="str">
            <v>MAN</v>
          </cell>
          <cell r="B34" t="str">
            <v>From Risk - Fund Responsibility - Model Portfolios</v>
          </cell>
          <cell r="C34" t="str">
            <v>Yes</v>
          </cell>
          <cell r="D34" t="str">
            <v>CAM Ottobre</v>
          </cell>
          <cell r="E34" t="str">
            <v>AMUNDI SGR</v>
          </cell>
          <cell r="F34" t="str">
            <v>PIM LTD</v>
          </cell>
          <cell r="G34" t="str">
            <v>Italy</v>
          </cell>
          <cell r="H34" t="str">
            <v>Unit Linked</v>
          </cell>
          <cell r="I34" t="str">
            <v>Capital Guaranteed / Protected</v>
          </cell>
          <cell r="J34" t="str">
            <v>CPPI / VAR</v>
          </cell>
          <cell r="K34" t="str">
            <v>Lorenzo Di Pietrantonio</v>
          </cell>
          <cell r="L34" t="str">
            <v>MQ103319</v>
          </cell>
          <cell r="M34" t="e">
            <v>#N/A</v>
          </cell>
        </row>
        <row r="35">
          <cell r="A35" t="str">
            <v>MATRUNIP</v>
          </cell>
          <cell r="B35" t="str">
            <v>From Risk - Fund Responsibility - Model Portfolios</v>
          </cell>
          <cell r="C35" t="str">
            <v>Yes</v>
          </cell>
          <cell r="D35" t="str">
            <v>Unit Linked A TR UNIPLAN</v>
          </cell>
          <cell r="E35" t="str">
            <v>AMUNDI SGR</v>
          </cell>
          <cell r="F35" t="str">
            <v>PIM LTD</v>
          </cell>
          <cell r="G35" t="str">
            <v>Italy</v>
          </cell>
          <cell r="H35" t="str">
            <v>Unit Linked</v>
          </cell>
          <cell r="I35" t="str">
            <v>Absolute Return</v>
          </cell>
          <cell r="J35" t="str">
            <v>Multi Asset</v>
          </cell>
          <cell r="K35" t="str">
            <v>Lorenzo Di Pietrantonio</v>
          </cell>
          <cell r="L35" t="str">
            <v>MQ101784</v>
          </cell>
          <cell r="M35" t="e">
            <v>#N/A</v>
          </cell>
        </row>
        <row r="36">
          <cell r="A36" t="str">
            <v>MEMBOND</v>
          </cell>
          <cell r="B36" t="str">
            <v>From Risk - Fund Responsibility - Model Portfolios</v>
          </cell>
          <cell r="C36" t="e">
            <v>#N/A</v>
          </cell>
          <cell r="D36" t="str">
            <v>MODELLO EMERGING MARKET BOND</v>
          </cell>
          <cell r="E36" t="str">
            <v>AMUNDI SGR</v>
          </cell>
          <cell r="F36" t="str">
            <v>PIM LTD</v>
          </cell>
          <cell r="G36" t="str">
            <v>Italy</v>
          </cell>
          <cell r="H36" t="str">
            <v>Segregate Account</v>
          </cell>
          <cell r="I36" t="e">
            <v>#N/A</v>
          </cell>
          <cell r="J36" t="e">
            <v>#N/A</v>
          </cell>
          <cell r="K36" t="str">
            <v>Filippo Valvona</v>
          </cell>
          <cell r="L36" t="str">
            <v>MQ102412</v>
          </cell>
          <cell r="M36" t="e">
            <v>#N/A</v>
          </cell>
        </row>
        <row r="37">
          <cell r="A37" t="str">
            <v>MEP</v>
          </cell>
          <cell r="B37" t="str">
            <v>From Risk - Fund Responsibility - Model Portfolios</v>
          </cell>
          <cell r="C37" t="e">
            <v>#N/A</v>
          </cell>
          <cell r="D37" t="str">
            <v>PIP_ Equity</v>
          </cell>
          <cell r="E37" t="str">
            <v>AMUNDI SGR</v>
          </cell>
          <cell r="F37" t="str">
            <v>PIM LTD</v>
          </cell>
          <cell r="G37" t="str">
            <v>Italy</v>
          </cell>
          <cell r="H37" t="str">
            <v>Unit Linked</v>
          </cell>
          <cell r="I37" t="str">
            <v>Equity</v>
          </cell>
          <cell r="J37" t="str">
            <v>Blend</v>
          </cell>
          <cell r="K37" t="str">
            <v>Andrew Arbuthnott</v>
          </cell>
          <cell r="L37" t="str">
            <v>MQ100167</v>
          </cell>
          <cell r="M37" t="e">
            <v>#N/A</v>
          </cell>
        </row>
        <row r="38">
          <cell r="A38" t="str">
            <v>MEPF10</v>
          </cell>
          <cell r="B38" t="str">
            <v>From Risk - Fund Responsibility - Model Portfolios</v>
          </cell>
          <cell r="C38" t="str">
            <v>Yes</v>
          </cell>
          <cell r="D38" t="str">
            <v>Unit Linked G5 New</v>
          </cell>
          <cell r="E38" t="str">
            <v>AMUNDI SGR</v>
          </cell>
          <cell r="F38" t="str">
            <v>PIM LTD</v>
          </cell>
          <cell r="G38" t="str">
            <v>Italy</v>
          </cell>
          <cell r="H38" t="str">
            <v>Unit Linked</v>
          </cell>
          <cell r="I38" t="str">
            <v>Asset Allocation</v>
          </cell>
          <cell r="J38" t="str">
            <v>Aggressive</v>
          </cell>
          <cell r="K38" t="str">
            <v>PierPaolo Paparo</v>
          </cell>
          <cell r="L38" t="str">
            <v>MQ100415</v>
          </cell>
          <cell r="M38" t="e">
            <v>#N/A</v>
          </cell>
        </row>
        <row r="39">
          <cell r="A39" t="str">
            <v>MEPF2N</v>
          </cell>
          <cell r="B39" t="str">
            <v>From Risk - Fund Responsibility - Model Portfolios</v>
          </cell>
          <cell r="C39" t="str">
            <v>Yes</v>
          </cell>
          <cell r="D39" t="str">
            <v>Unit Linked E2 New</v>
          </cell>
          <cell r="E39" t="str">
            <v>AMUNDI SGR</v>
          </cell>
          <cell r="F39" t="str">
            <v>PIM LTD</v>
          </cell>
          <cell r="G39" t="str">
            <v>Italy</v>
          </cell>
          <cell r="H39" t="str">
            <v xml:space="preserve">Unit Linked </v>
          </cell>
          <cell r="I39" t="str">
            <v>Asset Allocation</v>
          </cell>
          <cell r="J39" t="str">
            <v>Cautious</v>
          </cell>
          <cell r="K39" t="str">
            <v>PierPaolo Paparo</v>
          </cell>
          <cell r="L39" t="str">
            <v>MQ100399</v>
          </cell>
          <cell r="M39" t="e">
            <v>#N/A</v>
          </cell>
        </row>
        <row r="40">
          <cell r="A40" t="str">
            <v>MEPF4</v>
          </cell>
          <cell r="B40" t="str">
            <v>From Risk - Fund Responsibility - Model Portfolios</v>
          </cell>
          <cell r="C40" t="str">
            <v>Yes</v>
          </cell>
          <cell r="D40" t="str">
            <v>Unit Linked OLD 4</v>
          </cell>
          <cell r="E40" t="str">
            <v>AMUNDI SGR</v>
          </cell>
          <cell r="F40" t="str">
            <v>PIM LTD</v>
          </cell>
          <cell r="G40" t="str">
            <v>Italy</v>
          </cell>
          <cell r="H40" t="str">
            <v xml:space="preserve">Unit Linked </v>
          </cell>
          <cell r="I40" t="str">
            <v>Asset Allocation</v>
          </cell>
          <cell r="J40" t="str">
            <v>Cautious</v>
          </cell>
          <cell r="K40" t="str">
            <v>PierPaolo Paparo</v>
          </cell>
          <cell r="L40" t="str">
            <v>MQ100421</v>
          </cell>
          <cell r="M40" t="e">
            <v>#N/A</v>
          </cell>
        </row>
        <row r="41">
          <cell r="A41" t="str">
            <v>MEPF5</v>
          </cell>
          <cell r="B41" t="str">
            <v>From Risk - Fund Responsibility - Model Portfolios</v>
          </cell>
          <cell r="C41" t="str">
            <v>Yes</v>
          </cell>
          <cell r="D41" t="str">
            <v>Unit Linked E3 new</v>
          </cell>
          <cell r="E41" t="str">
            <v>AMUNDI SGR</v>
          </cell>
          <cell r="F41" t="str">
            <v>PIM LTD</v>
          </cell>
          <cell r="G41" t="str">
            <v>Italy</v>
          </cell>
          <cell r="H41" t="str">
            <v xml:space="preserve">Unit Linked </v>
          </cell>
          <cell r="I41" t="str">
            <v>Asset Allocation</v>
          </cell>
          <cell r="J41" t="str">
            <v>Cautious</v>
          </cell>
          <cell r="K41" t="str">
            <v>PierPaolo Paparo</v>
          </cell>
          <cell r="L41" t="str">
            <v>MQ100401</v>
          </cell>
          <cell r="M41" t="e">
            <v>#N/A</v>
          </cell>
        </row>
        <row r="42">
          <cell r="A42" t="str">
            <v>MEPF6</v>
          </cell>
          <cell r="B42" t="str">
            <v>From Risk - Fund Responsibility - Model Portfolios</v>
          </cell>
          <cell r="C42" t="str">
            <v>Yes</v>
          </cell>
          <cell r="D42" t="str">
            <v>Unit Linked E4 new</v>
          </cell>
          <cell r="E42" t="str">
            <v>AMUNDI SGR</v>
          </cell>
          <cell r="F42" t="str">
            <v>PIM LTD</v>
          </cell>
          <cell r="G42" t="str">
            <v>Italy</v>
          </cell>
          <cell r="H42" t="str">
            <v xml:space="preserve">Unit Linked </v>
          </cell>
          <cell r="I42" t="str">
            <v>Asset Allocation</v>
          </cell>
          <cell r="J42" t="str">
            <v>Moderate</v>
          </cell>
          <cell r="K42" t="str">
            <v>PierPaolo Paparo</v>
          </cell>
          <cell r="L42" t="str">
            <v>MQ100405</v>
          </cell>
          <cell r="M42" t="e">
            <v>#N/A</v>
          </cell>
        </row>
        <row r="43">
          <cell r="A43" t="str">
            <v>MEPF8</v>
          </cell>
          <cell r="B43" t="str">
            <v>From Risk - Fund Responsibility - Model Portfolios</v>
          </cell>
          <cell r="C43" t="str">
            <v>Yes</v>
          </cell>
          <cell r="D43" t="str">
            <v>Unit Linked E6 New</v>
          </cell>
          <cell r="E43" t="str">
            <v>AMUNDI SGR</v>
          </cell>
          <cell r="F43" t="str">
            <v>PIM LTD</v>
          </cell>
          <cell r="G43" t="str">
            <v>Italy</v>
          </cell>
          <cell r="H43" t="str">
            <v>Unit Linked</v>
          </cell>
          <cell r="I43" t="str">
            <v>Asset Allocation</v>
          </cell>
          <cell r="J43" t="str">
            <v>Aggressive</v>
          </cell>
          <cell r="K43" t="str">
            <v>PierPaolo Paparo</v>
          </cell>
          <cell r="L43" t="str">
            <v>MQ100409</v>
          </cell>
          <cell r="M43" t="e">
            <v>#N/A</v>
          </cell>
        </row>
        <row r="44">
          <cell r="A44" t="str">
            <v>MERE</v>
          </cell>
          <cell r="B44" t="str">
            <v>From Risk - Fund Responsibility - Model Portfolios</v>
          </cell>
          <cell r="C44" t="e">
            <v>#N/A</v>
          </cell>
          <cell r="D44" t="str">
            <v>MULTIBRAND European Real Estate</v>
          </cell>
          <cell r="E44" t="str">
            <v>AMUNDI SGR</v>
          </cell>
          <cell r="F44" t="str">
            <v>PIM LTD</v>
          </cell>
          <cell r="G44" t="str">
            <v>Italy</v>
          </cell>
          <cell r="H44" t="str">
            <v>Segregate Account</v>
          </cell>
          <cell r="I44" t="e">
            <v>#N/A</v>
          </cell>
          <cell r="J44" t="e">
            <v>#N/A</v>
          </cell>
          <cell r="K44" t="str">
            <v>Gillian Jones</v>
          </cell>
          <cell r="L44" t="str">
            <v>MQ102797</v>
          </cell>
          <cell r="M44" t="e">
            <v>#N/A</v>
          </cell>
        </row>
        <row r="45">
          <cell r="A45" t="str">
            <v>MGLHIYI</v>
          </cell>
          <cell r="B45" t="str">
            <v>From Risk - Fund Responsibility - Model Portfolios</v>
          </cell>
          <cell r="C45" t="e">
            <v>#N/A</v>
          </cell>
          <cell r="D45" t="str">
            <v>MODELLO GLOBAL HIGH YIELD</v>
          </cell>
          <cell r="E45" t="str">
            <v>AMUNDI SGR</v>
          </cell>
          <cell r="F45" t="str">
            <v>PIM LTD</v>
          </cell>
          <cell r="G45" t="str">
            <v>Italy</v>
          </cell>
          <cell r="H45" t="str">
            <v>Segregate Account</v>
          </cell>
          <cell r="I45" t="e">
            <v>#N/A</v>
          </cell>
          <cell r="J45" t="e">
            <v>#N/A</v>
          </cell>
          <cell r="K45" t="str">
            <v>Alan Butterly</v>
          </cell>
          <cell r="L45" t="str">
            <v>MQ102415</v>
          </cell>
          <cell r="M45" t="e">
            <v>#N/A</v>
          </cell>
        </row>
        <row r="46">
          <cell r="A46" t="str">
            <v>MGUPAMSF1</v>
          </cell>
          <cell r="B46" t="str">
            <v>From Risk - Fund Responsibility - Model Portfolios</v>
          </cell>
          <cell r="C46" t="str">
            <v>Yes</v>
          </cell>
          <cell r="D46" t="str">
            <v>UBP GLOBAL SF 1</v>
          </cell>
          <cell r="E46" t="str">
            <v>AMUNDI SGR</v>
          </cell>
          <cell r="F46" t="str">
            <v>PIM LTD</v>
          </cell>
          <cell r="G46" t="str">
            <v>Italy</v>
          </cell>
          <cell r="H46" t="str">
            <v>Segregate Account</v>
          </cell>
          <cell r="I46" t="str">
            <v>Asset Allocation</v>
          </cell>
          <cell r="J46" t="str">
            <v>Cautious</v>
          </cell>
          <cell r="K46" t="str">
            <v>PierPaolo Paparo</v>
          </cell>
          <cell r="L46" t="str">
            <v>MQ100459</v>
          </cell>
          <cell r="M46" t="e">
            <v>#N/A</v>
          </cell>
        </row>
        <row r="47">
          <cell r="A47" t="str">
            <v>MGUPAMSF2</v>
          </cell>
          <cell r="B47" t="str">
            <v>From Risk - Fund Responsibility - Model Portfolios</v>
          </cell>
          <cell r="C47" t="str">
            <v>Yes</v>
          </cell>
          <cell r="D47" t="str">
            <v>UBP GLOBAL SF 2</v>
          </cell>
          <cell r="E47" t="str">
            <v>AMUNDI SGR</v>
          </cell>
          <cell r="F47" t="str">
            <v>PIM LTD</v>
          </cell>
          <cell r="G47" t="str">
            <v>Italy</v>
          </cell>
          <cell r="H47" t="str">
            <v>Segregate Account</v>
          </cell>
          <cell r="I47" t="str">
            <v>Asset Allocation</v>
          </cell>
          <cell r="J47" t="str">
            <v>Cautious</v>
          </cell>
          <cell r="K47" t="str">
            <v>PierPaolo Paparo</v>
          </cell>
          <cell r="L47" t="str">
            <v>MQ100461</v>
          </cell>
          <cell r="M47" t="e">
            <v>#N/A</v>
          </cell>
        </row>
        <row r="48">
          <cell r="A48" t="str">
            <v>MGUPAMSF3</v>
          </cell>
          <cell r="B48" t="str">
            <v>From Risk - Fund Responsibility - Model Portfolios</v>
          </cell>
          <cell r="C48" t="str">
            <v>Yes</v>
          </cell>
          <cell r="D48" t="str">
            <v>UBP GLOBAL SF 3</v>
          </cell>
          <cell r="E48" t="str">
            <v>AMUNDI SGR</v>
          </cell>
          <cell r="F48" t="str">
            <v>PIM LTD</v>
          </cell>
          <cell r="G48" t="str">
            <v>Italy</v>
          </cell>
          <cell r="H48" t="str">
            <v>Segregate Account</v>
          </cell>
          <cell r="I48" t="str">
            <v>Asset Allocation</v>
          </cell>
          <cell r="J48" t="str">
            <v>Moderate</v>
          </cell>
          <cell r="K48" t="str">
            <v>PierPaolo Paparo</v>
          </cell>
          <cell r="L48" t="str">
            <v>MQ100463</v>
          </cell>
          <cell r="M48" t="e">
            <v>#N/A</v>
          </cell>
        </row>
        <row r="49">
          <cell r="A49" t="str">
            <v>MGUPAMSF4</v>
          </cell>
          <cell r="B49" t="str">
            <v>From Risk - Fund Responsibility - Model Portfolios</v>
          </cell>
          <cell r="C49" t="str">
            <v>Yes</v>
          </cell>
          <cell r="D49" t="str">
            <v>UBP GLOBAL SF 4</v>
          </cell>
          <cell r="E49" t="str">
            <v>AMUNDI SGR</v>
          </cell>
          <cell r="F49" t="str">
            <v>PIM LTD</v>
          </cell>
          <cell r="G49" t="str">
            <v>Italy</v>
          </cell>
          <cell r="H49" t="str">
            <v>Segregate Account</v>
          </cell>
          <cell r="I49" t="str">
            <v>Asset Allocation</v>
          </cell>
          <cell r="J49" t="str">
            <v>Moderate</v>
          </cell>
          <cell r="K49" t="str">
            <v>PierPaolo Paparo</v>
          </cell>
          <cell r="L49" t="str">
            <v>MQ100465</v>
          </cell>
          <cell r="M49" t="e">
            <v>#N/A</v>
          </cell>
        </row>
        <row r="50">
          <cell r="A50" t="str">
            <v>MGUPAMSF5</v>
          </cell>
          <cell r="B50" t="str">
            <v>From Risk - Fund Responsibility - Model Portfolios</v>
          </cell>
          <cell r="C50" t="str">
            <v>Yes</v>
          </cell>
          <cell r="D50" t="str">
            <v>UBP GLOBAL SF 5</v>
          </cell>
          <cell r="E50" t="str">
            <v>AMUNDI SGR</v>
          </cell>
          <cell r="F50" t="str">
            <v>PIM LTD</v>
          </cell>
          <cell r="G50" t="str">
            <v>Italy</v>
          </cell>
          <cell r="H50" t="str">
            <v>Segregate Account</v>
          </cell>
          <cell r="I50" t="str">
            <v>Asset Allocation</v>
          </cell>
          <cell r="J50" t="str">
            <v>Aggressive</v>
          </cell>
          <cell r="K50" t="str">
            <v>PierPaolo Paparo</v>
          </cell>
          <cell r="L50" t="str">
            <v>MQ100467</v>
          </cell>
          <cell r="M50" t="e">
            <v>#N/A</v>
          </cell>
        </row>
        <row r="51">
          <cell r="A51" t="str">
            <v>MGUPAMTF1</v>
          </cell>
          <cell r="B51" t="str">
            <v>From Risk - Fund Responsibility - Model Portfolios</v>
          </cell>
          <cell r="C51" t="str">
            <v>Yes</v>
          </cell>
          <cell r="D51" t="str">
            <v>UBP GLOBAL TF 1</v>
          </cell>
          <cell r="E51" t="str">
            <v>AMUNDI SGR</v>
          </cell>
          <cell r="F51" t="str">
            <v>PIM LTD</v>
          </cell>
          <cell r="G51" t="str">
            <v>Italy</v>
          </cell>
          <cell r="H51" t="str">
            <v>Segregate Account</v>
          </cell>
          <cell r="I51" t="e">
            <v>#N/A</v>
          </cell>
          <cell r="J51" t="e">
            <v>#N/A</v>
          </cell>
          <cell r="K51" t="str">
            <v>Elisabetta Brescacin</v>
          </cell>
          <cell r="L51" t="str">
            <v>MQ100469</v>
          </cell>
          <cell r="M51" t="e">
            <v>#N/A</v>
          </cell>
        </row>
        <row r="52">
          <cell r="A52" t="str">
            <v>MGUPAMTF2</v>
          </cell>
          <cell r="B52" t="str">
            <v>From Risk - Fund Responsibility - Model Portfolios</v>
          </cell>
          <cell r="C52" t="str">
            <v>Yes</v>
          </cell>
          <cell r="D52" t="str">
            <v>UBP GLOBAL TF 2</v>
          </cell>
          <cell r="E52" t="str">
            <v>AMUNDI SGR</v>
          </cell>
          <cell r="F52" t="str">
            <v>PIM LTD</v>
          </cell>
          <cell r="G52" t="str">
            <v>Italy</v>
          </cell>
          <cell r="H52" t="str">
            <v>Segregate Account</v>
          </cell>
          <cell r="I52" t="e">
            <v>#N/A</v>
          </cell>
          <cell r="J52" t="e">
            <v>#N/A</v>
          </cell>
          <cell r="K52" t="str">
            <v>Elisabetta Brescacin</v>
          </cell>
          <cell r="L52" t="str">
            <v>MQ100471</v>
          </cell>
          <cell r="M52" t="e">
            <v>#N/A</v>
          </cell>
        </row>
        <row r="53">
          <cell r="A53" t="str">
            <v>MGUPAMTF3</v>
          </cell>
          <cell r="B53" t="str">
            <v>From Risk - Fund Responsibility - Model Portfolios</v>
          </cell>
          <cell r="C53" t="str">
            <v>Yes</v>
          </cell>
          <cell r="D53" t="str">
            <v>UBP GLOBAL TF 3</v>
          </cell>
          <cell r="E53" t="str">
            <v>AMUNDI SGR</v>
          </cell>
          <cell r="F53" t="str">
            <v>PIM LTD</v>
          </cell>
          <cell r="G53" t="str">
            <v>Italy</v>
          </cell>
          <cell r="H53" t="str">
            <v>Segregate Account</v>
          </cell>
          <cell r="I53" t="e">
            <v>#N/A</v>
          </cell>
          <cell r="J53" t="e">
            <v>#N/A</v>
          </cell>
          <cell r="K53" t="str">
            <v>Elisabetta Brescacin</v>
          </cell>
          <cell r="L53" t="str">
            <v>MQ100473</v>
          </cell>
          <cell r="M53" t="e">
            <v>#N/A</v>
          </cell>
        </row>
        <row r="54">
          <cell r="A54" t="str">
            <v>MGUPAMTF4</v>
          </cell>
          <cell r="B54" t="str">
            <v>From Risk - Fund Responsibility - Model Portfolios</v>
          </cell>
          <cell r="C54" t="str">
            <v>Yes</v>
          </cell>
          <cell r="D54" t="str">
            <v>UBP GLOBAL TF 4</v>
          </cell>
          <cell r="E54" t="str">
            <v>AMUNDI SGR</v>
          </cell>
          <cell r="F54" t="str">
            <v>PIM LTD</v>
          </cell>
          <cell r="G54" t="str">
            <v>Italy</v>
          </cell>
          <cell r="H54" t="str">
            <v>Segregate Account</v>
          </cell>
          <cell r="I54" t="e">
            <v>#N/A</v>
          </cell>
          <cell r="J54" t="e">
            <v>#N/A</v>
          </cell>
          <cell r="K54" t="str">
            <v>Elisabetta Brescacin</v>
          </cell>
          <cell r="L54" t="str">
            <v>MQ100475</v>
          </cell>
          <cell r="M54" t="e">
            <v>#N/A</v>
          </cell>
        </row>
        <row r="55">
          <cell r="A55" t="str">
            <v>MGUPAMTF5</v>
          </cell>
          <cell r="B55" t="str">
            <v>From Risk - Fund Responsibility - Model Portfolios</v>
          </cell>
          <cell r="C55" t="str">
            <v>Yes</v>
          </cell>
          <cell r="D55" t="str">
            <v>UBP GLOBAL TF 5</v>
          </cell>
          <cell r="E55" t="str">
            <v>AMUNDI SGR</v>
          </cell>
          <cell r="F55" t="str">
            <v>PIM LTD</v>
          </cell>
          <cell r="G55" t="str">
            <v>Italy</v>
          </cell>
          <cell r="H55" t="str">
            <v>Segregate Account</v>
          </cell>
          <cell r="I55" t="e">
            <v>#N/A</v>
          </cell>
          <cell r="J55" t="e">
            <v>#N/A</v>
          </cell>
          <cell r="K55" t="str">
            <v>Elisabetta Brescacin</v>
          </cell>
          <cell r="L55" t="str">
            <v>MQ100477</v>
          </cell>
          <cell r="M55" t="e">
            <v>#N/A</v>
          </cell>
        </row>
        <row r="56">
          <cell r="A56" t="str">
            <v>MLIFEBND</v>
          </cell>
          <cell r="B56" t="str">
            <v>From Risk - Fund Responsibility - Model Portfolios</v>
          </cell>
          <cell r="C56" t="str">
            <v>Yes</v>
          </cell>
          <cell r="D56" t="str">
            <v>Life Program Bond</v>
          </cell>
          <cell r="E56" t="str">
            <v>AMUNDI SGR</v>
          </cell>
          <cell r="F56" t="str">
            <v>PIM LTD</v>
          </cell>
          <cell r="G56" t="str">
            <v>Italy</v>
          </cell>
          <cell r="H56" t="str">
            <v xml:space="preserve">Unit Linked </v>
          </cell>
          <cell r="I56" t="str">
            <v>Bond</v>
          </cell>
          <cell r="J56" t="str">
            <v>Aggregate</v>
          </cell>
          <cell r="K56" t="str">
            <v>PierPaolo Paparo</v>
          </cell>
          <cell r="L56" t="str">
            <v>MQ102345</v>
          </cell>
          <cell r="M56" t="e">
            <v>#N/A</v>
          </cell>
        </row>
        <row r="57">
          <cell r="A57" t="str">
            <v>MLINC</v>
          </cell>
          <cell r="B57" t="str">
            <v>From Risk - Fund Responsibility - Model Portfolios</v>
          </cell>
          <cell r="C57" t="str">
            <v>Yes</v>
          </cell>
          <cell r="D57" t="str">
            <v>UL Life Income</v>
          </cell>
          <cell r="E57" t="str">
            <v>AMUNDI SGR</v>
          </cell>
          <cell r="F57" t="str">
            <v>PIM LTD</v>
          </cell>
          <cell r="G57" t="str">
            <v>Italy</v>
          </cell>
          <cell r="H57" t="str">
            <v>Unit Linked</v>
          </cell>
          <cell r="I57" t="str">
            <v>Absolute Return</v>
          </cell>
          <cell r="J57" t="str">
            <v>Multi Asset</v>
          </cell>
          <cell r="K57" t="str">
            <v>Paul Weber</v>
          </cell>
          <cell r="L57" t="str">
            <v>MQ104381</v>
          </cell>
          <cell r="M57" t="e">
            <v>#N/A</v>
          </cell>
        </row>
        <row r="58">
          <cell r="A58" t="str">
            <v>MLPFLEX</v>
          </cell>
          <cell r="B58" t="str">
            <v>From Risk - Fund Responsibility - Model Portfolios</v>
          </cell>
          <cell r="C58" t="str">
            <v>Yes</v>
          </cell>
          <cell r="D58" t="str">
            <v>Life Program Flessibile</v>
          </cell>
          <cell r="E58" t="str">
            <v>AMUNDI SGR</v>
          </cell>
          <cell r="F58" t="str">
            <v>PIM LTD</v>
          </cell>
          <cell r="G58" t="str">
            <v>Italy</v>
          </cell>
          <cell r="H58" t="str">
            <v>Unit Linked</v>
          </cell>
          <cell r="I58" t="str">
            <v>Absolute Return</v>
          </cell>
          <cell r="J58" t="str">
            <v>Multi Asset</v>
          </cell>
          <cell r="K58" t="str">
            <v>Lorenzo Di Pietrantonio</v>
          </cell>
          <cell r="L58" t="str">
            <v>MQ102364</v>
          </cell>
          <cell r="M58" t="e">
            <v>#N/A</v>
          </cell>
        </row>
        <row r="59">
          <cell r="A59" t="str">
            <v>MMBAPXJ</v>
          </cell>
          <cell r="B59" t="str">
            <v>From Risk - Fund Responsibility - Model Portfolios</v>
          </cell>
          <cell r="C59" t="e">
            <v>#N/A</v>
          </cell>
          <cell r="D59" t="str">
            <v>Multibrand Azionario Asia pacific ex Japan</v>
          </cell>
          <cell r="E59" t="str">
            <v>AMUNDI SGR</v>
          </cell>
          <cell r="F59" t="str">
            <v>PIM LTD</v>
          </cell>
          <cell r="G59" t="str">
            <v>Italy</v>
          </cell>
          <cell r="H59" t="str">
            <v>Segregate Account</v>
          </cell>
          <cell r="I59" t="e">
            <v>#N/A</v>
          </cell>
          <cell r="J59" t="e">
            <v>#N/A</v>
          </cell>
          <cell r="K59" t="str">
            <v>Gary Moglione</v>
          </cell>
          <cell r="L59" t="str">
            <v>MQ102416</v>
          </cell>
          <cell r="M59" t="e">
            <v>#N/A</v>
          </cell>
        </row>
        <row r="60">
          <cell r="A60" t="str">
            <v>MMBAZJAP</v>
          </cell>
          <cell r="B60" t="str">
            <v>From Risk - Fund Responsibility - Model Portfolios</v>
          </cell>
          <cell r="C60" t="e">
            <v>#N/A</v>
          </cell>
          <cell r="D60" t="str">
            <v>Multibrand Azionario Giaponne</v>
          </cell>
          <cell r="E60" t="str">
            <v>AMUNDI SGR</v>
          </cell>
          <cell r="F60" t="str">
            <v>PIM LTD</v>
          </cell>
          <cell r="G60" t="str">
            <v>Italy</v>
          </cell>
          <cell r="H60" t="str">
            <v>Segregate Account</v>
          </cell>
          <cell r="I60" t="e">
            <v>#N/A</v>
          </cell>
          <cell r="J60" t="e">
            <v>#N/A</v>
          </cell>
          <cell r="K60" t="str">
            <v>Paul Weber</v>
          </cell>
          <cell r="L60" t="str">
            <v>MQ102420</v>
          </cell>
          <cell r="M60" t="e">
            <v>#N/A</v>
          </cell>
        </row>
        <row r="61">
          <cell r="A61" t="str">
            <v>MMBAZUSAHG</v>
          </cell>
          <cell r="B61" t="str">
            <v>From Risk - Fund Responsibility - Model Portfolios</v>
          </cell>
          <cell r="C61" t="e">
            <v>#N/A</v>
          </cell>
          <cell r="D61" t="str">
            <v>Multibrand Azionario America Hedged</v>
          </cell>
          <cell r="E61" t="str">
            <v>AMUNDI SGR</v>
          </cell>
          <cell r="F61" t="str">
            <v>PIM LTD</v>
          </cell>
          <cell r="G61" t="str">
            <v>Italy</v>
          </cell>
          <cell r="H61" t="str">
            <v>Segregate Account</v>
          </cell>
          <cell r="I61" t="e">
            <v>#N/A</v>
          </cell>
          <cell r="J61" t="e">
            <v>#N/A</v>
          </cell>
          <cell r="K61" t="str">
            <v>Frank Gans</v>
          </cell>
          <cell r="L61" t="str">
            <v>MQ102422</v>
          </cell>
          <cell r="M61" t="e">
            <v>#N/A</v>
          </cell>
        </row>
        <row r="62">
          <cell r="A62" t="str">
            <v>MMBOBEU</v>
          </cell>
          <cell r="B62" t="str">
            <v>From Risk - Fund Responsibility - Model Portfolios</v>
          </cell>
          <cell r="C62" t="e">
            <v>#N/A</v>
          </cell>
          <cell r="D62" t="str">
            <v>Multibrand Euro Bond</v>
          </cell>
          <cell r="E62" t="str">
            <v>AMUNDI SGR</v>
          </cell>
          <cell r="F62" t="str">
            <v>PIM LTD</v>
          </cell>
          <cell r="G62" t="str">
            <v>Italy</v>
          </cell>
          <cell r="H62" t="str">
            <v>Segregate Account</v>
          </cell>
          <cell r="I62" t="e">
            <v>#N/A</v>
          </cell>
          <cell r="J62" t="e">
            <v>#N/A</v>
          </cell>
          <cell r="K62" t="str">
            <v>Flavia Bucci</v>
          </cell>
          <cell r="L62" t="str">
            <v>MQ102425</v>
          </cell>
          <cell r="M62" t="e">
            <v>#N/A</v>
          </cell>
        </row>
        <row r="63">
          <cell r="A63" t="str">
            <v>MPPC</v>
          </cell>
          <cell r="B63" t="str">
            <v>From Risk - Fund Responsibility - Model Portfolios</v>
          </cell>
          <cell r="C63" t="e">
            <v>#N/A</v>
          </cell>
          <cell r="D63" t="str">
            <v>PP Commodities</v>
          </cell>
          <cell r="E63" t="str">
            <v>AMUNDI SGR</v>
          </cell>
          <cell r="F63" t="str">
            <v>PIM LTD</v>
          </cell>
          <cell r="G63" t="str">
            <v>Italy</v>
          </cell>
          <cell r="H63" t="str">
            <v>Segregate Account</v>
          </cell>
          <cell r="I63" t="e">
            <v>#N/A</v>
          </cell>
          <cell r="J63" t="e">
            <v>#N/A</v>
          </cell>
          <cell r="K63" t="str">
            <v>Gillian Jones</v>
          </cell>
          <cell r="L63" t="str">
            <v>MQ102745</v>
          </cell>
          <cell r="M63" t="e">
            <v>#N/A</v>
          </cell>
        </row>
        <row r="64">
          <cell r="A64" t="str">
            <v>MULLI360</v>
          </cell>
          <cell r="B64" t="str">
            <v>From Risk - Fund Responsibility - Model Portfolios</v>
          </cell>
          <cell r="C64" t="str">
            <v>Yes</v>
          </cell>
          <cell r="D64" t="str">
            <v>UL Life Income 360</v>
          </cell>
          <cell r="E64" t="str">
            <v>AMUNDI SGR</v>
          </cell>
          <cell r="F64" t="str">
            <v>PIM LTD</v>
          </cell>
          <cell r="G64" t="str">
            <v>Italy</v>
          </cell>
          <cell r="H64" t="str">
            <v>Unit Linked</v>
          </cell>
          <cell r="I64" t="str">
            <v>Absolute Return</v>
          </cell>
          <cell r="J64" t="str">
            <v>Multi Asset</v>
          </cell>
          <cell r="K64" t="str">
            <v>Paul Weber</v>
          </cell>
          <cell r="L64" t="str">
            <v>MQ104408</v>
          </cell>
          <cell r="M64" t="e">
            <v>#N/A</v>
          </cell>
        </row>
        <row r="65">
          <cell r="A65" t="str">
            <v>MUNIP</v>
          </cell>
          <cell r="B65" t="str">
            <v>From Risk - Fund Responsibility - Model Portfolios</v>
          </cell>
          <cell r="C65" t="str">
            <v>Yes</v>
          </cell>
          <cell r="D65" t="str">
            <v>Unit Linked AMix UNIPLAN</v>
          </cell>
          <cell r="E65" t="str">
            <v>AMUNDI SGR</v>
          </cell>
          <cell r="F65" t="str">
            <v>PIM LTD</v>
          </cell>
          <cell r="G65" t="str">
            <v>Italy</v>
          </cell>
          <cell r="H65" t="str">
            <v xml:space="preserve">Unit Linked </v>
          </cell>
          <cell r="I65" t="str">
            <v>Asset Allocation</v>
          </cell>
          <cell r="J65" t="str">
            <v>Moderate</v>
          </cell>
          <cell r="K65" t="str">
            <v>PierPaolo Paparo</v>
          </cell>
          <cell r="L65" t="str">
            <v>MQ101661</v>
          </cell>
          <cell r="M65" t="e">
            <v>#N/A</v>
          </cell>
        </row>
        <row r="66">
          <cell r="A66" t="str">
            <v>MUSI</v>
          </cell>
          <cell r="B66" t="str">
            <v>From Risk - Fund Responsibility - Model Portfolios</v>
          </cell>
          <cell r="C66" t="str">
            <v>Yes</v>
          </cell>
          <cell r="D66" t="str">
            <v>Univalore Stars Income</v>
          </cell>
          <cell r="E66" t="str">
            <v>AMUNDI SGR</v>
          </cell>
          <cell r="F66" t="str">
            <v>PIM LTD</v>
          </cell>
          <cell r="G66" t="str">
            <v>Italy</v>
          </cell>
          <cell r="H66" t="str">
            <v>Unit Linked</v>
          </cell>
          <cell r="I66" t="str">
            <v>Asset Allocation</v>
          </cell>
          <cell r="J66" t="str">
            <v>Cautious</v>
          </cell>
          <cell r="K66" t="str">
            <v>Paul Weber</v>
          </cell>
          <cell r="L66" t="str">
            <v>MQ104337</v>
          </cell>
          <cell r="M66" t="e">
            <v>#N/A</v>
          </cell>
        </row>
        <row r="67">
          <cell r="A67" t="str">
            <v>PLIC</v>
          </cell>
          <cell r="B67" t="str">
            <v>From Risk - Fund Responsibility - Model Portfolios</v>
          </cell>
          <cell r="C67" t="str">
            <v>Yes</v>
          </cell>
          <cell r="D67" t="str">
            <v>PL Income Clock</v>
          </cell>
          <cell r="E67" t="str">
            <v>AMUNDI SGR</v>
          </cell>
          <cell r="F67" t="str">
            <v>PIM LTD</v>
          </cell>
          <cell r="G67" t="str">
            <v>Italy</v>
          </cell>
          <cell r="H67" t="str">
            <v xml:space="preserve">Unit Linked </v>
          </cell>
          <cell r="I67" t="str">
            <v>Asset Allocation</v>
          </cell>
          <cell r="J67" t="str">
            <v>Aggressive</v>
          </cell>
          <cell r="K67" t="str">
            <v>Salvatore Buono</v>
          </cell>
          <cell r="L67" t="str">
            <v>MQ103840</v>
          </cell>
          <cell r="M67" t="e">
            <v>#N/A</v>
          </cell>
        </row>
        <row r="68">
          <cell r="A68" t="str">
            <v>PP1-3Y</v>
          </cell>
          <cell r="B68" t="str">
            <v>From Risk - Fund Responsibility - Model Portfolios</v>
          </cell>
          <cell r="C68" t="str">
            <v>Yes</v>
          </cell>
          <cell r="D68" t="str">
            <v>PL Euro Bond 1 to 3 years</v>
          </cell>
          <cell r="E68" t="str">
            <v>AMUNDI SGR</v>
          </cell>
          <cell r="F68" t="str">
            <v>PIM LTD</v>
          </cell>
          <cell r="G68" t="str">
            <v>Italy</v>
          </cell>
          <cell r="H68" t="str">
            <v xml:space="preserve">Unit Linked </v>
          </cell>
          <cell r="I68" t="str">
            <v>Bond</v>
          </cell>
          <cell r="J68" t="str">
            <v>Government</v>
          </cell>
          <cell r="K68" t="str">
            <v>Salvatore Buono</v>
          </cell>
          <cell r="L68" t="str">
            <v>MQ102741</v>
          </cell>
          <cell r="M68" t="e">
            <v>#N/A</v>
          </cell>
        </row>
        <row r="69">
          <cell r="A69" t="str">
            <v>PP3Y</v>
          </cell>
          <cell r="B69" t="str">
            <v>From Risk - Fund Responsibility - Model Portfolios</v>
          </cell>
          <cell r="C69" t="str">
            <v>Yes</v>
          </cell>
          <cell r="D69" t="str">
            <v>PL Euro Bond over 3 years</v>
          </cell>
          <cell r="E69" t="str">
            <v>AMUNDI SGR</v>
          </cell>
          <cell r="F69" t="str">
            <v>PIM LTD</v>
          </cell>
          <cell r="G69" t="str">
            <v>Italy</v>
          </cell>
          <cell r="H69" t="str">
            <v xml:space="preserve">Unit Linked </v>
          </cell>
          <cell r="I69" t="str">
            <v>Bond</v>
          </cell>
          <cell r="J69" t="str">
            <v>Government</v>
          </cell>
          <cell r="K69" t="str">
            <v>Salvatore Buono</v>
          </cell>
          <cell r="L69" t="str">
            <v>MQ102742</v>
          </cell>
          <cell r="M69" t="e">
            <v>#N/A</v>
          </cell>
        </row>
        <row r="70">
          <cell r="A70" t="str">
            <v>R1M</v>
          </cell>
          <cell r="B70" t="str">
            <v>From Risk - Fund Responsibility - Model Portfolios</v>
          </cell>
          <cell r="C70" t="str">
            <v>Yes</v>
          </cell>
          <cell r="D70" t="str">
            <v>CNP Linea Protetta Dinamica</v>
          </cell>
          <cell r="E70" t="str">
            <v>AMUNDI SGR</v>
          </cell>
          <cell r="F70" t="str">
            <v>PIM LTD</v>
          </cell>
          <cell r="G70" t="str">
            <v>Italy</v>
          </cell>
          <cell r="H70" t="str">
            <v>Unit Linked</v>
          </cell>
          <cell r="I70" t="str">
            <v>Asset Allocation</v>
          </cell>
          <cell r="J70" t="str">
            <v>Moderate</v>
          </cell>
          <cell r="K70" t="str">
            <v>Lorenzo Di Pietrantonio</v>
          </cell>
          <cell r="L70" t="str">
            <v>MQ103347</v>
          </cell>
          <cell r="M70" t="e">
            <v>#N/A</v>
          </cell>
        </row>
        <row r="71">
          <cell r="A71" t="str">
            <v>SFI-MONE</v>
          </cell>
          <cell r="B71" t="str">
            <v>From Risk - Fund Responsibility - Model Portfolios</v>
          </cell>
          <cell r="C71" t="e">
            <v>#N/A</v>
          </cell>
          <cell r="D71" t="str">
            <v>SFI+ Linea Monetaria</v>
          </cell>
          <cell r="E71" t="str">
            <v>AMUNDI SGR</v>
          </cell>
          <cell r="F71" t="str">
            <v>PIM LTD</v>
          </cell>
          <cell r="G71" t="str">
            <v>Italy</v>
          </cell>
          <cell r="H71" t="str">
            <v>Segregate Account</v>
          </cell>
          <cell r="I71" t="str">
            <v>Money Market</v>
          </cell>
          <cell r="J71" t="str">
            <v>Regular MM</v>
          </cell>
          <cell r="K71" t="str">
            <v>Pierpaolo Paparo</v>
          </cell>
          <cell r="L71" t="str">
            <v>MQ102932</v>
          </cell>
          <cell r="M71" t="e">
            <v>#N/A</v>
          </cell>
        </row>
        <row r="72">
          <cell r="A72" t="str">
            <v>SFI-PRUD</v>
          </cell>
          <cell r="B72" t="str">
            <v>From Risk - Fund Responsibility - Model Portfolios</v>
          </cell>
          <cell r="C72" t="e">
            <v>#N/A</v>
          </cell>
          <cell r="D72" t="str">
            <v>SFI+ Linea Prudente</v>
          </cell>
          <cell r="E72" t="str">
            <v>AMUNDI SGR</v>
          </cell>
          <cell r="F72" t="str">
            <v>PIM LTD</v>
          </cell>
          <cell r="G72" t="str">
            <v>Italy</v>
          </cell>
          <cell r="H72" t="str">
            <v>Segregate Account</v>
          </cell>
          <cell r="I72" t="e">
            <v>#N/A</v>
          </cell>
          <cell r="J72" t="e">
            <v>#N/A</v>
          </cell>
          <cell r="K72" t="str">
            <v>PierPaolo Paparo</v>
          </cell>
          <cell r="L72" t="str">
            <v>MQ102904</v>
          </cell>
          <cell r="M72" t="e">
            <v>#N/A</v>
          </cell>
        </row>
        <row r="73">
          <cell r="A73" t="str">
            <v>SFI-PRUD-</v>
          </cell>
          <cell r="B73" t="str">
            <v>From Risk - Fund Responsibility - Model Portfolios</v>
          </cell>
          <cell r="C73" t="e">
            <v>#N/A</v>
          </cell>
          <cell r="D73" t="str">
            <v>SFI+ Linea Prudente Piu</v>
          </cell>
          <cell r="E73" t="str">
            <v>AMUNDI SGR</v>
          </cell>
          <cell r="F73" t="str">
            <v>PIM LTD</v>
          </cell>
          <cell r="G73" t="str">
            <v>Italy</v>
          </cell>
          <cell r="H73" t="str">
            <v>Segregate Account</v>
          </cell>
          <cell r="I73" t="str">
            <v>Asset Allocation</v>
          </cell>
          <cell r="J73" t="str">
            <v>Moderate</v>
          </cell>
          <cell r="K73" t="str">
            <v>PierPaolo Paparo</v>
          </cell>
          <cell r="L73" t="str">
            <v>MQ102905</v>
          </cell>
          <cell r="M73" t="e">
            <v>#N/A</v>
          </cell>
        </row>
        <row r="74">
          <cell r="A74" t="str">
            <v>SFI-TR</v>
          </cell>
          <cell r="B74" t="str">
            <v>From Risk - Fund Responsibility - Model Portfolios</v>
          </cell>
          <cell r="C74" t="e">
            <v>#N/A</v>
          </cell>
          <cell r="D74" t="str">
            <v>SFI+ Linea Total Return</v>
          </cell>
          <cell r="E74" t="str">
            <v>AMUNDI SGR</v>
          </cell>
          <cell r="F74" t="str">
            <v>PIM LTD</v>
          </cell>
          <cell r="G74" t="str">
            <v>Italy</v>
          </cell>
          <cell r="H74" t="str">
            <v>Segregate Account</v>
          </cell>
          <cell r="I74" t="str">
            <v>Absolute Return</v>
          </cell>
          <cell r="J74" t="str">
            <v>Multi Asset</v>
          </cell>
          <cell r="K74" t="str">
            <v>Lorenzo Di Pietrantonio</v>
          </cell>
          <cell r="L74" t="str">
            <v>MQ102933</v>
          </cell>
          <cell r="M74" t="e">
            <v>#N/A</v>
          </cell>
        </row>
        <row r="75">
          <cell r="A75" t="str">
            <v>SHC</v>
          </cell>
          <cell r="B75" t="str">
            <v>From Risk - Fund Responsibility - Model Portfolios</v>
          </cell>
          <cell r="C75" t="e">
            <v>#N/A</v>
          </cell>
          <cell r="D75" t="str">
            <v>BB Sector Healthcare</v>
          </cell>
          <cell r="E75" t="str">
            <v>AMUNDI SGR</v>
          </cell>
          <cell r="F75" t="str">
            <v>PIM LTD</v>
          </cell>
          <cell r="G75" t="str">
            <v>Italy</v>
          </cell>
          <cell r="H75" t="str">
            <v>BB Multiasset Fund Solutions - FOFs &amp; Segregated Accounts</v>
          </cell>
          <cell r="I75" t="e">
            <v>#N/A</v>
          </cell>
          <cell r="J75" t="e">
            <v>#N/A</v>
          </cell>
          <cell r="K75" t="str">
            <v>Gillian Jones</v>
          </cell>
          <cell r="L75" t="str">
            <v>MQ104390</v>
          </cell>
          <cell r="M75" t="e">
            <v>#N/A</v>
          </cell>
        </row>
        <row r="76">
          <cell r="A76" t="str">
            <v>STEPONE</v>
          </cell>
          <cell r="B76" t="str">
            <v>From Risk - Fund Responsibility - Model Portfolios</v>
          </cell>
          <cell r="C76" t="str">
            <v>Yes</v>
          </cell>
          <cell r="D76" t="str">
            <v>CAM STEP ONE</v>
          </cell>
          <cell r="E76" t="str">
            <v>AMUNDI SGR</v>
          </cell>
          <cell r="F76" t="str">
            <v>PIM LTD</v>
          </cell>
          <cell r="G76" t="str">
            <v>Italy</v>
          </cell>
          <cell r="H76" t="str">
            <v>Segregate Account</v>
          </cell>
          <cell r="I76" t="e">
            <v>#N/A</v>
          </cell>
          <cell r="J76" t="e">
            <v>#N/A</v>
          </cell>
          <cell r="K76" t="str">
            <v>Salvatore Buono</v>
          </cell>
          <cell r="L76" t="str">
            <v>MQ103172</v>
          </cell>
          <cell r="M76" t="e">
            <v>#N/A</v>
          </cell>
        </row>
        <row r="77">
          <cell r="A77" t="str">
            <v>UES20</v>
          </cell>
          <cell r="B77" t="str">
            <v>From Risk - Fund Responsibility - Model Portfolios</v>
          </cell>
          <cell r="C77" t="str">
            <v>Yes</v>
          </cell>
          <cell r="D77" t="str">
            <v>Univalore E Strategia 20</v>
          </cell>
          <cell r="E77" t="str">
            <v>AMUNDI SGR</v>
          </cell>
          <cell r="F77" t="str">
            <v>PIM LTD</v>
          </cell>
          <cell r="G77" t="str">
            <v>Italy</v>
          </cell>
          <cell r="H77" t="str">
            <v>Unit Linked</v>
          </cell>
          <cell r="I77" t="str">
            <v>Asset Allocation</v>
          </cell>
          <cell r="J77" t="str">
            <v>Cautious</v>
          </cell>
          <cell r="K77" t="str">
            <v>Salvatore Buono</v>
          </cell>
          <cell r="L77" t="str">
            <v>MQ103678</v>
          </cell>
          <cell r="M77" t="e">
            <v>#N/A</v>
          </cell>
        </row>
        <row r="78">
          <cell r="A78" t="str">
            <v>UES30</v>
          </cell>
          <cell r="B78" t="str">
            <v>From Risk - Fund Responsibility - Model Portfolios</v>
          </cell>
          <cell r="C78" t="str">
            <v>Yes</v>
          </cell>
          <cell r="D78" t="str">
            <v>Univalore E Strategia 30</v>
          </cell>
          <cell r="E78" t="str">
            <v>AMUNDI SGR</v>
          </cell>
          <cell r="F78" t="str">
            <v>PIM LTD</v>
          </cell>
          <cell r="G78" t="str">
            <v>Italy</v>
          </cell>
          <cell r="H78" t="str">
            <v>Unit Linked</v>
          </cell>
          <cell r="I78" t="str">
            <v>Asset Allocation</v>
          </cell>
          <cell r="J78" t="str">
            <v>Moderate</v>
          </cell>
          <cell r="K78" t="str">
            <v>Salvatore Buono</v>
          </cell>
          <cell r="L78" t="str">
            <v>MQ103679</v>
          </cell>
          <cell r="M78" t="e">
            <v>#N/A</v>
          </cell>
        </row>
        <row r="79">
          <cell r="A79" t="str">
            <v>UES40</v>
          </cell>
          <cell r="B79" t="str">
            <v>From Risk - Fund Responsibility - Model Portfolios</v>
          </cell>
          <cell r="C79" t="str">
            <v>Yes</v>
          </cell>
          <cell r="D79" t="str">
            <v>Univalore E Strategia 40</v>
          </cell>
          <cell r="E79" t="str">
            <v>AMUNDI SGR</v>
          </cell>
          <cell r="F79" t="str">
            <v>PIM LTD</v>
          </cell>
          <cell r="G79" t="str">
            <v>Italy</v>
          </cell>
          <cell r="H79" t="str">
            <v>Unit Linked</v>
          </cell>
          <cell r="I79" t="str">
            <v>Asset Allocation</v>
          </cell>
          <cell r="J79" t="str">
            <v>Moderate</v>
          </cell>
          <cell r="K79" t="str">
            <v>Salvatore Buono</v>
          </cell>
          <cell r="L79" t="str">
            <v>MQ103680</v>
          </cell>
          <cell r="M79" t="e">
            <v>#N/A</v>
          </cell>
        </row>
        <row r="80">
          <cell r="A80" t="str">
            <v>UES50</v>
          </cell>
          <cell r="B80" t="str">
            <v>From Risk - Fund Responsibility - Model Portfolios</v>
          </cell>
          <cell r="C80" t="str">
            <v>Yes</v>
          </cell>
          <cell r="D80" t="str">
            <v>Univalore Stars Balanced</v>
          </cell>
          <cell r="E80" t="str">
            <v>AMUNDI SGR</v>
          </cell>
          <cell r="F80" t="str">
            <v>PIM LTD</v>
          </cell>
          <cell r="G80" t="str">
            <v>Italy</v>
          </cell>
          <cell r="H80" t="str">
            <v>Unit Linked</v>
          </cell>
          <cell r="I80" t="str">
            <v>Asset Allocation</v>
          </cell>
          <cell r="J80" t="str">
            <v>Aggressive</v>
          </cell>
          <cell r="K80" t="str">
            <v>Salvatore Buono</v>
          </cell>
          <cell r="L80" t="str">
            <v>MQ103681</v>
          </cell>
          <cell r="M80" t="e">
            <v>#N/A</v>
          </cell>
        </row>
        <row r="81">
          <cell r="A81" t="str">
            <v>UES70</v>
          </cell>
          <cell r="B81" t="str">
            <v>From Risk - Fund Responsibility - Model Portfolios</v>
          </cell>
          <cell r="C81" t="str">
            <v>Yes</v>
          </cell>
          <cell r="D81" t="str">
            <v>Univalore E Strategia 70</v>
          </cell>
          <cell r="E81" t="str">
            <v>AMUNDI SGR</v>
          </cell>
          <cell r="F81" t="str">
            <v>PIM LTD</v>
          </cell>
          <cell r="G81" t="str">
            <v>Italy</v>
          </cell>
          <cell r="H81" t="str">
            <v>Unit Linked</v>
          </cell>
          <cell r="I81" t="str">
            <v>Asset Allocation</v>
          </cell>
          <cell r="J81" t="str">
            <v>Aggressive</v>
          </cell>
          <cell r="K81" t="str">
            <v>Salvatore Buono</v>
          </cell>
          <cell r="L81" t="str">
            <v>MQ103682</v>
          </cell>
          <cell r="M81" t="e">
            <v>#N/A</v>
          </cell>
        </row>
        <row r="82">
          <cell r="A82" t="str">
            <v>ULACCO</v>
          </cell>
          <cell r="B82" t="str">
            <v>From Risk - Fund Responsibility - Model Portfolios</v>
          </cell>
          <cell r="C82" t="str">
            <v>Yes</v>
          </cell>
          <cell r="D82" t="str">
            <v>Unit Linked Multi Equity Accumulation</v>
          </cell>
          <cell r="E82" t="str">
            <v>AMUNDI SGR</v>
          </cell>
          <cell r="F82" t="str">
            <v>PIM LTD</v>
          </cell>
          <cell r="G82" t="str">
            <v>Italy</v>
          </cell>
          <cell r="H82" t="str">
            <v>Unit linked</v>
          </cell>
          <cell r="I82" t="str">
            <v>Asset Allocation</v>
          </cell>
          <cell r="J82" t="str">
            <v>Other</v>
          </cell>
          <cell r="K82" t="str">
            <v>Bertrand Paquot</v>
          </cell>
          <cell r="L82" t="str">
            <v>A507097</v>
          </cell>
          <cell r="M82" t="e">
            <v>#N/A</v>
          </cell>
        </row>
        <row r="83">
          <cell r="A83" t="str">
            <v>ULBER-</v>
          </cell>
          <cell r="B83" t="str">
            <v>From Risk - Fund Responsibility - Model Portfolios</v>
          </cell>
          <cell r="C83" t="str">
            <v>Yes</v>
          </cell>
          <cell r="D83" t="str">
            <v>UL_Bilanciata_+ERGO</v>
          </cell>
          <cell r="E83" t="str">
            <v>AMUNDI SGR</v>
          </cell>
          <cell r="F83" t="str">
            <v>PIM LTD</v>
          </cell>
          <cell r="G83" t="str">
            <v>Italy</v>
          </cell>
          <cell r="H83" t="str">
            <v>Segregate Account</v>
          </cell>
          <cell r="I83" t="e">
            <v>#N/A</v>
          </cell>
          <cell r="J83" t="e">
            <v>#N/A</v>
          </cell>
          <cell r="K83" t="str">
            <v>PierPaolo Paparo</v>
          </cell>
          <cell r="L83" t="str">
            <v>MQ103810</v>
          </cell>
          <cell r="M83" t="e">
            <v>#N/A</v>
          </cell>
        </row>
        <row r="84">
          <cell r="A84" t="str">
            <v>ULBIL</v>
          </cell>
          <cell r="B84" t="str">
            <v>From Risk - Fund Responsibility - Model Portfolios</v>
          </cell>
          <cell r="C84" t="str">
            <v>Yes</v>
          </cell>
          <cell r="D84" t="str">
            <v>UL Bilanciata</v>
          </cell>
          <cell r="E84" t="str">
            <v>AMUNDI SGR</v>
          </cell>
          <cell r="F84" t="str">
            <v>PIM LTD</v>
          </cell>
          <cell r="G84" t="str">
            <v>Italy</v>
          </cell>
          <cell r="H84" t="str">
            <v xml:space="preserve">Unit Linked </v>
          </cell>
          <cell r="I84" t="str">
            <v>Asset Allocation</v>
          </cell>
          <cell r="J84" t="str">
            <v>Moderate</v>
          </cell>
          <cell r="K84" t="str">
            <v>PierPaolo Paparo</v>
          </cell>
          <cell r="L84" t="str">
            <v>MQ102215</v>
          </cell>
          <cell r="M84" t="e">
            <v>#N/A</v>
          </cell>
        </row>
        <row r="85">
          <cell r="A85" t="str">
            <v>ULBILPIU</v>
          </cell>
          <cell r="B85" t="str">
            <v>From Risk - Fund Responsibility - Model Portfolios</v>
          </cell>
          <cell r="C85" t="str">
            <v>Yes</v>
          </cell>
          <cell r="D85" t="str">
            <v>Unidiamond + Bilanciata +</v>
          </cell>
          <cell r="E85" t="str">
            <v>AMUNDI SGR</v>
          </cell>
          <cell r="F85" t="str">
            <v>PIM LTD</v>
          </cell>
          <cell r="G85" t="str">
            <v>Italy</v>
          </cell>
          <cell r="H85" t="str">
            <v>Unit Linked</v>
          </cell>
          <cell r="I85" t="str">
            <v>Asset Allocation</v>
          </cell>
          <cell r="J85" t="str">
            <v>Aggressive</v>
          </cell>
          <cell r="K85" t="str">
            <v>Bertrand Paquot</v>
          </cell>
          <cell r="L85" t="str">
            <v>MQ102217</v>
          </cell>
          <cell r="M85" t="e">
            <v>#N/A</v>
          </cell>
        </row>
        <row r="86">
          <cell r="A86" t="str">
            <v>ULDER</v>
          </cell>
          <cell r="B86" t="str">
            <v>From Risk - Fund Responsibility - Model Portfolios</v>
          </cell>
          <cell r="C86" t="str">
            <v>Yes</v>
          </cell>
          <cell r="D86" t="str">
            <v>UL_Dinamica ERGO</v>
          </cell>
          <cell r="E86" t="str">
            <v>AMUNDI SGR</v>
          </cell>
          <cell r="F86" t="str">
            <v>PIM LTD</v>
          </cell>
          <cell r="G86" t="str">
            <v>Italy</v>
          </cell>
          <cell r="H86" t="str">
            <v>Segregate Account</v>
          </cell>
          <cell r="I86" t="e">
            <v>#N/A</v>
          </cell>
          <cell r="J86" t="e">
            <v>#N/A</v>
          </cell>
          <cell r="K86" t="str">
            <v>PierPaolo Paparo</v>
          </cell>
          <cell r="L86" t="str">
            <v>MQ103811</v>
          </cell>
          <cell r="M86" t="e">
            <v>#N/A</v>
          </cell>
        </row>
        <row r="87">
          <cell r="A87" t="str">
            <v>ULDIAM1-M</v>
          </cell>
          <cell r="B87" t="str">
            <v>From Risk - Fund Responsibility - Model Portfolios</v>
          </cell>
          <cell r="C87" t="str">
            <v>Yes</v>
          </cell>
          <cell r="D87" t="str">
            <v>UL Diamond 1</v>
          </cell>
          <cell r="E87" t="str">
            <v>AMUNDI SGR</v>
          </cell>
          <cell r="F87" t="str">
            <v>PIM LTD</v>
          </cell>
          <cell r="G87" t="str">
            <v>Italy</v>
          </cell>
          <cell r="H87" t="str">
            <v>Unit Linked</v>
          </cell>
          <cell r="I87" t="e">
            <v>#N/A</v>
          </cell>
          <cell r="J87" t="e">
            <v>#N/A</v>
          </cell>
          <cell r="K87" t="str">
            <v>Pierpaolo Paparo</v>
          </cell>
          <cell r="L87" t="str">
            <v>A545074</v>
          </cell>
          <cell r="M87" t="e">
            <v>#N/A</v>
          </cell>
        </row>
        <row r="88">
          <cell r="A88" t="str">
            <v>ULDIN</v>
          </cell>
          <cell r="B88" t="str">
            <v>From Risk - Fund Responsibility - Model Portfolios</v>
          </cell>
          <cell r="C88" t="str">
            <v>Yes</v>
          </cell>
          <cell r="D88" t="str">
            <v>Unidiamond + Dinamica</v>
          </cell>
          <cell r="E88" t="str">
            <v>AMUNDI SGR</v>
          </cell>
          <cell r="F88" t="str">
            <v>PIM LTD</v>
          </cell>
          <cell r="G88" t="str">
            <v>Italy</v>
          </cell>
          <cell r="H88" t="str">
            <v>Unit Linked</v>
          </cell>
          <cell r="I88" t="str">
            <v>Asset Allocation</v>
          </cell>
          <cell r="J88" t="str">
            <v>Aggressive</v>
          </cell>
          <cell r="K88" t="str">
            <v>PierPaolo Paparo</v>
          </cell>
          <cell r="L88" t="str">
            <v>MQ102219</v>
          </cell>
          <cell r="M88" t="e">
            <v>#N/A</v>
          </cell>
        </row>
        <row r="89">
          <cell r="A89" t="str">
            <v>ULG4NEW</v>
          </cell>
          <cell r="B89" t="str">
            <v>From Risk - Fund Responsibility - Model Portfolios</v>
          </cell>
          <cell r="C89" t="str">
            <v>Yes</v>
          </cell>
          <cell r="D89" t="str">
            <v>Unit Linked G4 new</v>
          </cell>
          <cell r="E89" t="str">
            <v>AMUNDI SGR</v>
          </cell>
          <cell r="F89" t="str">
            <v>PIM LTD</v>
          </cell>
          <cell r="G89" t="str">
            <v>Italy</v>
          </cell>
          <cell r="H89" t="str">
            <v>Unit Linked</v>
          </cell>
          <cell r="I89" t="str">
            <v>Asset Allocation</v>
          </cell>
          <cell r="J89" t="str">
            <v>Moderate</v>
          </cell>
          <cell r="K89" t="str">
            <v>Bertrand Paquot</v>
          </cell>
          <cell r="L89" t="str">
            <v>MQ100413</v>
          </cell>
          <cell r="M89" t="e">
            <v>#N/A</v>
          </cell>
        </row>
        <row r="90">
          <cell r="A90" t="str">
            <v>ULP</v>
          </cell>
          <cell r="B90" t="str">
            <v>From Risk - Fund Responsibility - Model Portfolios</v>
          </cell>
          <cell r="C90" t="str">
            <v>Yes</v>
          </cell>
          <cell r="D90" t="str">
            <v>Unidiamond + Prudente</v>
          </cell>
          <cell r="E90" t="str">
            <v>AMUNDI SGR</v>
          </cell>
          <cell r="F90" t="str">
            <v>PIM LTD</v>
          </cell>
          <cell r="G90" t="str">
            <v>Italy</v>
          </cell>
          <cell r="H90" t="str">
            <v xml:space="preserve">Unit Linked </v>
          </cell>
          <cell r="I90" t="str">
            <v>Asset Allocation</v>
          </cell>
          <cell r="J90" t="str">
            <v>Cautious</v>
          </cell>
          <cell r="K90" t="str">
            <v>PierPaolo Paparo</v>
          </cell>
          <cell r="L90" t="str">
            <v>MQ102211</v>
          </cell>
          <cell r="M90" t="e">
            <v>#N/A</v>
          </cell>
        </row>
        <row r="91">
          <cell r="A91" t="str">
            <v>ULPER</v>
          </cell>
          <cell r="B91" t="str">
            <v>From Risk - Fund Responsibility - Model Portfolios</v>
          </cell>
          <cell r="C91" t="str">
            <v>Yes</v>
          </cell>
          <cell r="D91" t="str">
            <v>UL_Prudente ERGO</v>
          </cell>
          <cell r="E91" t="str">
            <v>AMUNDI SGR</v>
          </cell>
          <cell r="F91" t="str">
            <v>PIM LTD</v>
          </cell>
          <cell r="G91" t="str">
            <v>Italy</v>
          </cell>
          <cell r="H91" t="str">
            <v>Segregate Account</v>
          </cell>
          <cell r="I91" t="e">
            <v>#N/A</v>
          </cell>
          <cell r="J91" t="e">
            <v>#N/A</v>
          </cell>
          <cell r="K91" t="str">
            <v>PierPaolo Paparo</v>
          </cell>
          <cell r="L91" t="str">
            <v>MQ103808</v>
          </cell>
          <cell r="M91" t="e">
            <v>#N/A</v>
          </cell>
        </row>
        <row r="92">
          <cell r="A92" t="str">
            <v>ULP-ER</v>
          </cell>
          <cell r="B92" t="str">
            <v>From Risk - Fund Responsibility - Model Portfolios</v>
          </cell>
          <cell r="C92" t="str">
            <v>Yes</v>
          </cell>
          <cell r="D92" t="str">
            <v>UL_Prudente_+ ERGO</v>
          </cell>
          <cell r="E92" t="str">
            <v>AMUNDI SGR</v>
          </cell>
          <cell r="F92" t="str">
            <v>PIM LTD</v>
          </cell>
          <cell r="G92" t="str">
            <v>Italy</v>
          </cell>
          <cell r="H92" t="str">
            <v>Segregate Account</v>
          </cell>
          <cell r="I92" t="e">
            <v>#N/A</v>
          </cell>
          <cell r="J92" t="e">
            <v>#N/A</v>
          </cell>
          <cell r="K92" t="str">
            <v>PierPaolo Paparo</v>
          </cell>
          <cell r="L92" t="str">
            <v>MQ103809</v>
          </cell>
          <cell r="M92" t="e">
            <v>#N/A</v>
          </cell>
        </row>
        <row r="93">
          <cell r="A93" t="str">
            <v>ULPRUD</v>
          </cell>
          <cell r="B93" t="str">
            <v>From Risk - Fund Responsibility - Model Portfolios</v>
          </cell>
          <cell r="C93" t="str">
            <v>Yes</v>
          </cell>
          <cell r="D93" t="str">
            <v>Unidiamond + Prudente +</v>
          </cell>
          <cell r="E93" t="str">
            <v>AMUNDI SGR</v>
          </cell>
          <cell r="F93" t="str">
            <v>PIM LTD</v>
          </cell>
          <cell r="G93" t="str">
            <v>Italy</v>
          </cell>
          <cell r="H93" t="str">
            <v xml:space="preserve">Unit Linked </v>
          </cell>
          <cell r="I93" t="str">
            <v>Asset Allocation</v>
          </cell>
          <cell r="J93" t="str">
            <v>Moderate</v>
          </cell>
          <cell r="K93" t="str">
            <v>PierPaolo Paparo</v>
          </cell>
          <cell r="L93" t="str">
            <v>MQ102213</v>
          </cell>
          <cell r="M93" t="e">
            <v>#N/A</v>
          </cell>
        </row>
        <row r="94">
          <cell r="A94" t="str">
            <v>BBMAR</v>
          </cell>
          <cell r="B94" t="str">
            <v>From Risk - Fund Responsibility - Model Portfolios</v>
          </cell>
          <cell r="C94" t="e">
            <v>#N/A</v>
          </cell>
          <cell r="D94" t="str">
            <v>BB Multi Absolute Return</v>
          </cell>
          <cell r="E94" t="str">
            <v>AMUNDI SGR</v>
          </cell>
          <cell r="F94" t="str">
            <v>PIM LTD</v>
          </cell>
          <cell r="G94" t="str">
            <v>Italy</v>
          </cell>
          <cell r="H94" t="str">
            <v>BB Multiasset Fund Solutions - FOFs &amp; Segregated Accounts</v>
          </cell>
          <cell r="I94" t="e">
            <v>#N/A</v>
          </cell>
          <cell r="J94" t="e">
            <v>#N/A</v>
          </cell>
          <cell r="K94" t="str">
            <v>Alan Butterly</v>
          </cell>
          <cell r="L94" t="str">
            <v>MQ104032</v>
          </cell>
          <cell r="M94" t="e">
            <v>#N/A</v>
          </cell>
        </row>
        <row r="95">
          <cell r="A95" t="str">
            <v>BBMEELC</v>
          </cell>
          <cell r="B95" t="str">
            <v>From Risk - Fund Responsibility - Model Portfolios</v>
          </cell>
          <cell r="C95" t="e">
            <v>#N/A</v>
          </cell>
          <cell r="D95" t="str">
            <v>BB Multi Equity Europe LC</v>
          </cell>
          <cell r="E95" t="str">
            <v>AMUNDI SGR</v>
          </cell>
          <cell r="F95" t="str">
            <v>PIM LTD</v>
          </cell>
          <cell r="G95" t="str">
            <v>Italy</v>
          </cell>
          <cell r="H95" t="str">
            <v>BB Multiasset Fund Solutions - FOFs &amp; Segregated Accounts</v>
          </cell>
          <cell r="I95" t="e">
            <v>#N/A</v>
          </cell>
          <cell r="J95" t="e">
            <v>#N/A</v>
          </cell>
          <cell r="K95" t="str">
            <v>Gary Moglione</v>
          </cell>
          <cell r="L95" t="str">
            <v>MQ103566</v>
          </cell>
          <cell r="M95" t="e">
            <v>#N/A</v>
          </cell>
        </row>
        <row r="96">
          <cell r="A96" t="str">
            <v>BBMEGLC</v>
          </cell>
          <cell r="B96" t="str">
            <v>From Risk - Fund Responsibility - Model Portfolios</v>
          </cell>
          <cell r="C96" t="e">
            <v>#N/A</v>
          </cell>
          <cell r="D96" t="str">
            <v>BB Multi Equity Global LC</v>
          </cell>
          <cell r="E96" t="str">
            <v>AMUNDI SGR</v>
          </cell>
          <cell r="F96" t="str">
            <v>PIM LTD</v>
          </cell>
          <cell r="G96" t="str">
            <v>Italy</v>
          </cell>
          <cell r="H96" t="str">
            <v>BB Multiasset Fund Solutions - FOFs &amp; Segregated Accounts</v>
          </cell>
          <cell r="I96" t="e">
            <v>#N/A</v>
          </cell>
          <cell r="J96" t="e">
            <v>#N/A</v>
          </cell>
          <cell r="K96" t="str">
            <v>Gillian Jones</v>
          </cell>
          <cell r="L96" t="str">
            <v>MQ103571</v>
          </cell>
          <cell r="M96" t="e">
            <v>#N/A</v>
          </cell>
        </row>
        <row r="97">
          <cell r="A97" t="str">
            <v>BBMEJLC</v>
          </cell>
          <cell r="B97" t="str">
            <v>From Risk - Fund Responsibility - Model Portfolios</v>
          </cell>
          <cell r="C97" t="e">
            <v>#N/A</v>
          </cell>
          <cell r="D97" t="str">
            <v>BB Multi Equity Japan LC</v>
          </cell>
          <cell r="E97" t="str">
            <v>AMUNDI SGR</v>
          </cell>
          <cell r="F97" t="str">
            <v>PIM LTD</v>
          </cell>
          <cell r="G97" t="str">
            <v>Italy</v>
          </cell>
          <cell r="H97" t="str">
            <v>BB Multiasset Fund Solutions - FOFs &amp; Segregated Accounts</v>
          </cell>
          <cell r="I97" t="e">
            <v>#N/A</v>
          </cell>
          <cell r="J97" t="e">
            <v>#N/A</v>
          </cell>
          <cell r="K97" t="str">
            <v>Paul Weber</v>
          </cell>
          <cell r="L97" t="str">
            <v>MQ103568</v>
          </cell>
          <cell r="M97" t="e">
            <v>#N/A</v>
          </cell>
        </row>
        <row r="98">
          <cell r="A98" t="str">
            <v>BBMEPXJLC</v>
          </cell>
          <cell r="B98" t="str">
            <v>From Risk - Fund Responsibility - Model Portfolios</v>
          </cell>
          <cell r="C98" t="e">
            <v>#N/A</v>
          </cell>
          <cell r="D98" t="str">
            <v>BB Multi Equity AC Pacific x Jap</v>
          </cell>
          <cell r="E98" t="str">
            <v>AMUNDI SGR</v>
          </cell>
          <cell r="F98" t="str">
            <v>PIM LTD</v>
          </cell>
          <cell r="G98" t="str">
            <v>Italy</v>
          </cell>
          <cell r="H98" t="str">
            <v>BB Multiasset Fund Solutions - FOFs &amp; Segregated Accounts</v>
          </cell>
          <cell r="I98" t="e">
            <v>#N/A</v>
          </cell>
          <cell r="J98" t="e">
            <v>#N/A</v>
          </cell>
          <cell r="K98" t="str">
            <v>Gary Moglione</v>
          </cell>
          <cell r="L98" t="str">
            <v>MQ103569</v>
          </cell>
          <cell r="M98" t="e">
            <v>#N/A</v>
          </cell>
        </row>
        <row r="99">
          <cell r="A99" t="str">
            <v>BBMEUSLC</v>
          </cell>
          <cell r="B99" t="str">
            <v>From Risk - Fund Responsibility - Model Portfolios</v>
          </cell>
          <cell r="C99" t="e">
            <v>#N/A</v>
          </cell>
          <cell r="D99" t="str">
            <v>BB Multi Equity US LC</v>
          </cell>
          <cell r="E99" t="str">
            <v>AMUNDI SGR</v>
          </cell>
          <cell r="F99" t="str">
            <v>PIM LTD</v>
          </cell>
          <cell r="G99" t="str">
            <v>Italy</v>
          </cell>
          <cell r="H99" t="str">
            <v>BB Multiasset Fund Solutions - FOFs &amp; Segregated Accounts</v>
          </cell>
          <cell r="I99" t="e">
            <v>#N/A</v>
          </cell>
          <cell r="J99" t="e">
            <v>#N/A</v>
          </cell>
          <cell r="K99" t="str">
            <v>Frank Gans</v>
          </cell>
          <cell r="L99" t="str">
            <v>MQ103567</v>
          </cell>
          <cell r="M99" t="e">
            <v>#N/A</v>
          </cell>
        </row>
        <row r="100">
          <cell r="A100" t="str">
            <v>BBMOBEC</v>
          </cell>
          <cell r="B100" t="str">
            <v>From Risk - Fund Responsibility - Model Portfolios</v>
          </cell>
          <cell r="C100" t="e">
            <v>#N/A</v>
          </cell>
          <cell r="D100" t="str">
            <v>BB Mono Absolute Return</v>
          </cell>
          <cell r="E100" t="str">
            <v>AMUNDI SGR</v>
          </cell>
          <cell r="F100" t="str">
            <v>PIM LTD</v>
          </cell>
          <cell r="G100" t="str">
            <v>Italy</v>
          </cell>
          <cell r="H100" t="str">
            <v>BB Multiasset Fund Solutions - FOFs &amp; Segregated Accounts</v>
          </cell>
          <cell r="I100" t="e">
            <v>#N/A</v>
          </cell>
          <cell r="J100" t="e">
            <v>#N/A</v>
          </cell>
          <cell r="K100" t="str">
            <v>Alan Butterly</v>
          </cell>
          <cell r="L100" t="str">
            <v>MQ103606</v>
          </cell>
          <cell r="M100" t="e">
            <v>#N/A</v>
          </cell>
        </row>
        <row r="101">
          <cell r="A101" t="str">
            <v>BBMOEELC</v>
          </cell>
          <cell r="B101" t="str">
            <v>From Risk - Fund Responsibility - Model Portfolios</v>
          </cell>
          <cell r="C101" t="e">
            <v>#N/A</v>
          </cell>
          <cell r="D101" t="str">
            <v>BB Mono Equity Europe LC</v>
          </cell>
          <cell r="E101" t="str">
            <v>AMUNDI SGR</v>
          </cell>
          <cell r="F101" t="str">
            <v>PIM LTD</v>
          </cell>
          <cell r="G101" t="str">
            <v>Italy</v>
          </cell>
          <cell r="H101" t="str">
            <v>BB Multiasset Fund Solutions - FOFs &amp; Segregated Accounts</v>
          </cell>
          <cell r="I101" t="e">
            <v>#N/A</v>
          </cell>
          <cell r="J101" t="e">
            <v>#N/A</v>
          </cell>
          <cell r="K101" t="str">
            <v>Gary Moglione</v>
          </cell>
          <cell r="L101" t="str">
            <v>MQ103592</v>
          </cell>
          <cell r="M101" t="e">
            <v>#N/A</v>
          </cell>
        </row>
        <row r="102">
          <cell r="A102" t="str">
            <v>BBMOEUSLC</v>
          </cell>
          <cell r="B102" t="str">
            <v>From Risk - Fund Responsibility - Model Portfolios</v>
          </cell>
          <cell r="C102" t="e">
            <v>#N/A</v>
          </cell>
          <cell r="D102" t="str">
            <v>BB Mono Equity US LC</v>
          </cell>
          <cell r="E102" t="str">
            <v>AMUNDI SGR</v>
          </cell>
          <cell r="F102" t="str">
            <v>PIM LTD</v>
          </cell>
          <cell r="G102" t="str">
            <v>Italy</v>
          </cell>
          <cell r="H102" t="str">
            <v>BB Multiasset Fund Solutions - FOFs &amp; Segregated Accounts</v>
          </cell>
          <cell r="I102" t="e">
            <v>#N/A</v>
          </cell>
          <cell r="J102" t="e">
            <v>#N/A</v>
          </cell>
          <cell r="K102" t="str">
            <v>Frank Gans</v>
          </cell>
          <cell r="L102" t="str">
            <v>MQ103594</v>
          </cell>
          <cell r="M102" t="e">
            <v>#N/A</v>
          </cell>
        </row>
        <row r="103">
          <cell r="A103" t="str">
            <v>BBMOULBEC</v>
          </cell>
          <cell r="B103" t="str">
            <v>From Risk - Fund Responsibility - Model Portfolios</v>
          </cell>
          <cell r="C103" t="e">
            <v>#N/A</v>
          </cell>
          <cell r="D103" t="str">
            <v>BB Mono UL Absolute Return</v>
          </cell>
          <cell r="E103" t="str">
            <v>AMUNDI SGR</v>
          </cell>
          <cell r="F103" t="str">
            <v>PIM LTD</v>
          </cell>
          <cell r="G103" t="str">
            <v>Italy</v>
          </cell>
          <cell r="H103" t="str">
            <v>BB Multiasset Fund Solutions - FOFs &amp; Segregated Accounts</v>
          </cell>
          <cell r="I103" t="e">
            <v>#N/A</v>
          </cell>
          <cell r="J103" t="e">
            <v>#N/A</v>
          </cell>
          <cell r="K103" t="str">
            <v>Alan Butterly</v>
          </cell>
          <cell r="L103" t="str">
            <v>MQ103620</v>
          </cell>
          <cell r="M103" t="e">
            <v>#N/A</v>
          </cell>
        </row>
        <row r="104">
          <cell r="A104" t="str">
            <v>BBMOULEELC</v>
          </cell>
          <cell r="B104" t="str">
            <v>From Risk - Fund Responsibility - Model Portfolios</v>
          </cell>
          <cell r="C104" t="e">
            <v>#N/A</v>
          </cell>
          <cell r="D104" t="str">
            <v>BB Mono UL Equity Europe LC</v>
          </cell>
          <cell r="E104" t="str">
            <v>AMUNDI SGR</v>
          </cell>
          <cell r="F104" t="str">
            <v>PIM LTD</v>
          </cell>
          <cell r="G104" t="str">
            <v>Italy</v>
          </cell>
          <cell r="H104" t="str">
            <v>BB Multiasset Fund Solutions - FOFs &amp; Segregated Accounts</v>
          </cell>
          <cell r="I104" t="e">
            <v>#N/A</v>
          </cell>
          <cell r="J104" t="e">
            <v>#N/A</v>
          </cell>
          <cell r="K104" t="str">
            <v>Gary Moglione</v>
          </cell>
          <cell r="L104" t="str">
            <v>MQ103608</v>
          </cell>
          <cell r="M104" t="e">
            <v>#N/A</v>
          </cell>
        </row>
        <row r="105">
          <cell r="A105" t="str">
            <v>BBMOULEUSL</v>
          </cell>
          <cell r="B105" t="str">
            <v>From Risk - Fund Responsibility - Model Portfolios</v>
          </cell>
          <cell r="C105" t="e">
            <v>#N/A</v>
          </cell>
          <cell r="D105" t="str">
            <v>BB Mono UL Equity US LC</v>
          </cell>
          <cell r="E105" t="str">
            <v>AMUNDI SGR</v>
          </cell>
          <cell r="F105" t="str">
            <v>PIM LTD</v>
          </cell>
          <cell r="G105" t="str">
            <v>Italy</v>
          </cell>
          <cell r="H105" t="str">
            <v>BB Multiasset Fund Solutions - FOFs &amp; Segregated Accounts</v>
          </cell>
          <cell r="I105" t="e">
            <v>#N/A</v>
          </cell>
          <cell r="J105" t="e">
            <v>#N/A</v>
          </cell>
          <cell r="K105" t="str">
            <v>Frank Gans</v>
          </cell>
          <cell r="L105" t="str">
            <v>MQ103610</v>
          </cell>
          <cell r="M105" t="e">
            <v>#N/A</v>
          </cell>
        </row>
        <row r="106">
          <cell r="A106" t="str">
            <v>BBMUARB</v>
          </cell>
          <cell r="B106" t="str">
            <v>From Risk - Fund Responsibility - Model Portfolios</v>
          </cell>
          <cell r="C106" t="e">
            <v>#N/A</v>
          </cell>
          <cell r="D106" t="str">
            <v>BB Multi UL Abs Return Bond</v>
          </cell>
          <cell r="E106" t="str">
            <v>AMUNDI SGR</v>
          </cell>
          <cell r="F106" t="str">
            <v>PIM LTD</v>
          </cell>
          <cell r="G106" t="str">
            <v>Italy</v>
          </cell>
          <cell r="H106" t="str">
            <v>BB Multiasset Fund Solutions - FOFs &amp; Segregated Accounts</v>
          </cell>
          <cell r="I106" t="e">
            <v>#N/A</v>
          </cell>
          <cell r="J106" t="e">
            <v>#N/A</v>
          </cell>
          <cell r="K106" t="str">
            <v>Alan Butterly</v>
          </cell>
          <cell r="L106" t="str">
            <v>A630078</v>
          </cell>
          <cell r="M106" t="e">
            <v>#N/A</v>
          </cell>
        </row>
        <row r="107">
          <cell r="A107" t="str">
            <v>BBMULAR</v>
          </cell>
          <cell r="B107" t="str">
            <v>From Risk - Fund Responsibility - Model Portfolios</v>
          </cell>
          <cell r="C107" t="e">
            <v>#N/A</v>
          </cell>
          <cell r="D107" t="str">
            <v>BB Multi UL Absolute Return</v>
          </cell>
          <cell r="E107" t="str">
            <v>AMUNDI SGR</v>
          </cell>
          <cell r="F107" t="str">
            <v>PIM LTD</v>
          </cell>
          <cell r="G107" t="str">
            <v>Italy</v>
          </cell>
          <cell r="H107" t="str">
            <v>BB Multiasset Fund Solutions - FOFs &amp; Segregated Accounts</v>
          </cell>
          <cell r="I107" t="e">
            <v>#N/A</v>
          </cell>
          <cell r="J107" t="e">
            <v>#N/A</v>
          </cell>
          <cell r="K107" t="str">
            <v>Alan Butterly</v>
          </cell>
          <cell r="L107" t="str">
            <v>MQ104033</v>
          </cell>
          <cell r="M107" t="e">
            <v>#N/A</v>
          </cell>
        </row>
        <row r="108">
          <cell r="A108" t="str">
            <v>BBMULEELC</v>
          </cell>
          <cell r="B108" t="str">
            <v>From Risk - Fund Responsibility - Model Portfolios</v>
          </cell>
          <cell r="C108" t="e">
            <v>#N/A</v>
          </cell>
          <cell r="D108" t="str">
            <v>BB Multi UL Equity Europe LC</v>
          </cell>
          <cell r="E108" t="str">
            <v>AMUNDI SGR</v>
          </cell>
          <cell r="F108" t="str">
            <v>PIM LTD</v>
          </cell>
          <cell r="G108" t="str">
            <v>Italy</v>
          </cell>
          <cell r="H108" t="str">
            <v>BB Multiasset Fund Solutions - FOFs &amp; Segregated Accounts</v>
          </cell>
          <cell r="I108" t="e">
            <v>#N/A</v>
          </cell>
          <cell r="J108" t="e">
            <v>#N/A</v>
          </cell>
          <cell r="K108" t="str">
            <v>Gary Moglione</v>
          </cell>
          <cell r="L108" t="str">
            <v>MQ103579</v>
          </cell>
          <cell r="M108" t="e">
            <v>#N/A</v>
          </cell>
        </row>
        <row r="109">
          <cell r="A109" t="str">
            <v>BBMULEUSLC</v>
          </cell>
          <cell r="B109" t="str">
            <v>From Risk - Fund Responsibility - Model Portfolios</v>
          </cell>
          <cell r="C109" t="e">
            <v>#N/A</v>
          </cell>
          <cell r="D109" t="str">
            <v>BB Multi UL Equity US LC</v>
          </cell>
          <cell r="E109" t="str">
            <v>AMUNDI SGR</v>
          </cell>
          <cell r="F109" t="str">
            <v>PIM LTD</v>
          </cell>
          <cell r="G109" t="str">
            <v>Italy</v>
          </cell>
          <cell r="H109" t="str">
            <v>BB Multiasset Fund Solutions - FOFs &amp; Segregated Accounts</v>
          </cell>
          <cell r="I109" t="e">
            <v>#N/A</v>
          </cell>
          <cell r="J109" t="e">
            <v>#N/A</v>
          </cell>
          <cell r="K109" t="str">
            <v>Frank Gans</v>
          </cell>
          <cell r="L109" t="str">
            <v>MQ103581</v>
          </cell>
          <cell r="M109" t="e">
            <v>#N/A</v>
          </cell>
        </row>
        <row r="110">
          <cell r="A110" t="str">
            <v>BBTSTPF1</v>
          </cell>
          <cell r="B110" t="str">
            <v>From Risk - Fund Responsibility - Model Portfolios</v>
          </cell>
          <cell r="C110" t="e">
            <v>#N/A</v>
          </cell>
          <cell r="D110" t="str">
            <v>BB Test Portfolio 1</v>
          </cell>
          <cell r="E110" t="str">
            <v>AMUNDI SGR</v>
          </cell>
          <cell r="F110" t="str">
            <v>PIM LTD</v>
          </cell>
          <cell r="G110" t="str">
            <v>Italy</v>
          </cell>
          <cell r="H110" t="str">
            <v>BB Multiasset Fund Solutions - FOFs &amp; Segregated Accounts</v>
          </cell>
          <cell r="I110" t="e">
            <v>#N/A</v>
          </cell>
          <cell r="J110" t="e">
            <v>#N/A</v>
          </cell>
          <cell r="K110" t="str">
            <v>O'TOOLE, JOHN</v>
          </cell>
          <cell r="L110" t="str">
            <v>A437071</v>
          </cell>
          <cell r="M110" t="e">
            <v>#N/A</v>
          </cell>
        </row>
        <row r="111">
          <cell r="A111" t="str">
            <v>MDIA3UL</v>
          </cell>
          <cell r="B111" t="str">
            <v>From Risk - Fund Responsibility - Model Portfolios</v>
          </cell>
          <cell r="C111" t="e">
            <v>#N/A</v>
          </cell>
          <cell r="D111" t="str">
            <v>Diamond 3 Unit Linked</v>
          </cell>
          <cell r="E111" t="str">
            <v>AMUNDI SGR</v>
          </cell>
          <cell r="F111" t="str">
            <v>PIM LTD</v>
          </cell>
          <cell r="G111" t="str">
            <v>Italy</v>
          </cell>
          <cell r="H111" t="str">
            <v>Unit Linked</v>
          </cell>
          <cell r="I111" t="str">
            <v>Equity</v>
          </cell>
          <cell r="J111" t="str">
            <v>Blend</v>
          </cell>
          <cell r="K111" t="str">
            <v>Gary Moglione</v>
          </cell>
          <cell r="L111" t="str">
            <v>MQ100097</v>
          </cell>
          <cell r="M111" t="e">
            <v>#N/A</v>
          </cell>
        </row>
        <row r="112">
          <cell r="A112" t="str">
            <v>MDIA4UL</v>
          </cell>
          <cell r="B112" t="str">
            <v>From Risk - Fund Responsibility - Model Portfolios</v>
          </cell>
          <cell r="C112" t="e">
            <v>#N/A</v>
          </cell>
          <cell r="D112" t="str">
            <v>Diamond 4 Unit Linked</v>
          </cell>
          <cell r="E112" t="str">
            <v>AMUNDI SGR</v>
          </cell>
          <cell r="F112" t="str">
            <v>PIM LTD</v>
          </cell>
          <cell r="G112" t="str">
            <v>Italy</v>
          </cell>
          <cell r="H112" t="str">
            <v>Unit Linked</v>
          </cell>
          <cell r="I112" t="str">
            <v>Equity</v>
          </cell>
          <cell r="J112" t="str">
            <v>Blend</v>
          </cell>
          <cell r="K112" t="str">
            <v>Frank Gans</v>
          </cell>
          <cell r="L112" t="str">
            <v>MQ100099</v>
          </cell>
          <cell r="M112" t="e">
            <v>#N/A</v>
          </cell>
        </row>
        <row r="113">
          <cell r="A113" t="str">
            <v>MEUPAMSF3</v>
          </cell>
          <cell r="B113" t="str">
            <v>From Risk - Fund Responsibility - Model Portfolios</v>
          </cell>
          <cell r="C113" t="str">
            <v>Yes</v>
          </cell>
          <cell r="D113" t="str">
            <v>UBP EURO SF 3</v>
          </cell>
          <cell r="E113" t="str">
            <v>AMUNDI SGR</v>
          </cell>
          <cell r="F113" t="str">
            <v>PIM LTD</v>
          </cell>
          <cell r="G113" t="str">
            <v>Italy</v>
          </cell>
          <cell r="H113" t="str">
            <v>Segregate Account</v>
          </cell>
          <cell r="I113" t="str">
            <v>Asset Allocation</v>
          </cell>
          <cell r="J113" t="str">
            <v>Cautious</v>
          </cell>
          <cell r="K113" t="str">
            <v>PierPaolo Paparo</v>
          </cell>
          <cell r="L113" t="str">
            <v>MQ100439</v>
          </cell>
          <cell r="M113" t="e">
            <v>#N/A</v>
          </cell>
        </row>
        <row r="114">
          <cell r="A114" t="str">
            <v>PLAP</v>
          </cell>
          <cell r="B114" t="str">
            <v>From Risk - Fund Responsibility - Model Portfolios</v>
          </cell>
          <cell r="C114" t="e">
            <v>#N/A</v>
          </cell>
          <cell r="D114" t="str">
            <v>Univalore E Azionario Pacifico</v>
          </cell>
          <cell r="E114" t="str">
            <v>AMUNDI SGR</v>
          </cell>
          <cell r="F114" t="str">
            <v>PIM LTD</v>
          </cell>
          <cell r="G114" t="str">
            <v>Italy</v>
          </cell>
          <cell r="H114" t="str">
            <v>Unit Linked</v>
          </cell>
          <cell r="I114" t="str">
            <v>Equity</v>
          </cell>
          <cell r="J114" t="str">
            <v>Blend</v>
          </cell>
          <cell r="K114" t="str">
            <v>Frank Gans</v>
          </cell>
          <cell r="L114" t="str">
            <v>MQ102862</v>
          </cell>
          <cell r="M114" t="e">
            <v>#N/A</v>
          </cell>
        </row>
        <row r="115">
          <cell r="A115" t="str">
            <v>PPIAZECEM</v>
          </cell>
          <cell r="B115" t="str">
            <v>From Risk - Fund Responsibility - Model Portfolios</v>
          </cell>
          <cell r="C115" t="e">
            <v>#N/A</v>
          </cell>
          <cell r="D115" t="str">
            <v>PPI Azionaria Economie Emergenti</v>
          </cell>
          <cell r="E115" t="str">
            <v>AMUNDI SGR</v>
          </cell>
          <cell r="F115" t="str">
            <v>PIM LTD</v>
          </cell>
          <cell r="G115" t="str">
            <v>Italy</v>
          </cell>
          <cell r="H115" t="str">
            <v>Segregate Account</v>
          </cell>
          <cell r="I115" t="e">
            <v>#N/A</v>
          </cell>
          <cell r="J115" t="e">
            <v>#N/A</v>
          </cell>
          <cell r="K115" t="str">
            <v>Filippo Valvona</v>
          </cell>
          <cell r="L115" t="str">
            <v>MQ102977</v>
          </cell>
          <cell r="M115" t="e">
            <v>#N/A</v>
          </cell>
        </row>
        <row r="116">
          <cell r="A116" t="str">
            <v>PPIAZEURO</v>
          </cell>
          <cell r="B116" t="str">
            <v>From Risk - Fund Responsibility - Model Portfolios</v>
          </cell>
          <cell r="C116" t="e">
            <v>#N/A</v>
          </cell>
          <cell r="D116" t="str">
            <v>PPI Azionaria Europa</v>
          </cell>
          <cell r="E116" t="str">
            <v>AMUNDI SGR</v>
          </cell>
          <cell r="F116" t="str">
            <v>PIM LTD</v>
          </cell>
          <cell r="G116" t="str">
            <v>Italy</v>
          </cell>
          <cell r="H116" t="str">
            <v>Segregate Account</v>
          </cell>
          <cell r="I116" t="e">
            <v>#N/A</v>
          </cell>
          <cell r="J116" t="e">
            <v>#N/A</v>
          </cell>
          <cell r="K116" t="str">
            <v>Gary Moglione</v>
          </cell>
          <cell r="L116" t="str">
            <v>MQ102973</v>
          </cell>
          <cell r="M116" t="e">
            <v>#N/A</v>
          </cell>
        </row>
        <row r="117">
          <cell r="A117" t="str">
            <v>PPIAZINTER</v>
          </cell>
          <cell r="B117" t="str">
            <v>From Risk - Fund Responsibility - Model Portfolios</v>
          </cell>
          <cell r="C117" t="e">
            <v>#N/A</v>
          </cell>
          <cell r="D117" t="str">
            <v>PPI Azionaria Internazionale</v>
          </cell>
          <cell r="E117" t="str">
            <v>AMUNDI SGR</v>
          </cell>
          <cell r="F117" t="str">
            <v>PIM LTD</v>
          </cell>
          <cell r="G117" t="str">
            <v>Italy</v>
          </cell>
          <cell r="H117" t="str">
            <v>Segregate Account</v>
          </cell>
          <cell r="I117" t="e">
            <v>#N/A</v>
          </cell>
          <cell r="J117" t="e">
            <v>#N/A</v>
          </cell>
          <cell r="K117" t="str">
            <v>Frank Gans</v>
          </cell>
          <cell r="L117" t="str">
            <v>MQ102976</v>
          </cell>
          <cell r="M117" t="e">
            <v>#N/A</v>
          </cell>
        </row>
        <row r="118">
          <cell r="A118" t="str">
            <v>PPIAZNAM</v>
          </cell>
          <cell r="B118" t="str">
            <v>From Risk - Fund Responsibility - Model Portfolios</v>
          </cell>
          <cell r="C118" t="e">
            <v>#N/A</v>
          </cell>
          <cell r="D118" t="str">
            <v>PPI Azionaria Nord America</v>
          </cell>
          <cell r="E118" t="str">
            <v>AMUNDI SGR</v>
          </cell>
          <cell r="F118" t="str">
            <v>PIM LTD</v>
          </cell>
          <cell r="G118" t="str">
            <v>Italy</v>
          </cell>
          <cell r="H118" t="str">
            <v>Segregate Account</v>
          </cell>
          <cell r="I118" t="e">
            <v>#N/A</v>
          </cell>
          <cell r="J118" t="e">
            <v>#N/A</v>
          </cell>
          <cell r="K118" t="str">
            <v>Frank Gans</v>
          </cell>
          <cell r="L118" t="str">
            <v>MQ102975</v>
          </cell>
          <cell r="M118" t="e">
            <v>#N/A</v>
          </cell>
        </row>
        <row r="119">
          <cell r="A119" t="str">
            <v>PPIAZPACIF</v>
          </cell>
          <cell r="B119" t="str">
            <v>From Risk - Fund Responsibility - Model Portfolios</v>
          </cell>
          <cell r="C119" t="e">
            <v>#N/A</v>
          </cell>
          <cell r="D119" t="str">
            <v>PPI Azionaria Pacifico</v>
          </cell>
          <cell r="E119" t="str">
            <v>AMUNDI SGR</v>
          </cell>
          <cell r="F119" t="str">
            <v>PIM LTD</v>
          </cell>
          <cell r="G119" t="str">
            <v>Italy</v>
          </cell>
          <cell r="H119" t="str">
            <v>Segregate Account</v>
          </cell>
          <cell r="I119" t="e">
            <v>#N/A</v>
          </cell>
          <cell r="J119" t="e">
            <v>#N/A</v>
          </cell>
          <cell r="K119" t="str">
            <v>Gary Moglione</v>
          </cell>
          <cell r="L119" t="str">
            <v>MQ102974</v>
          </cell>
          <cell r="M119" t="e">
            <v>#N/A</v>
          </cell>
        </row>
        <row r="120">
          <cell r="A120" t="str">
            <v>PPIBONDEN</v>
          </cell>
          <cell r="B120" t="str">
            <v>From Risk - Fund Responsibility - Model Portfolios</v>
          </cell>
          <cell r="C120" t="e">
            <v>#N/A</v>
          </cell>
          <cell r="D120" t="str">
            <v>PPI Obbligazionaria Euro Corporate</v>
          </cell>
          <cell r="E120" t="str">
            <v>AMUNDI SGR</v>
          </cell>
          <cell r="F120" t="str">
            <v>PIM LTD</v>
          </cell>
          <cell r="G120" t="str">
            <v>Italy</v>
          </cell>
          <cell r="H120" t="str">
            <v>Segregate Account</v>
          </cell>
          <cell r="I120" t="e">
            <v>#N/A</v>
          </cell>
          <cell r="J120" t="e">
            <v>#N/A</v>
          </cell>
          <cell r="K120" t="str">
            <v>Barbara Costa</v>
          </cell>
          <cell r="L120" t="str">
            <v>MQ102970</v>
          </cell>
          <cell r="M120" t="e">
            <v>#N/A</v>
          </cell>
        </row>
        <row r="121">
          <cell r="A121" t="str">
            <v>PPIUSBOND</v>
          </cell>
          <cell r="B121" t="str">
            <v>From Risk - Fund Responsibility - Model Portfolios</v>
          </cell>
          <cell r="C121" t="e">
            <v>#N/A</v>
          </cell>
          <cell r="D121" t="str">
            <v>PPI Obbligazionaria Dollaro</v>
          </cell>
          <cell r="E121" t="str">
            <v>AMUNDI SGR</v>
          </cell>
          <cell r="F121" t="str">
            <v>PIM LTD</v>
          </cell>
          <cell r="G121" t="str">
            <v>Italy</v>
          </cell>
          <cell r="H121" t="str">
            <v>Segregate Account</v>
          </cell>
          <cell r="I121" t="e">
            <v>#N/A</v>
          </cell>
          <cell r="J121" t="e">
            <v>#N/A</v>
          </cell>
          <cell r="K121" t="str">
            <v>Flavia Bucci</v>
          </cell>
          <cell r="L121" t="str">
            <v>MQ102971</v>
          </cell>
          <cell r="M121" t="e">
            <v>#N/A</v>
          </cell>
        </row>
        <row r="122">
          <cell r="A122" t="str">
            <v>R2M</v>
          </cell>
          <cell r="B122" t="str">
            <v>From Risk - Fund Responsibility - Model Portfolios</v>
          </cell>
          <cell r="C122" t="str">
            <v>Yes</v>
          </cell>
          <cell r="D122" t="str">
            <v>CNP Linea Protetta Dinamica Plus</v>
          </cell>
          <cell r="E122" t="str">
            <v>AMUNDI SGR</v>
          </cell>
          <cell r="F122" t="str">
            <v>PIM LTD</v>
          </cell>
          <cell r="G122" t="str">
            <v>Italy</v>
          </cell>
          <cell r="H122" t="str">
            <v>Unit Linked</v>
          </cell>
          <cell r="I122" t="str">
            <v>Asset Allocation</v>
          </cell>
          <cell r="J122" t="str">
            <v>Aggressive</v>
          </cell>
          <cell r="K122" t="str">
            <v>Lorenzo Di Pietrantonio</v>
          </cell>
          <cell r="L122" t="str">
            <v>MQ103348</v>
          </cell>
          <cell r="M122" t="e">
            <v>#N/A</v>
          </cell>
        </row>
        <row r="123">
          <cell r="A123" t="str">
            <v>UDM10</v>
          </cell>
          <cell r="B123" t="str">
            <v>From Risk - Fund Responsibility - Model Portfolios</v>
          </cell>
          <cell r="C123" t="e">
            <v>#N/A</v>
          </cell>
          <cell r="D123" t="str">
            <v>UDM10 European Small Cap</v>
          </cell>
          <cell r="E123" t="str">
            <v>AMUNDI SGR</v>
          </cell>
          <cell r="F123" t="str">
            <v>PIM LTD</v>
          </cell>
          <cell r="G123" t="str">
            <v>Italy</v>
          </cell>
          <cell r="H123" t="str">
            <v>Unit Linked</v>
          </cell>
          <cell r="I123" t="str">
            <v>Equity</v>
          </cell>
          <cell r="J123" t="str">
            <v>Blend</v>
          </cell>
          <cell r="K123" t="str">
            <v>Paul Weber</v>
          </cell>
          <cell r="L123" t="str">
            <v>MQ100377</v>
          </cell>
          <cell r="M123" t="e">
            <v>#N/A</v>
          </cell>
        </row>
        <row r="124">
          <cell r="A124" t="str">
            <v>UDM5</v>
          </cell>
          <cell r="B124" t="str">
            <v>From Risk - Fund Responsibility - Model Portfolios</v>
          </cell>
          <cell r="C124" t="e">
            <v>#N/A</v>
          </cell>
          <cell r="D124" t="str">
            <v>Unidiamond + Azionaria Europa</v>
          </cell>
          <cell r="E124" t="str">
            <v>AMUNDI SGR</v>
          </cell>
          <cell r="F124" t="str">
            <v>PIM LTD</v>
          </cell>
          <cell r="G124" t="str">
            <v>Italy</v>
          </cell>
          <cell r="H124" t="str">
            <v>Unit Linked</v>
          </cell>
          <cell r="I124" t="str">
            <v>Equity</v>
          </cell>
          <cell r="J124" t="str">
            <v>Blend</v>
          </cell>
          <cell r="K124" t="str">
            <v>Gary Moglione</v>
          </cell>
          <cell r="L124" t="str">
            <v>MQ100385</v>
          </cell>
          <cell r="M124" t="e">
            <v>#N/A</v>
          </cell>
        </row>
        <row r="125">
          <cell r="A125" t="str">
            <v>UDM6</v>
          </cell>
          <cell r="B125" t="str">
            <v>From Risk - Fund Responsibility - Model Portfolios</v>
          </cell>
          <cell r="C125" t="e">
            <v>#N/A</v>
          </cell>
          <cell r="D125" t="str">
            <v>Unidiamond + Azionaria America</v>
          </cell>
          <cell r="E125" t="str">
            <v>AMUNDI SGR</v>
          </cell>
          <cell r="F125" t="str">
            <v>PIM LTD</v>
          </cell>
          <cell r="G125" t="str">
            <v>Italy</v>
          </cell>
          <cell r="H125" t="str">
            <v>Unit Linked</v>
          </cell>
          <cell r="I125" t="str">
            <v>Equity</v>
          </cell>
          <cell r="J125" t="str">
            <v>Blend</v>
          </cell>
          <cell r="K125" t="str">
            <v>Frank Gans</v>
          </cell>
          <cell r="L125" t="str">
            <v>MQ100387</v>
          </cell>
          <cell r="M125" t="e">
            <v>#N/A</v>
          </cell>
        </row>
        <row r="126">
          <cell r="A126" t="str">
            <v>UDM7</v>
          </cell>
          <cell r="B126" t="str">
            <v>From Risk - Fund Responsibility - Model Portfolios</v>
          </cell>
          <cell r="C126" t="e">
            <v>#N/A</v>
          </cell>
          <cell r="D126" t="str">
            <v>Life Program Azionario Pacifico</v>
          </cell>
          <cell r="E126" t="str">
            <v>AMUNDI SGR</v>
          </cell>
          <cell r="F126" t="str">
            <v>PIM LTD</v>
          </cell>
          <cell r="G126" t="str">
            <v>Italy</v>
          </cell>
          <cell r="H126" t="str">
            <v>Unit Linked</v>
          </cell>
          <cell r="I126" t="str">
            <v>Equity</v>
          </cell>
          <cell r="J126" t="str">
            <v>Blend</v>
          </cell>
          <cell r="K126" t="str">
            <v>Paul Weber</v>
          </cell>
          <cell r="L126" t="str">
            <v>MQ100389</v>
          </cell>
          <cell r="M126" t="e">
            <v>#N/A</v>
          </cell>
        </row>
        <row r="127">
          <cell r="A127" t="str">
            <v>UDM9</v>
          </cell>
          <cell r="B127" t="str">
            <v>From Risk - Fund Responsibility - Model Portfolios</v>
          </cell>
          <cell r="C127" t="e">
            <v>#N/A</v>
          </cell>
          <cell r="D127" t="str">
            <v>Unidiamond + Azionaria Intl</v>
          </cell>
          <cell r="E127" t="str">
            <v>AMUNDI SGR</v>
          </cell>
          <cell r="F127" t="str">
            <v>PIM LTD</v>
          </cell>
          <cell r="G127" t="str">
            <v>Italy</v>
          </cell>
          <cell r="H127" t="str">
            <v>Unit Linked</v>
          </cell>
          <cell r="I127" t="str">
            <v>Equity</v>
          </cell>
          <cell r="J127" t="str">
            <v>Blend</v>
          </cell>
          <cell r="K127" t="str">
            <v>Frank Gans</v>
          </cell>
          <cell r="L127" t="str">
            <v>MQ100393</v>
          </cell>
          <cell r="M127" t="e">
            <v>#N/A</v>
          </cell>
        </row>
        <row r="128">
          <cell r="A128" t="str">
            <v>UEAAL</v>
          </cell>
          <cell r="B128" t="str">
            <v>From Risk - Fund Responsibility - Model Portfolios</v>
          </cell>
          <cell r="C128" t="e">
            <v>#N/A</v>
          </cell>
          <cell r="D128" t="str">
            <v>Univalore E Azionario America Latina</v>
          </cell>
          <cell r="E128" t="str">
            <v>AMUNDI SGR</v>
          </cell>
          <cell r="F128" t="str">
            <v>PIM LTD</v>
          </cell>
          <cell r="G128" t="str">
            <v>Italy</v>
          </cell>
          <cell r="H128" t="str">
            <v>Unit Linked</v>
          </cell>
          <cell r="I128" t="str">
            <v>Equity</v>
          </cell>
          <cell r="J128" t="str">
            <v>Blend</v>
          </cell>
          <cell r="K128" t="str">
            <v>Filippo Valvona</v>
          </cell>
          <cell r="L128" t="str">
            <v>MQ103688</v>
          </cell>
          <cell r="M128" t="e">
            <v>#N/A</v>
          </cell>
        </row>
        <row r="129">
          <cell r="A129" t="str">
            <v>UEAC</v>
          </cell>
          <cell r="B129" t="str">
            <v>From Risk - Fund Responsibility - Model Portfolios</v>
          </cell>
          <cell r="C129" t="e">
            <v>#N/A</v>
          </cell>
          <cell r="D129" t="str">
            <v>Univalore E Azionario Cina</v>
          </cell>
          <cell r="E129" t="str">
            <v>AMUNDI SGR</v>
          </cell>
          <cell r="F129" t="str">
            <v>PIM LTD</v>
          </cell>
          <cell r="G129" t="str">
            <v>Italy</v>
          </cell>
          <cell r="H129" t="str">
            <v>Unit Linked</v>
          </cell>
          <cell r="I129" t="str">
            <v>Equity</v>
          </cell>
          <cell r="J129" t="str">
            <v>Blend</v>
          </cell>
          <cell r="K129" t="str">
            <v>Filippo Valvona</v>
          </cell>
          <cell r="L129" t="str">
            <v>MQ103691</v>
          </cell>
          <cell r="M129" t="e">
            <v>#N/A</v>
          </cell>
        </row>
        <row r="130">
          <cell r="A130" t="str">
            <v>UEAIN</v>
          </cell>
          <cell r="B130" t="str">
            <v>From Risk - Fund Responsibility - Model Portfolios</v>
          </cell>
          <cell r="C130" t="e">
            <v>#N/A</v>
          </cell>
          <cell r="D130" t="str">
            <v>Univalore E Azionario India</v>
          </cell>
          <cell r="E130" t="str">
            <v>AMUNDI SGR</v>
          </cell>
          <cell r="F130" t="str">
            <v>PIM LTD</v>
          </cell>
          <cell r="G130" t="str">
            <v>Italy</v>
          </cell>
          <cell r="H130" t="str">
            <v>Unit Linked</v>
          </cell>
          <cell r="I130" t="str">
            <v>Equity</v>
          </cell>
          <cell r="J130" t="str">
            <v>Blend</v>
          </cell>
          <cell r="K130" t="str">
            <v>Filippo Valvona</v>
          </cell>
          <cell r="L130" t="str">
            <v>MQ103690</v>
          </cell>
          <cell r="M130" t="e">
            <v>#N/A</v>
          </cell>
        </row>
        <row r="131">
          <cell r="A131" t="str">
            <v>UEEEM</v>
          </cell>
          <cell r="B131" t="str">
            <v>From Risk - Fund Responsibility - Model Portfolios</v>
          </cell>
          <cell r="C131" t="e">
            <v>#N/A</v>
          </cell>
          <cell r="D131" t="str">
            <v>Univalore E Azionario Emerg Eu e Med</v>
          </cell>
          <cell r="E131" t="str">
            <v>AMUNDI SGR</v>
          </cell>
          <cell r="F131" t="str">
            <v>PIM LTD</v>
          </cell>
          <cell r="G131" t="str">
            <v>Italy</v>
          </cell>
          <cell r="H131" t="str">
            <v>Unit Linked</v>
          </cell>
          <cell r="I131" t="str">
            <v>Equity</v>
          </cell>
          <cell r="J131" t="str">
            <v>Blend</v>
          </cell>
          <cell r="K131" t="str">
            <v>Filippo Valvona</v>
          </cell>
          <cell r="L131" t="str">
            <v>MQ103692</v>
          </cell>
          <cell r="M131" t="e">
            <v>#N/A</v>
          </cell>
        </row>
        <row r="132">
          <cell r="A132" t="str">
            <v>ULECSTARS</v>
          </cell>
          <cell r="B132" t="str">
            <v>From Risk - Fund Responsibility - Model Portfolios</v>
          </cell>
          <cell r="C132" t="e">
            <v>#N/A</v>
          </cell>
          <cell r="D132" t="str">
            <v>UL Global Equity Dividend &amp; Subordinated Credit</v>
          </cell>
          <cell r="E132" t="str">
            <v>AMUNDI SGR</v>
          </cell>
          <cell r="F132" t="str">
            <v>PIM LTD</v>
          </cell>
          <cell r="G132" t="str">
            <v>Italy</v>
          </cell>
          <cell r="H132" t="str">
            <v>Unit linked</v>
          </cell>
          <cell r="I132" t="str">
            <v>Asset Allocation</v>
          </cell>
          <cell r="J132" t="str">
            <v>Aggressive</v>
          </cell>
          <cell r="K132" t="str">
            <v>Barbara Costa</v>
          </cell>
          <cell r="L132" t="str">
            <v>A506074</v>
          </cell>
          <cell r="M132" t="e">
            <v>#N/A</v>
          </cell>
        </row>
        <row r="133">
          <cell r="A133" t="str">
            <v>AAPROT80</v>
          </cell>
          <cell r="B133" t="str">
            <v>From Risk - Fund Responsibility - Model Portfolios</v>
          </cell>
          <cell r="C133" t="str">
            <v>Yes</v>
          </cell>
          <cell r="D133" t="str">
            <v xml:space="preserve">Internal Insurance Fund (IIF) for AVIVA Insurance Company </v>
          </cell>
          <cell r="M133" t="e">
            <v>#N/A</v>
          </cell>
        </row>
        <row r="134">
          <cell r="A134" t="str">
            <v>PPIAZNAMHEDG</v>
          </cell>
          <cell r="B134" t="str">
            <v>From Risk - Fund Responsibility - Model Portfolios</v>
          </cell>
          <cell r="C134" t="e">
            <v>#N/A</v>
          </cell>
          <cell r="M134" t="str">
            <v>Cordusio</v>
          </cell>
        </row>
        <row r="135">
          <cell r="A135" t="str">
            <v>PPIAZJAP</v>
          </cell>
          <cell r="B135" t="str">
            <v>From Risk - Fund Responsibility - Model Portfolios</v>
          </cell>
          <cell r="C135" t="e">
            <v>#N/A</v>
          </cell>
          <cell r="M135" t="str">
            <v>Cordusio</v>
          </cell>
        </row>
        <row r="136">
          <cell r="A136" t="str">
            <v>PPIAZJAPHG</v>
          </cell>
          <cell r="B136" t="str">
            <v>From Risk - Fund Responsibility - Model Portfolios</v>
          </cell>
          <cell r="C136" t="e">
            <v>#N/A</v>
          </cell>
          <cell r="M136" t="str">
            <v>Cordusio</v>
          </cell>
        </row>
        <row r="137">
          <cell r="A137" t="str">
            <v>PPICOMMOD</v>
          </cell>
          <cell r="B137" t="str">
            <v>From Risk - Fund Responsibility - Model Portfolios</v>
          </cell>
          <cell r="C137" t="e">
            <v>#N/A</v>
          </cell>
          <cell r="M137" t="str">
            <v>Cordusio</v>
          </cell>
        </row>
        <row r="138">
          <cell r="A138" t="str">
            <v>PPIAZINTER</v>
          </cell>
          <cell r="B138" t="str">
            <v>From Risk - Fund Responsibility - Model Portfolios</v>
          </cell>
          <cell r="C138" t="e">
            <v>#N/A</v>
          </cell>
          <cell r="M138" t="str">
            <v>Cordusio</v>
          </cell>
        </row>
        <row r="139">
          <cell r="A139" t="str">
            <v>UDM1</v>
          </cell>
          <cell r="C139" t="e">
            <v>#N/A</v>
          </cell>
          <cell r="D139" t="str">
            <v>UDM1 Liquidity</v>
          </cell>
          <cell r="E139" t="str">
            <v>AMUNDI SGR</v>
          </cell>
          <cell r="F139" t="str">
            <v>PIM LTD</v>
          </cell>
          <cell r="G139" t="str">
            <v>Italy</v>
          </cell>
        </row>
        <row r="140">
          <cell r="A140" t="str">
            <v>MULTHEM</v>
          </cell>
          <cell r="N140" t="str">
            <v>Salva asked for this to be included - but was already on From Risk - Models Master - Sheet 1</v>
          </cell>
        </row>
        <row r="141">
          <cell r="A141" t="str">
            <v>DIOP 1 to 4</v>
          </cell>
          <cell r="N141" t="str">
            <v>Not on a list anywhwer e- but verbally included by Salva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M Breakdown"/>
      <sheetName val="Sheet1"/>
      <sheetName val="Desk mapping"/>
      <sheetName val="Pivot for Jun AUM"/>
      <sheetName val="Pivot for product numb and AUM"/>
      <sheetName val="Sheet5"/>
      <sheetName val="Total AUM"/>
      <sheetName val="Sheet8"/>
      <sheetName val="Total AUM Data"/>
      <sheetName val="Sheet3"/>
      <sheetName val="Sheet4"/>
      <sheetName val="UL - SA"/>
      <sheetName val="Craig List"/>
    </sheetNames>
    <sheetDataSet>
      <sheetData sheetId="0"/>
      <sheetData sheetId="1"/>
      <sheetData sheetId="2">
        <row r="4">
          <cell r="G4" t="str">
            <v>Product Code</v>
          </cell>
          <cell r="H4" t="str">
            <v>Models AUM - Desk Mapping</v>
          </cell>
          <cell r="I4" t="str">
            <v>Product Name</v>
          </cell>
          <cell r="J4" t="str">
            <v>Desk in Dublin</v>
          </cell>
          <cell r="K4" t="str">
            <v>Strategy Type</v>
          </cell>
          <cell r="L4" t="str">
            <v>Strategy Risk</v>
          </cell>
        </row>
        <row r="5">
          <cell r="G5" t="str">
            <v>1PM</v>
          </cell>
          <cell r="H5" t="str">
            <v>Models AUM - Desk Mapping</v>
          </cell>
          <cell r="I5" t="str">
            <v>CAM Ares Risparmio Attivo M</v>
          </cell>
          <cell r="J5" t="str">
            <v>PM</v>
          </cell>
          <cell r="K5" t="str">
            <v>Allocation Driven Strategies</v>
          </cell>
          <cell r="L5" t="str">
            <v>Growth</v>
          </cell>
        </row>
        <row r="6">
          <cell r="G6" t="str">
            <v>1QM</v>
          </cell>
          <cell r="H6" t="str">
            <v>Models AUM - Desk Mapping</v>
          </cell>
          <cell r="I6" t="str">
            <v>CAM Ares Risparmio Bilanciato M</v>
          </cell>
          <cell r="J6" t="str">
            <v>PM</v>
          </cell>
          <cell r="K6" t="str">
            <v>Allocation Driven Strategies</v>
          </cell>
          <cell r="L6" t="str">
            <v>Moderate</v>
          </cell>
        </row>
        <row r="7">
          <cell r="G7" t="str">
            <v>1RM</v>
          </cell>
          <cell r="H7" t="str">
            <v>Models AUM - Desk Mapping</v>
          </cell>
          <cell r="I7" t="str">
            <v>CAM Ares Risparmio Obbligaz. M</v>
          </cell>
          <cell r="J7" t="str">
            <v>PM</v>
          </cell>
          <cell r="K7" t="str">
            <v>Allocation Driven Strategies</v>
          </cell>
          <cell r="L7" t="str">
            <v>Conservative</v>
          </cell>
        </row>
        <row r="8">
          <cell r="G8" t="str">
            <v>2RDIN</v>
          </cell>
          <cell r="H8" t="str">
            <v>Models AUM - Desk Mapping</v>
          </cell>
          <cell r="I8" t="str">
            <v>HNW 2R DIN</v>
          </cell>
          <cell r="J8" t="str">
            <v>FS</v>
          </cell>
        </row>
        <row r="9">
          <cell r="G9" t="str">
            <v>2RSIC</v>
          </cell>
          <cell r="H9" t="str">
            <v>Models AUM - Desk Mapping</v>
          </cell>
          <cell r="I9" t="str">
            <v>HNW 2R SIC</v>
          </cell>
          <cell r="J9" t="str">
            <v>FS</v>
          </cell>
        </row>
        <row r="10">
          <cell r="G10" t="str">
            <v>2RTRAN</v>
          </cell>
          <cell r="H10" t="str">
            <v>Models AUM - Desk Mapping</v>
          </cell>
          <cell r="I10" t="str">
            <v>HNW 2R TRAN</v>
          </cell>
          <cell r="J10" t="str">
            <v>FS</v>
          </cell>
        </row>
        <row r="11">
          <cell r="G11" t="str">
            <v>AAPROT80</v>
          </cell>
          <cell r="H11" t="str">
            <v>Models AUM - Desk Mapping</v>
          </cell>
          <cell r="I11" t="str">
            <v>ASSET ALLOCATION MODEL PROTETTO 80</v>
          </cell>
          <cell r="J11" t="str">
            <v>PM</v>
          </cell>
          <cell r="K11" t="str">
            <v>Outcome Oriented Strategies</v>
          </cell>
          <cell r="L11" t="str">
            <v>Capital Guaranteed</v>
          </cell>
        </row>
        <row r="12">
          <cell r="G12" t="str">
            <v>ARSTARS</v>
          </cell>
          <cell r="H12" t="str">
            <v>Models AUM - Desk Mapping</v>
          </cell>
          <cell r="I12" t="str">
            <v>Absolute Return Stars</v>
          </cell>
          <cell r="J12" t="str">
            <v>Other Team</v>
          </cell>
        </row>
        <row r="13">
          <cell r="G13" t="str">
            <v>CCRESCITA</v>
          </cell>
          <cell r="H13" t="str">
            <v>Models AUM - Desk Mapping</v>
          </cell>
          <cell r="I13" t="str">
            <v>CAM CRESCITA</v>
          </cell>
          <cell r="J13" t="str">
            <v>PM</v>
          </cell>
          <cell r="K13" t="str">
            <v>Allocation Driven Strategies</v>
          </cell>
          <cell r="L13" t="str">
            <v>Growth</v>
          </cell>
        </row>
        <row r="14">
          <cell r="G14" t="str">
            <v>CMEDIUM</v>
          </cell>
          <cell r="H14" t="str">
            <v>Models AUM - Desk Mapping</v>
          </cell>
          <cell r="I14" t="str">
            <v>CAM MEDIUM</v>
          </cell>
          <cell r="J14" t="str">
            <v>PM</v>
          </cell>
          <cell r="K14" t="str">
            <v>Allocation Driven Strategies</v>
          </cell>
          <cell r="L14" t="str">
            <v>Moderate</v>
          </cell>
        </row>
        <row r="15">
          <cell r="G15" t="str">
            <v>CNPDYNPR80</v>
          </cell>
          <cell r="H15" t="str">
            <v>Models AUM - Desk Mapping</v>
          </cell>
          <cell r="I15" t="str">
            <v>CNP Dynamic Protection 80</v>
          </cell>
          <cell r="J15" t="str">
            <v>PM</v>
          </cell>
          <cell r="K15" t="str">
            <v>Outcome Oriented Strategies</v>
          </cell>
          <cell r="L15" t="str">
            <v>Capital Guaranteed</v>
          </cell>
        </row>
        <row r="16">
          <cell r="G16" t="str">
            <v>COBBLEURO</v>
          </cell>
          <cell r="H16" t="str">
            <v>Models AUM - Desk Mapping</v>
          </cell>
          <cell r="I16" t="str">
            <v>CAM OBBLIGAZIONARIA EURO</v>
          </cell>
          <cell r="J16" t="str">
            <v>PM</v>
          </cell>
          <cell r="K16" t="str">
            <v>Allocation Driven Strategies</v>
          </cell>
          <cell r="L16" t="str">
            <v>Conservative</v>
          </cell>
        </row>
        <row r="17">
          <cell r="G17" t="str">
            <v>CREDDITO</v>
          </cell>
          <cell r="H17" t="str">
            <v>Models AUM - Desk Mapping</v>
          </cell>
          <cell r="I17" t="str">
            <v>CAM REDDITO</v>
          </cell>
          <cell r="J17" t="str">
            <v>PM</v>
          </cell>
          <cell r="K17" t="str">
            <v>Allocation Driven Strategies</v>
          </cell>
          <cell r="L17" t="str">
            <v>Conservative</v>
          </cell>
        </row>
        <row r="18">
          <cell r="G18" t="str">
            <v>CRVDYNPR80</v>
          </cell>
          <cell r="H18" t="str">
            <v>Models AUM - Desk Mapping</v>
          </cell>
          <cell r="I18" t="str">
            <v>CRV Dynamic Protection 80</v>
          </cell>
          <cell r="J18" t="str">
            <v>PM</v>
          </cell>
          <cell r="K18" t="str">
            <v>Outcome Oriented Strategies</v>
          </cell>
          <cell r="L18" t="str">
            <v>Capital Guaranteed</v>
          </cell>
        </row>
        <row r="19">
          <cell r="G19" t="str">
            <v>CSVILUPPO</v>
          </cell>
          <cell r="H19" t="str">
            <v>Models AUM - Desk Mapping</v>
          </cell>
          <cell r="I19" t="str">
            <v>CAM SVILUPPO</v>
          </cell>
          <cell r="J19" t="str">
            <v>PM</v>
          </cell>
          <cell r="K19" t="str">
            <v>Allocation Driven Strategies</v>
          </cell>
          <cell r="L19" t="str">
            <v>Growth</v>
          </cell>
        </row>
        <row r="20">
          <cell r="G20" t="str">
            <v>CTREND_20</v>
          </cell>
          <cell r="H20" t="str">
            <v>Models AUM - Desk Mapping</v>
          </cell>
          <cell r="I20" t="str">
            <v>CAM TREND 20</v>
          </cell>
          <cell r="J20" t="str">
            <v>PM</v>
          </cell>
          <cell r="K20" t="str">
            <v>Allocation Driven Strategies</v>
          </cell>
          <cell r="L20" t="str">
            <v>Conservative</v>
          </cell>
        </row>
        <row r="21">
          <cell r="G21" t="str">
            <v>DINAR1TF</v>
          </cell>
          <cell r="H21" t="str">
            <v>Models AUM - Desk Mapping</v>
          </cell>
          <cell r="I21" t="str">
            <v>Uniflex Active 1</v>
          </cell>
          <cell r="J21" t="str">
            <v>PM</v>
          </cell>
          <cell r="K21" t="str">
            <v>Allocation Driven Strategies</v>
          </cell>
          <cell r="L21" t="str">
            <v>Moderate</v>
          </cell>
        </row>
        <row r="22">
          <cell r="G22" t="str">
            <v>DINAR2TF</v>
          </cell>
          <cell r="H22" t="str">
            <v>Models AUM - Desk Mapping</v>
          </cell>
          <cell r="I22" t="str">
            <v>Uniflex Active 2</v>
          </cell>
          <cell r="J22" t="str">
            <v>PM</v>
          </cell>
          <cell r="K22" t="str">
            <v>Allocation Driven Strategies</v>
          </cell>
          <cell r="L22" t="str">
            <v>Moderate</v>
          </cell>
        </row>
        <row r="23">
          <cell r="G23" t="str">
            <v>DINAR3TF</v>
          </cell>
          <cell r="H23" t="str">
            <v>Models AUM - Desk Mapping</v>
          </cell>
          <cell r="I23" t="str">
            <v>Uniflex Active 3</v>
          </cell>
          <cell r="J23" t="str">
            <v>PM</v>
          </cell>
          <cell r="K23" t="str">
            <v>Allocation Driven Strategies</v>
          </cell>
          <cell r="L23" t="str">
            <v>Moderate</v>
          </cell>
        </row>
        <row r="24">
          <cell r="G24" t="str">
            <v>INCSMRT</v>
          </cell>
          <cell r="H24" t="str">
            <v>Models AUM - Desk Mapping</v>
          </cell>
          <cell r="I24" t="str">
            <v>INCOME SMART</v>
          </cell>
          <cell r="J24" t="str">
            <v>Other Team</v>
          </cell>
        </row>
        <row r="25">
          <cell r="G25" t="str">
            <v>LINBIL</v>
          </cell>
          <cell r="H25" t="str">
            <v>Models AUM - Desk Mapping</v>
          </cell>
          <cell r="I25" t="str">
            <v>Linea Bilanciata</v>
          </cell>
          <cell r="J25" t="str">
            <v>Milan</v>
          </cell>
        </row>
        <row r="26">
          <cell r="G26" t="str">
            <v>LINBILPIU</v>
          </cell>
          <cell r="H26" t="str">
            <v>Models AUM - Desk Mapping</v>
          </cell>
          <cell r="I26" t="str">
            <v>Linea Bilanciata Piu</v>
          </cell>
          <cell r="J26" t="str">
            <v>Milan</v>
          </cell>
        </row>
        <row r="27">
          <cell r="G27" t="str">
            <v>LINCAUTA</v>
          </cell>
          <cell r="H27" t="str">
            <v>Models AUM - Desk Mapping</v>
          </cell>
          <cell r="I27" t="str">
            <v>Linea Cauta</v>
          </cell>
          <cell r="J27" t="str">
            <v>Milan</v>
          </cell>
        </row>
        <row r="28">
          <cell r="G28" t="str">
            <v>LINDIN</v>
          </cell>
          <cell r="H28" t="str">
            <v>Models AUM - Desk Mapping</v>
          </cell>
          <cell r="I28" t="str">
            <v>Linea Dinamica</v>
          </cell>
          <cell r="J28" t="str">
            <v>Milan</v>
          </cell>
        </row>
        <row r="29">
          <cell r="G29" t="str">
            <v>LINPRO</v>
          </cell>
          <cell r="H29" t="str">
            <v>Models AUM - Desk Mapping</v>
          </cell>
          <cell r="I29" t="str">
            <v>Linea Protetta</v>
          </cell>
          <cell r="J29" t="str">
            <v>Milan</v>
          </cell>
        </row>
        <row r="30">
          <cell r="G30" t="str">
            <v>LINPRUD</v>
          </cell>
          <cell r="H30" t="str">
            <v>Models AUM - Desk Mapping</v>
          </cell>
          <cell r="I30" t="str">
            <v>Linea Prudente</v>
          </cell>
          <cell r="J30" t="str">
            <v>Milan</v>
          </cell>
        </row>
        <row r="31">
          <cell r="G31" t="str">
            <v>LINPRUPIU</v>
          </cell>
          <cell r="H31" t="str">
            <v>Models AUM - Desk Mapping</v>
          </cell>
          <cell r="I31" t="str">
            <v>Linea Prudente Piu</v>
          </cell>
          <cell r="J31" t="str">
            <v>Milan</v>
          </cell>
        </row>
        <row r="32">
          <cell r="G32" t="str">
            <v>MAA</v>
          </cell>
          <cell r="H32" t="str">
            <v>Models AUM - Desk Mapping</v>
          </cell>
          <cell r="I32" t="str">
            <v>CAM Novembre</v>
          </cell>
          <cell r="J32" t="str">
            <v>PM</v>
          </cell>
          <cell r="K32" t="str">
            <v>Outcome Oriented Strategies</v>
          </cell>
          <cell r="L32" t="str">
            <v>Capital Protection</v>
          </cell>
        </row>
        <row r="33">
          <cell r="G33" t="str">
            <v>MAB</v>
          </cell>
          <cell r="H33" t="str">
            <v>Models AUM - Desk Mapping</v>
          </cell>
          <cell r="I33" t="str">
            <v>CAM Dicembre</v>
          </cell>
          <cell r="J33" t="str">
            <v>PM</v>
          </cell>
          <cell r="K33" t="str">
            <v>Outcome Oriented Strategies</v>
          </cell>
          <cell r="L33" t="str">
            <v>Capital Protection</v>
          </cell>
        </row>
        <row r="34">
          <cell r="G34" t="str">
            <v>MAC</v>
          </cell>
          <cell r="H34" t="str">
            <v>Models AUM - Desk Mapping</v>
          </cell>
          <cell r="I34" t="str">
            <v>CAM Gennaio</v>
          </cell>
          <cell r="J34" t="str">
            <v>PM</v>
          </cell>
          <cell r="K34" t="str">
            <v>Outcome Oriented Strategies</v>
          </cell>
          <cell r="L34" t="str">
            <v>Capital Protection</v>
          </cell>
        </row>
        <row r="35">
          <cell r="G35" t="str">
            <v>MAD</v>
          </cell>
          <cell r="H35" t="str">
            <v>Models AUM - Desk Mapping</v>
          </cell>
          <cell r="I35" t="str">
            <v>CAM Febbraio</v>
          </cell>
          <cell r="J35" t="str">
            <v>PM</v>
          </cell>
          <cell r="K35" t="str">
            <v>Outcome Oriented Strategies</v>
          </cell>
          <cell r="L35" t="str">
            <v>Capital Protection</v>
          </cell>
        </row>
        <row r="36">
          <cell r="G36" t="str">
            <v>MAE</v>
          </cell>
          <cell r="H36" t="str">
            <v>Models AUM - Desk Mapping</v>
          </cell>
          <cell r="I36" t="str">
            <v>CAM Marzo</v>
          </cell>
          <cell r="J36" t="str">
            <v>PM</v>
          </cell>
          <cell r="K36" t="str">
            <v>Outcome Oriented Strategies</v>
          </cell>
          <cell r="L36" t="str">
            <v>Capital Protection</v>
          </cell>
        </row>
        <row r="37">
          <cell r="G37" t="str">
            <v>MAF</v>
          </cell>
          <cell r="H37" t="str">
            <v>Models AUM - Desk Mapping</v>
          </cell>
          <cell r="I37" t="str">
            <v>CAM Aprile</v>
          </cell>
          <cell r="J37" t="str">
            <v>PM</v>
          </cell>
          <cell r="K37" t="str">
            <v>Outcome Oriented Strategies</v>
          </cell>
          <cell r="L37" t="str">
            <v>Capital Protection</v>
          </cell>
        </row>
        <row r="38">
          <cell r="G38" t="str">
            <v>MAG</v>
          </cell>
          <cell r="H38" t="str">
            <v>Models AUM - Desk Mapping</v>
          </cell>
          <cell r="I38" t="str">
            <v>CAM Maggio</v>
          </cell>
          <cell r="J38" t="str">
            <v>PM</v>
          </cell>
          <cell r="K38" t="str">
            <v>Outcome Oriented Strategies</v>
          </cell>
          <cell r="L38" t="str">
            <v>Capital Protection</v>
          </cell>
        </row>
        <row r="39">
          <cell r="G39" t="str">
            <v>MAH</v>
          </cell>
          <cell r="H39" t="str">
            <v>Models AUM - Desk Mapping</v>
          </cell>
          <cell r="I39" t="str">
            <v>CAM Giugno</v>
          </cell>
          <cell r="J39" t="str">
            <v>PM</v>
          </cell>
          <cell r="K39" t="str">
            <v>Outcome Oriented Strategies</v>
          </cell>
          <cell r="L39" t="str">
            <v>Capital Protection</v>
          </cell>
        </row>
        <row r="40">
          <cell r="G40" t="str">
            <v>MAI</v>
          </cell>
          <cell r="H40" t="str">
            <v>Models AUM - Desk Mapping</v>
          </cell>
          <cell r="I40" t="str">
            <v>CAM Luglio</v>
          </cell>
          <cell r="J40" t="str">
            <v>PM</v>
          </cell>
          <cell r="K40" t="str">
            <v>Outcome Oriented Strategies</v>
          </cell>
          <cell r="L40" t="str">
            <v>Capital Protection</v>
          </cell>
        </row>
        <row r="41">
          <cell r="G41" t="str">
            <v>MAL</v>
          </cell>
          <cell r="H41" t="str">
            <v>Models AUM - Desk Mapping</v>
          </cell>
          <cell r="I41" t="str">
            <v>CAM Agosto</v>
          </cell>
          <cell r="J41" t="str">
            <v>PM</v>
          </cell>
          <cell r="K41" t="str">
            <v>Outcome Oriented Strategies</v>
          </cell>
          <cell r="L41" t="str">
            <v>Capital Protection</v>
          </cell>
        </row>
        <row r="42">
          <cell r="G42" t="str">
            <v>MAM</v>
          </cell>
          <cell r="H42" t="str">
            <v>Models AUM - Desk Mapping</v>
          </cell>
          <cell r="I42" t="str">
            <v>CAM Setttembre</v>
          </cell>
          <cell r="J42" t="str">
            <v>PM</v>
          </cell>
          <cell r="K42" t="str">
            <v>Outcome Oriented Strategies</v>
          </cell>
          <cell r="L42" t="str">
            <v>Capital Protection</v>
          </cell>
        </row>
        <row r="43">
          <cell r="G43" t="str">
            <v>MAN</v>
          </cell>
          <cell r="H43" t="str">
            <v>Models AUM - Desk Mapping</v>
          </cell>
          <cell r="I43" t="str">
            <v>CAM Ottobre</v>
          </cell>
          <cell r="J43" t="str">
            <v>PM</v>
          </cell>
          <cell r="K43" t="str">
            <v>Outcome Oriented Strategies</v>
          </cell>
          <cell r="L43" t="str">
            <v>Capital Protection</v>
          </cell>
        </row>
        <row r="44">
          <cell r="G44" t="str">
            <v>MATRUNIP</v>
          </cell>
          <cell r="H44" t="str">
            <v>Models AUM - Desk Mapping</v>
          </cell>
          <cell r="I44" t="str">
            <v>Unit Linked A TR UNIPLAN</v>
          </cell>
          <cell r="J44" t="str">
            <v>PM</v>
          </cell>
          <cell r="K44" t="str">
            <v>Allocation Driven Strategies</v>
          </cell>
          <cell r="L44" t="str">
            <v>Flexible</v>
          </cell>
        </row>
        <row r="45">
          <cell r="G45" t="str">
            <v>MDIA2UL</v>
          </cell>
          <cell r="H45" t="str">
            <v>Models AUM - Desk Mapping</v>
          </cell>
          <cell r="I45" t="str">
            <v>Unit Linked Mono Bond Global</v>
          </cell>
          <cell r="J45" t="str">
            <v>FS</v>
          </cell>
        </row>
        <row r="46">
          <cell r="G46" t="str">
            <v>MDIA3UL</v>
          </cell>
          <cell r="H46" t="str">
            <v>Models AUM - Desk Mapping</v>
          </cell>
          <cell r="I46" t="str">
            <v>Unit Linked Mono Equity Europe</v>
          </cell>
          <cell r="J46" t="str">
            <v>FS</v>
          </cell>
        </row>
        <row r="47">
          <cell r="G47" t="str">
            <v>MDIA4UL</v>
          </cell>
          <cell r="H47" t="str">
            <v>Models AUM - Desk Mapping</v>
          </cell>
          <cell r="I47" t="str">
            <v>Unit Linked Mono Equity North America</v>
          </cell>
          <cell r="J47" t="str">
            <v>FS</v>
          </cell>
        </row>
        <row r="48">
          <cell r="G48" t="str">
            <v>MDINPIR</v>
          </cell>
          <cell r="H48" t="str">
            <v>Models AUM - Desk Mapping</v>
          </cell>
          <cell r="I48" t="str">
            <v>Dinamico PIR</v>
          </cell>
          <cell r="J48" t="str">
            <v>Other Team</v>
          </cell>
        </row>
        <row r="49">
          <cell r="G49" t="str">
            <v>MEBM</v>
          </cell>
          <cell r="H49" t="str">
            <v>Models AUM - Desk Mapping</v>
          </cell>
          <cell r="I49" t="str">
            <v>Euro Bond Model</v>
          </cell>
          <cell r="J49" t="str">
            <v>Other Team</v>
          </cell>
        </row>
        <row r="50">
          <cell r="G50" t="str">
            <v>MEPF10</v>
          </cell>
          <cell r="H50" t="str">
            <v>Models AUM - Desk Mapping</v>
          </cell>
          <cell r="I50" t="str">
            <v>Unit Linked G5 New</v>
          </cell>
          <cell r="J50" t="str">
            <v>PM</v>
          </cell>
          <cell r="K50" t="str">
            <v>Allocation Driven Strategies</v>
          </cell>
          <cell r="L50" t="str">
            <v>Growth</v>
          </cell>
        </row>
        <row r="51">
          <cell r="G51" t="str">
            <v>MEPF2N</v>
          </cell>
          <cell r="H51" t="str">
            <v>Models AUM - Desk Mapping</v>
          </cell>
          <cell r="I51" t="str">
            <v>Unit Linked E2 New</v>
          </cell>
          <cell r="J51" t="str">
            <v>PM</v>
          </cell>
          <cell r="K51" t="str">
            <v>Allocation Driven Strategies</v>
          </cell>
          <cell r="L51" t="str">
            <v>Conservative</v>
          </cell>
        </row>
        <row r="52">
          <cell r="G52" t="str">
            <v>MEPF4</v>
          </cell>
          <cell r="H52" t="str">
            <v>Models AUM - Desk Mapping</v>
          </cell>
          <cell r="I52" t="str">
            <v>Unit Linked OLD 4</v>
          </cell>
          <cell r="J52" t="str">
            <v>PM</v>
          </cell>
          <cell r="K52" t="str">
            <v>Allocation Driven Strategies</v>
          </cell>
          <cell r="L52" t="str">
            <v>Conservative</v>
          </cell>
        </row>
        <row r="53">
          <cell r="G53" t="str">
            <v>MEPF5</v>
          </cell>
          <cell r="H53" t="str">
            <v>Models AUM - Desk Mapping</v>
          </cell>
          <cell r="I53" t="str">
            <v>Unit Linked E3 new</v>
          </cell>
          <cell r="J53" t="str">
            <v>PM</v>
          </cell>
          <cell r="K53" t="str">
            <v>Allocation Driven Strategies</v>
          </cell>
          <cell r="L53" t="str">
            <v>Conservative</v>
          </cell>
        </row>
        <row r="54">
          <cell r="G54" t="str">
            <v>MEPF6</v>
          </cell>
          <cell r="H54" t="str">
            <v>Models AUM - Desk Mapping</v>
          </cell>
          <cell r="I54" t="str">
            <v>Unit Linked E4 new</v>
          </cell>
          <cell r="J54" t="str">
            <v>PM</v>
          </cell>
          <cell r="K54" t="str">
            <v>Allocation Driven Strategies</v>
          </cell>
          <cell r="L54" t="str">
            <v>Moderate</v>
          </cell>
        </row>
        <row r="55">
          <cell r="G55" t="str">
            <v>MEPF8</v>
          </cell>
          <cell r="H55" t="str">
            <v>Models AUM - Desk Mapping</v>
          </cell>
          <cell r="I55" t="str">
            <v>Unit Linked E6 New</v>
          </cell>
          <cell r="J55" t="str">
            <v>PM</v>
          </cell>
          <cell r="K55" t="str">
            <v>Allocation Driven Strategies</v>
          </cell>
          <cell r="L55" t="str">
            <v>Growth</v>
          </cell>
        </row>
        <row r="56">
          <cell r="G56" t="str">
            <v>MEP-M</v>
          </cell>
          <cell r="H56" t="str">
            <v>Models AUM - Desk Mapping</v>
          </cell>
          <cell r="I56" t="str">
            <v>Europrofilo</v>
          </cell>
          <cell r="J56" t="str">
            <v>Other Team</v>
          </cell>
        </row>
        <row r="57">
          <cell r="G57" t="str">
            <v>MEUROC</v>
          </cell>
          <cell r="H57" t="str">
            <v>Models AUM - Desk Mapping</v>
          </cell>
          <cell r="I57" t="str">
            <v>EURO CASH</v>
          </cell>
          <cell r="J57" t="str">
            <v>Other Team</v>
          </cell>
        </row>
        <row r="58">
          <cell r="G58" t="str">
            <v>MLIFEBND</v>
          </cell>
          <cell r="H58" t="str">
            <v>Models AUM - Desk Mapping</v>
          </cell>
          <cell r="I58" t="str">
            <v>Life Program Bond</v>
          </cell>
          <cell r="J58" t="str">
            <v>PM</v>
          </cell>
          <cell r="K58" t="str">
            <v>Allocation Driven Strategies</v>
          </cell>
          <cell r="L58" t="str">
            <v>Conservative</v>
          </cell>
        </row>
        <row r="59">
          <cell r="G59" t="str">
            <v>MLINC</v>
          </cell>
          <cell r="H59" t="str">
            <v>Models AUM - Desk Mapping</v>
          </cell>
          <cell r="I59" t="str">
            <v>Unit Linked Life Income</v>
          </cell>
          <cell r="J59" t="str">
            <v>PM</v>
          </cell>
          <cell r="K59" t="str">
            <v>Outcome Oriented Strategies</v>
          </cell>
          <cell r="L59" t="str">
            <v>Income</v>
          </cell>
        </row>
        <row r="60">
          <cell r="G60" t="str">
            <v>MLPFLEX</v>
          </cell>
          <cell r="H60" t="str">
            <v>Models AUM - Desk Mapping</v>
          </cell>
          <cell r="I60" t="str">
            <v>Life Program Flexible</v>
          </cell>
          <cell r="J60" t="str">
            <v>PM</v>
          </cell>
          <cell r="K60" t="str">
            <v>Allocation Driven Strategies</v>
          </cell>
          <cell r="L60" t="str">
            <v>Flexible</v>
          </cell>
        </row>
        <row r="61">
          <cell r="G61" t="str">
            <v>MOEELC-M</v>
          </cell>
          <cell r="H61" t="str">
            <v>Models AUM - Desk Mapping</v>
          </cell>
          <cell r="I61" t="str">
            <v>PERS INVEST AZIONARIA</v>
          </cell>
          <cell r="J61" t="str">
            <v>PM</v>
          </cell>
          <cell r="K61" t="str">
            <v>Allocation Driven Strategies</v>
          </cell>
          <cell r="L61" t="str">
            <v>Growth</v>
          </cell>
        </row>
        <row r="62">
          <cell r="G62" t="str">
            <v>MPRUPIR</v>
          </cell>
          <cell r="H62" t="str">
            <v>Models AUM - Desk Mapping</v>
          </cell>
          <cell r="I62" t="str">
            <v>Prudente PIR</v>
          </cell>
          <cell r="J62" t="str">
            <v>Other Team</v>
          </cell>
        </row>
        <row r="63">
          <cell r="G63" t="str">
            <v>MULLI360</v>
          </cell>
          <cell r="H63" t="str">
            <v>Models AUM - Desk Mapping</v>
          </cell>
          <cell r="I63" t="str">
            <v>Unit Linked LIFE INCOME 360</v>
          </cell>
          <cell r="J63" t="str">
            <v>PM</v>
          </cell>
          <cell r="K63" t="str">
            <v>Outcome Oriented Strategies</v>
          </cell>
          <cell r="L63" t="str">
            <v>Income</v>
          </cell>
        </row>
        <row r="64">
          <cell r="G64" t="str">
            <v>MULSTEP</v>
          </cell>
          <cell r="H64" t="str">
            <v>Models AUM - Desk Mapping</v>
          </cell>
          <cell r="I64" t="str">
            <v>STEP CRESCITA</v>
          </cell>
          <cell r="J64" t="str">
            <v>PM</v>
          </cell>
          <cell r="K64" t="str">
            <v>Outcome Oriented Strategies</v>
          </cell>
          <cell r="L64" t="str">
            <v>Risk Accumulation</v>
          </cell>
        </row>
        <row r="65">
          <cell r="G65" t="str">
            <v>MULTHEM</v>
          </cell>
          <cell r="H65" t="str">
            <v>Models AUM - Desk Mapping</v>
          </cell>
          <cell r="I65" t="str">
            <v>Unit Linked Multi Thematic Equity</v>
          </cell>
          <cell r="J65" t="str">
            <v>PM</v>
          </cell>
          <cell r="K65" t="str">
            <v>Outcome Oriented Strategies</v>
          </cell>
          <cell r="L65" t="str">
            <v>Thematic</v>
          </cell>
        </row>
        <row r="66">
          <cell r="G66" t="str">
            <v>MUNIP</v>
          </cell>
          <cell r="H66" t="str">
            <v>Models AUM - Desk Mapping</v>
          </cell>
          <cell r="I66" t="str">
            <v>Unit Linked AMix UNIPLAN</v>
          </cell>
          <cell r="J66" t="str">
            <v>PM</v>
          </cell>
          <cell r="K66" t="str">
            <v>Allocation Driven Strategies</v>
          </cell>
          <cell r="L66" t="str">
            <v>Moderate</v>
          </cell>
        </row>
        <row r="67">
          <cell r="G67" t="str">
            <v>MUSE</v>
          </cell>
          <cell r="H67" t="str">
            <v>Models AUM - Desk Mapping</v>
          </cell>
          <cell r="I67" t="str">
            <v>Unit Linked Multi Bond Euro Government &amp; Corporate</v>
          </cell>
          <cell r="J67" t="str">
            <v>FS</v>
          </cell>
        </row>
        <row r="68">
          <cell r="G68" t="str">
            <v>MUSEST</v>
          </cell>
          <cell r="H68" t="str">
            <v>Models AUM - Desk Mapping</v>
          </cell>
          <cell r="I68" t="str">
            <v>Unit Linked Multi Bond Euro Short Term</v>
          </cell>
          <cell r="J68" t="str">
            <v>FS</v>
          </cell>
        </row>
        <row r="69">
          <cell r="G69" t="str">
            <v>MUSG</v>
          </cell>
          <cell r="H69" t="str">
            <v>Models AUM - Desk Mapping</v>
          </cell>
          <cell r="I69" t="str">
            <v>Unit Linked Multi Equity Global &amp; Emerging Market</v>
          </cell>
          <cell r="J69" t="str">
            <v>PM</v>
          </cell>
          <cell r="K69" t="str">
            <v>Outcome Oriented Strategies</v>
          </cell>
          <cell r="L69" t="str">
            <v>Thematic</v>
          </cell>
        </row>
        <row r="70">
          <cell r="G70" t="str">
            <v>MUSI</v>
          </cell>
          <cell r="H70" t="str">
            <v>Models AUM - Desk Mapping</v>
          </cell>
          <cell r="I70" t="str">
            <v>Univalore Stars Income</v>
          </cell>
          <cell r="J70" t="str">
            <v>PM</v>
          </cell>
          <cell r="K70" t="str">
            <v>Outcome Oriented Strategies</v>
          </cell>
          <cell r="L70" t="str">
            <v>Income</v>
          </cell>
        </row>
        <row r="71">
          <cell r="G71" t="str">
            <v>Not Available</v>
          </cell>
          <cell r="H71" t="str">
            <v>Models AUM - Desk Mapping</v>
          </cell>
          <cell r="I71" t="str">
            <v>NULL</v>
          </cell>
          <cell r="J71" t="str">
            <v>Other Team</v>
          </cell>
        </row>
        <row r="72">
          <cell r="G72" t="str">
            <v>NULL</v>
          </cell>
          <cell r="H72" t="str">
            <v>Models AUM - Desk Mapping</v>
          </cell>
          <cell r="I72" t="str">
            <v>NULL</v>
          </cell>
          <cell r="J72" t="str">
            <v>Other Team</v>
          </cell>
        </row>
        <row r="73">
          <cell r="G73" t="str">
            <v>PATRIMONIO</v>
          </cell>
          <cell r="H73" t="str">
            <v>Models AUM - Desk Mapping</v>
          </cell>
          <cell r="I73" t="str">
            <v>Patrimonio Stars</v>
          </cell>
          <cell r="J73" t="str">
            <v>Other Team</v>
          </cell>
        </row>
        <row r="74">
          <cell r="G74" t="str">
            <v>PLAP</v>
          </cell>
          <cell r="H74" t="str">
            <v>Models AUM - Desk Mapping</v>
          </cell>
          <cell r="I74" t="str">
            <v>Unit Linked Multi Equity AC Pacific</v>
          </cell>
          <cell r="J74" t="str">
            <v>FS</v>
          </cell>
        </row>
        <row r="75">
          <cell r="G75" t="str">
            <v>PLEBE</v>
          </cell>
          <cell r="H75" t="str">
            <v>Models AUM - Desk Mapping</v>
          </cell>
          <cell r="I75" t="str">
            <v>Unit Linked Multi Bond Euro Corporate</v>
          </cell>
          <cell r="J75" t="str">
            <v>FS</v>
          </cell>
        </row>
        <row r="76">
          <cell r="G76" t="str">
            <v>PLIC</v>
          </cell>
          <cell r="H76" t="str">
            <v>Models AUM - Desk Mapping</v>
          </cell>
          <cell r="I76" t="str">
            <v>PL Income Clock</v>
          </cell>
          <cell r="J76" t="str">
            <v>PM</v>
          </cell>
          <cell r="K76" t="str">
            <v>Allocation Driven Strategies</v>
          </cell>
          <cell r="L76" t="str">
            <v>Flexible</v>
          </cell>
        </row>
        <row r="77">
          <cell r="G77" t="str">
            <v>PLUSB</v>
          </cell>
          <cell r="H77" t="str">
            <v>Models AUM - Desk Mapping</v>
          </cell>
          <cell r="I77" t="str">
            <v>Unit Linked Multi Bond US</v>
          </cell>
          <cell r="J77" t="str">
            <v>FS</v>
          </cell>
        </row>
        <row r="78">
          <cell r="G78" t="str">
            <v>PP1-3Y</v>
          </cell>
          <cell r="H78" t="str">
            <v>Models AUM - Desk Mapping</v>
          </cell>
          <cell r="I78" t="str">
            <v>PL Euro Bond 1-3 years</v>
          </cell>
          <cell r="J78" t="str">
            <v>PM</v>
          </cell>
          <cell r="K78" t="str">
            <v>Allocation Driven Strategies</v>
          </cell>
          <cell r="L78" t="str">
            <v>Conservative</v>
          </cell>
        </row>
        <row r="79">
          <cell r="G79" t="str">
            <v>PP3Y</v>
          </cell>
          <cell r="H79" t="str">
            <v>Models AUM - Desk Mapping</v>
          </cell>
          <cell r="I79" t="str">
            <v>PL Euro Bond over 3 years</v>
          </cell>
          <cell r="J79" t="str">
            <v>PM</v>
          </cell>
          <cell r="K79" t="str">
            <v>Allocation Driven Strategies</v>
          </cell>
          <cell r="L79" t="str">
            <v>Conservative</v>
          </cell>
        </row>
        <row r="80">
          <cell r="G80" t="str">
            <v>PUPORTF20</v>
          </cell>
          <cell r="H80" t="str">
            <v>Models AUM - Desk Mapping</v>
          </cell>
          <cell r="I80" t="str">
            <v>PU PORTFOLIO 20</v>
          </cell>
          <cell r="J80" t="str">
            <v>Milan</v>
          </cell>
        </row>
        <row r="81">
          <cell r="G81" t="str">
            <v>PUPORTF30</v>
          </cell>
          <cell r="H81" t="str">
            <v>Models AUM - Desk Mapping</v>
          </cell>
          <cell r="I81" t="str">
            <v>PU PORTFOLIO 30</v>
          </cell>
          <cell r="J81" t="str">
            <v>Milan</v>
          </cell>
        </row>
        <row r="82">
          <cell r="G82" t="str">
            <v>PUPORTF40</v>
          </cell>
          <cell r="H82" t="str">
            <v>Models AUM - Desk Mapping</v>
          </cell>
          <cell r="I82" t="str">
            <v>PU PORTFOLIO 40</v>
          </cell>
          <cell r="J82" t="str">
            <v>Milan</v>
          </cell>
        </row>
        <row r="83">
          <cell r="G83" t="str">
            <v>PUPORTF50</v>
          </cell>
          <cell r="H83" t="str">
            <v>Models AUM - Desk Mapping</v>
          </cell>
          <cell r="I83" t="str">
            <v>PU PORTFOLIO 50</v>
          </cell>
          <cell r="J83" t="str">
            <v>Milan</v>
          </cell>
        </row>
        <row r="84">
          <cell r="G84" t="str">
            <v>PUPORTF70</v>
          </cell>
          <cell r="H84" t="str">
            <v>Models AUM - Desk Mapping</v>
          </cell>
          <cell r="I84" t="str">
            <v>PU PORTFOLIO 70</v>
          </cell>
          <cell r="J84" t="str">
            <v>Milan</v>
          </cell>
        </row>
        <row r="85">
          <cell r="G85" t="str">
            <v>R1M</v>
          </cell>
          <cell r="H85" t="str">
            <v>Models AUM - Desk Mapping</v>
          </cell>
          <cell r="I85" t="str">
            <v>CAM CNP - Linea  Dinamica</v>
          </cell>
          <cell r="J85" t="str">
            <v>PM</v>
          </cell>
          <cell r="K85" t="str">
            <v>Allocation Driven Strategies</v>
          </cell>
          <cell r="L85" t="str">
            <v>Growth</v>
          </cell>
        </row>
        <row r="86">
          <cell r="G86" t="str">
            <v>R2M</v>
          </cell>
          <cell r="H86" t="str">
            <v>Models AUM - Desk Mapping</v>
          </cell>
          <cell r="I86" t="str">
            <v>CAM CNP - Linea Dinamica Plus</v>
          </cell>
          <cell r="J86" t="str">
            <v>PM</v>
          </cell>
          <cell r="K86" t="str">
            <v>Allocation Driven Strategies</v>
          </cell>
          <cell r="L86" t="str">
            <v>Growth</v>
          </cell>
        </row>
        <row r="87">
          <cell r="G87" t="str">
            <v>SFI-MONE</v>
          </cell>
          <cell r="H87" t="str">
            <v>Models AUM - Desk Mapping</v>
          </cell>
          <cell r="I87" t="str">
            <v>PU PORTFOLIO CASH</v>
          </cell>
          <cell r="J87" t="str">
            <v>Other Team</v>
          </cell>
        </row>
        <row r="88">
          <cell r="H88" t="str">
            <v>Models AUM - Desk Mapping</v>
          </cell>
          <cell r="I88" t="str">
            <v>SFI+ Linea Monetaria</v>
          </cell>
          <cell r="J88" t="str">
            <v>Milan</v>
          </cell>
        </row>
        <row r="89">
          <cell r="G89" t="str">
            <v>SFI-PPIU-M</v>
          </cell>
          <cell r="H89" t="str">
            <v>Models AUM - Desk Mapping</v>
          </cell>
          <cell r="I89" t="str">
            <v>SFI+ Linea Prudente Piu</v>
          </cell>
          <cell r="J89" t="str">
            <v>Milan</v>
          </cell>
        </row>
        <row r="90">
          <cell r="G90" t="str">
            <v>SFI-PRUD-M</v>
          </cell>
          <cell r="H90" t="str">
            <v>Models AUM - Desk Mapping</v>
          </cell>
          <cell r="I90" t="str">
            <v>SFI+ Linea Prudente</v>
          </cell>
          <cell r="J90" t="str">
            <v>Milan</v>
          </cell>
        </row>
        <row r="91">
          <cell r="G91" t="str">
            <v>SFI-TR</v>
          </cell>
          <cell r="H91" t="str">
            <v>Models AUM - Desk Mapping</v>
          </cell>
          <cell r="I91" t="str">
            <v>SFI+ Linea Total Return</v>
          </cell>
          <cell r="J91" t="str">
            <v>Milan</v>
          </cell>
        </row>
        <row r="92">
          <cell r="G92" t="str">
            <v>STEPONE</v>
          </cell>
          <cell r="H92" t="str">
            <v>Models AUM - Desk Mapping</v>
          </cell>
          <cell r="I92" t="str">
            <v>CAM STEP ONE</v>
          </cell>
          <cell r="J92" t="str">
            <v>PM</v>
          </cell>
          <cell r="K92" t="str">
            <v>Allocation Driven Strategies</v>
          </cell>
          <cell r="L92" t="str">
            <v>Conservative</v>
          </cell>
        </row>
        <row r="93">
          <cell r="G93" t="str">
            <v>TG125</v>
          </cell>
          <cell r="H93" t="str">
            <v>Models AUM - Desk Mapping</v>
          </cell>
          <cell r="I93" t="str">
            <v>TARGET 125</v>
          </cell>
          <cell r="J93" t="str">
            <v>Other Team</v>
          </cell>
        </row>
        <row r="94">
          <cell r="G94" t="str">
            <v>TG250</v>
          </cell>
          <cell r="H94" t="str">
            <v>Models AUM - Desk Mapping</v>
          </cell>
          <cell r="I94" t="str">
            <v>TARGET 250</v>
          </cell>
          <cell r="J94" t="str">
            <v>Other Team</v>
          </cell>
        </row>
        <row r="95">
          <cell r="G95" t="str">
            <v>UDM1</v>
          </cell>
          <cell r="H95" t="str">
            <v>Models AUM - Desk Mapping</v>
          </cell>
          <cell r="I95" t="str">
            <v>Unit Linked Multi Money Market Euro</v>
          </cell>
          <cell r="J95" t="str">
            <v>FS</v>
          </cell>
        </row>
        <row r="96">
          <cell r="G96" t="str">
            <v>UDM10</v>
          </cell>
          <cell r="H96" t="str">
            <v>Models AUM - Desk Mapping</v>
          </cell>
          <cell r="I96" t="str">
            <v>Unit Linked Multi Equity Europe Small Cap</v>
          </cell>
          <cell r="J96" t="str">
            <v>FS</v>
          </cell>
        </row>
        <row r="97">
          <cell r="G97" t="str">
            <v>UDM2</v>
          </cell>
          <cell r="H97" t="str">
            <v>Models AUM - Desk Mapping</v>
          </cell>
          <cell r="I97" t="str">
            <v>Unit Linked Multi Bond Euro</v>
          </cell>
          <cell r="J97" t="str">
            <v>FS</v>
          </cell>
        </row>
        <row r="98">
          <cell r="G98" t="str">
            <v>UDM3</v>
          </cell>
          <cell r="H98" t="str">
            <v>Models AUM - Desk Mapping</v>
          </cell>
          <cell r="I98" t="str">
            <v>Unit Linked Multi Bond Global</v>
          </cell>
          <cell r="J98" t="str">
            <v>FS</v>
          </cell>
        </row>
        <row r="99">
          <cell r="G99" t="str">
            <v>UDM5</v>
          </cell>
          <cell r="H99" t="str">
            <v>Models AUM - Desk Mapping</v>
          </cell>
          <cell r="I99" t="str">
            <v>Unit Linked Multi Equity Europe</v>
          </cell>
          <cell r="J99" t="str">
            <v>FS</v>
          </cell>
        </row>
        <row r="100">
          <cell r="G100" t="str">
            <v>UDM6</v>
          </cell>
          <cell r="H100" t="str">
            <v>Models AUM - Desk Mapping</v>
          </cell>
          <cell r="I100" t="str">
            <v>Unit Linked Multi Equity North America</v>
          </cell>
          <cell r="J100" t="str">
            <v>FS</v>
          </cell>
        </row>
        <row r="101">
          <cell r="G101" t="str">
            <v>UDM7</v>
          </cell>
          <cell r="H101" t="str">
            <v>Models AUM - Desk Mapping</v>
          </cell>
          <cell r="I101" t="str">
            <v>Unit Linked Multi Equity Pacific</v>
          </cell>
          <cell r="J101" t="str">
            <v>FS</v>
          </cell>
        </row>
        <row r="102">
          <cell r="G102" t="str">
            <v>UDM8</v>
          </cell>
          <cell r="H102" t="str">
            <v>Models AUM - Desk Mapping</v>
          </cell>
          <cell r="I102" t="str">
            <v>Unit Linked Multi Equity Global Emerging Markets</v>
          </cell>
          <cell r="J102" t="str">
            <v>FS</v>
          </cell>
        </row>
        <row r="103">
          <cell r="G103" t="str">
            <v>UDM9</v>
          </cell>
          <cell r="H103" t="str">
            <v>Models AUM - Desk Mapping</v>
          </cell>
          <cell r="I103" t="str">
            <v>Unit Linked Multi Equity Global</v>
          </cell>
          <cell r="J103" t="str">
            <v>FS</v>
          </cell>
        </row>
        <row r="104">
          <cell r="G104" t="str">
            <v>UEAAL</v>
          </cell>
          <cell r="H104" t="str">
            <v>Models AUM - Desk Mapping</v>
          </cell>
          <cell r="I104" t="str">
            <v>Unit Linked Multi Equity Latin America</v>
          </cell>
          <cell r="J104" t="str">
            <v>FS</v>
          </cell>
        </row>
        <row r="105">
          <cell r="G105" t="str">
            <v>UEAC</v>
          </cell>
          <cell r="H105" t="str">
            <v>Models AUM - Desk Mapping</v>
          </cell>
          <cell r="I105" t="str">
            <v>Unit Linked Multi Equity Greater China</v>
          </cell>
          <cell r="J105" t="str">
            <v>FS</v>
          </cell>
        </row>
        <row r="106">
          <cell r="G106" t="str">
            <v>UEAIN</v>
          </cell>
          <cell r="H106" t="str">
            <v>Models AUM - Desk Mapping</v>
          </cell>
          <cell r="I106" t="str">
            <v>Unit Linked Multi Equity India</v>
          </cell>
          <cell r="J106" t="str">
            <v>FS</v>
          </cell>
        </row>
        <row r="107">
          <cell r="G107" t="str">
            <v>UEEEM</v>
          </cell>
          <cell r="H107" t="str">
            <v>Models AUM - Desk Mapping</v>
          </cell>
          <cell r="I107" t="str">
            <v>Unit Linked Multi Equity Emerging Europe</v>
          </cell>
          <cell r="J107" t="str">
            <v>FS</v>
          </cell>
        </row>
        <row r="108">
          <cell r="G108" t="str">
            <v>UES20</v>
          </cell>
          <cell r="H108" t="str">
            <v>Models AUM - Desk Mapping</v>
          </cell>
          <cell r="I108" t="str">
            <v>Univalore E Strategia 20</v>
          </cell>
          <cell r="J108" t="str">
            <v>PM</v>
          </cell>
          <cell r="K108" t="str">
            <v>Allocation Driven Strategies</v>
          </cell>
          <cell r="L108" t="str">
            <v>Flexible</v>
          </cell>
        </row>
        <row r="109">
          <cell r="G109" t="str">
            <v>UES30</v>
          </cell>
          <cell r="H109" t="str">
            <v>Models AUM - Desk Mapping</v>
          </cell>
          <cell r="I109" t="str">
            <v>Univalore E Strategia 30</v>
          </cell>
          <cell r="J109" t="str">
            <v>PM</v>
          </cell>
          <cell r="K109" t="str">
            <v>Allocation Driven Strategies</v>
          </cell>
          <cell r="L109" t="str">
            <v>Flexible</v>
          </cell>
        </row>
        <row r="110">
          <cell r="G110" t="str">
            <v>UES40</v>
          </cell>
          <cell r="H110" t="str">
            <v>Models AUM - Desk Mapping</v>
          </cell>
          <cell r="I110" t="str">
            <v>Univalore E Strategia 40</v>
          </cell>
          <cell r="J110" t="str">
            <v>PM</v>
          </cell>
          <cell r="K110" t="str">
            <v>Allocation Driven Strategies</v>
          </cell>
          <cell r="L110" t="str">
            <v>Flexible</v>
          </cell>
        </row>
        <row r="111">
          <cell r="G111" t="str">
            <v>UES50</v>
          </cell>
          <cell r="H111" t="str">
            <v>Models AUM - Desk Mapping</v>
          </cell>
          <cell r="I111" t="str">
            <v>Univalore E Strategia 50</v>
          </cell>
          <cell r="J111" t="str">
            <v>PM</v>
          </cell>
          <cell r="K111" t="str">
            <v>Allocation Driven Strategies</v>
          </cell>
          <cell r="L111" t="str">
            <v>Flexible</v>
          </cell>
        </row>
        <row r="112">
          <cell r="H112" t="str">
            <v>Models AUM - Desk Mapping</v>
          </cell>
          <cell r="I112" t="str">
            <v>Univalore Stars Balanced</v>
          </cell>
          <cell r="J112" t="str">
            <v>PM</v>
          </cell>
          <cell r="K112" t="str">
            <v>Allocation Driven Strategies</v>
          </cell>
          <cell r="L112" t="str">
            <v>Flexible</v>
          </cell>
        </row>
        <row r="113">
          <cell r="G113" t="str">
            <v>UES70</v>
          </cell>
          <cell r="H113" t="str">
            <v>Models AUM - Desk Mapping</v>
          </cell>
          <cell r="I113" t="str">
            <v>Univalore E Strategia 70</v>
          </cell>
          <cell r="J113" t="str">
            <v>PM</v>
          </cell>
          <cell r="K113" t="str">
            <v>Allocation Driven Strategies</v>
          </cell>
          <cell r="L113" t="str">
            <v>Flexible</v>
          </cell>
        </row>
        <row r="114">
          <cell r="G114" t="str">
            <v>ULACCO</v>
          </cell>
          <cell r="H114" t="str">
            <v>Models AUM - Desk Mapping</v>
          </cell>
          <cell r="I114" t="str">
            <v>Unit Linked Multi Equity Accumulation</v>
          </cell>
          <cell r="J114" t="str">
            <v>PM</v>
          </cell>
          <cell r="K114" t="str">
            <v>Outcome Oriented Strategies</v>
          </cell>
          <cell r="L114" t="str">
            <v>Risk Accumulation</v>
          </cell>
        </row>
        <row r="115">
          <cell r="G115" t="str">
            <v>ULBIL</v>
          </cell>
          <cell r="H115" t="str">
            <v>Models AUM - Desk Mapping</v>
          </cell>
          <cell r="I115" t="str">
            <v>UL Bilanciata</v>
          </cell>
          <cell r="J115" t="str">
            <v>PM</v>
          </cell>
          <cell r="K115" t="str">
            <v>Allocation Driven Strategies</v>
          </cell>
          <cell r="L115" t="str">
            <v>Moderate</v>
          </cell>
        </row>
        <row r="116">
          <cell r="G116" t="str">
            <v>ULBILPIU</v>
          </cell>
          <cell r="H116" t="str">
            <v>Models AUM - Desk Mapping</v>
          </cell>
          <cell r="I116" t="str">
            <v>UL Bilanciata Piu</v>
          </cell>
          <cell r="J116" t="str">
            <v>PM</v>
          </cell>
          <cell r="K116" t="str">
            <v>Allocation Driven Strategies</v>
          </cell>
          <cell r="L116" t="str">
            <v>Moderate</v>
          </cell>
        </row>
        <row r="117">
          <cell r="G117" t="str">
            <v>ULC</v>
          </cell>
          <cell r="H117" t="str">
            <v>Models AUM - Desk Mapping</v>
          </cell>
          <cell r="I117" t="str">
            <v>Diamond 1 Unit Linked</v>
          </cell>
          <cell r="J117" t="str">
            <v>PM</v>
          </cell>
          <cell r="K117" t="str">
            <v>Allocation Driven Strategies</v>
          </cell>
          <cell r="L117" t="str">
            <v>Conservative</v>
          </cell>
        </row>
        <row r="118">
          <cell r="H118" t="str">
            <v>Models AUM - Desk Mapping</v>
          </cell>
          <cell r="I118" t="str">
            <v>UL Cauta</v>
          </cell>
          <cell r="J118" t="str">
            <v>PM</v>
          </cell>
          <cell r="K118" t="str">
            <v>Allocation Driven Strategies</v>
          </cell>
          <cell r="L118" t="str">
            <v>Conservative</v>
          </cell>
        </row>
        <row r="119">
          <cell r="H119" t="str">
            <v>Models AUM - Desk Mapping</v>
          </cell>
          <cell r="I119" t="str">
            <v>Unit Linked OLD 2</v>
          </cell>
          <cell r="J119" t="str">
            <v>PM</v>
          </cell>
          <cell r="K119" t="str">
            <v>Allocation Driven Strategies</v>
          </cell>
          <cell r="L119" t="str">
            <v>Conservative</v>
          </cell>
        </row>
        <row r="120">
          <cell r="G120" t="str">
            <v>ULDIN</v>
          </cell>
          <cell r="H120" t="str">
            <v>Models AUM - Desk Mapping</v>
          </cell>
          <cell r="I120" t="str">
            <v>UL Dinamica</v>
          </cell>
          <cell r="J120" t="str">
            <v>PM</v>
          </cell>
          <cell r="K120" t="str">
            <v>Allocation Driven Strategies</v>
          </cell>
          <cell r="L120" t="str">
            <v>Growth</v>
          </cell>
        </row>
        <row r="121">
          <cell r="G121" t="str">
            <v>ULECSTARS</v>
          </cell>
          <cell r="H121" t="str">
            <v>Models AUM - Desk Mapping</v>
          </cell>
          <cell r="I121" t="str">
            <v>UL Global Equity Dividend &amp; Subordinated</v>
          </cell>
          <cell r="J121" t="str">
            <v>FS</v>
          </cell>
        </row>
        <row r="122">
          <cell r="G122" t="str">
            <v>ULG4NEW</v>
          </cell>
          <cell r="H122" t="str">
            <v>Models AUM - Desk Mapping</v>
          </cell>
          <cell r="I122" t="str">
            <v>Unit Linked G4 new</v>
          </cell>
          <cell r="J122" t="str">
            <v>PM</v>
          </cell>
          <cell r="K122" t="str">
            <v>Allocation Driven Strategies</v>
          </cell>
          <cell r="L122" t="str">
            <v>Growth</v>
          </cell>
        </row>
        <row r="123">
          <cell r="G123" t="str">
            <v>ULP</v>
          </cell>
          <cell r="H123" t="str">
            <v>Models AUM - Desk Mapping</v>
          </cell>
          <cell r="I123" t="str">
            <v>UL Prudente</v>
          </cell>
          <cell r="J123" t="str">
            <v>PM</v>
          </cell>
          <cell r="K123" t="str">
            <v>Allocation Driven Strategies</v>
          </cell>
          <cell r="L123" t="str">
            <v>Conservative</v>
          </cell>
        </row>
        <row r="124">
          <cell r="G124" t="str">
            <v>ULPRUD</v>
          </cell>
          <cell r="H124" t="str">
            <v>Models AUM - Desk Mapping</v>
          </cell>
          <cell r="I124" t="str">
            <v>UL Prudente Piu</v>
          </cell>
          <cell r="J124" t="str">
            <v>PM</v>
          </cell>
          <cell r="K124" t="str">
            <v>Allocation Driven Strategies</v>
          </cell>
          <cell r="L124" t="str">
            <v>Conservative</v>
          </cell>
        </row>
      </sheetData>
      <sheetData sheetId="3">
        <row r="5">
          <cell r="A5" t="str">
            <v>1PM</v>
          </cell>
          <cell r="B5">
            <v>357718345.82999992</v>
          </cell>
        </row>
        <row r="6">
          <cell r="A6" t="str">
            <v>1QM</v>
          </cell>
          <cell r="B6">
            <v>78184380.829999998</v>
          </cell>
        </row>
        <row r="7">
          <cell r="A7" t="str">
            <v>1RM</v>
          </cell>
          <cell r="B7">
            <v>47181688.869999997</v>
          </cell>
        </row>
        <row r="8">
          <cell r="A8" t="str">
            <v>2RDIN</v>
          </cell>
          <cell r="B8">
            <v>50953.67</v>
          </cell>
        </row>
        <row r="9">
          <cell r="A9" t="str">
            <v>2RSIC</v>
          </cell>
          <cell r="B9">
            <v>359568.51</v>
          </cell>
        </row>
        <row r="10">
          <cell r="A10" t="str">
            <v>2RTRAN</v>
          </cell>
          <cell r="B10">
            <v>176153.83</v>
          </cell>
        </row>
        <row r="11">
          <cell r="A11" t="str">
            <v>AAPROT80</v>
          </cell>
          <cell r="B11">
            <v>118367583.7</v>
          </cell>
        </row>
        <row r="12">
          <cell r="A12" t="str">
            <v>ARSTARS</v>
          </cell>
          <cell r="B12">
            <v>1215063407.2</v>
          </cell>
        </row>
        <row r="13">
          <cell r="A13" t="str">
            <v>CCRESCITA</v>
          </cell>
          <cell r="B13">
            <v>382748.87</v>
          </cell>
        </row>
        <row r="14">
          <cell r="A14" t="str">
            <v>CMEDIUM</v>
          </cell>
          <cell r="B14">
            <v>198740.85</v>
          </cell>
        </row>
        <row r="15">
          <cell r="A15" t="str">
            <v>CNPDYNPR80</v>
          </cell>
          <cell r="B15">
            <v>555499475</v>
          </cell>
        </row>
        <row r="16">
          <cell r="A16" t="str">
            <v>COBBLEURO</v>
          </cell>
          <cell r="B16">
            <v>2733.88</v>
          </cell>
        </row>
        <row r="17">
          <cell r="A17" t="str">
            <v>CREDDITO</v>
          </cell>
          <cell r="B17">
            <v>264785.28000000003</v>
          </cell>
        </row>
        <row r="18">
          <cell r="A18" t="str">
            <v>CRVDYNPR80</v>
          </cell>
          <cell r="B18">
            <v>1473182368</v>
          </cell>
        </row>
        <row r="19">
          <cell r="A19" t="str">
            <v>CSVILUPPO</v>
          </cell>
          <cell r="B19">
            <v>278071.7</v>
          </cell>
        </row>
        <row r="20">
          <cell r="A20" t="str">
            <v>CTREND_20</v>
          </cell>
          <cell r="B20">
            <v>23604.28</v>
          </cell>
        </row>
        <row r="21">
          <cell r="A21" t="str">
            <v>DINAR1TF</v>
          </cell>
          <cell r="B21">
            <v>4357706.5199999996</v>
          </cell>
        </row>
        <row r="22">
          <cell r="A22" t="str">
            <v>DINAR2TF</v>
          </cell>
          <cell r="B22">
            <v>22632578.93</v>
          </cell>
        </row>
        <row r="23">
          <cell r="A23" t="str">
            <v>DINAR3TF</v>
          </cell>
          <cell r="B23">
            <v>1278591.81</v>
          </cell>
        </row>
        <row r="24">
          <cell r="A24" t="str">
            <v>INCSMRT</v>
          </cell>
          <cell r="B24">
            <v>598074672.72000003</v>
          </cell>
        </row>
        <row r="25">
          <cell r="A25" t="str">
            <v>LINBIL</v>
          </cell>
          <cell r="B25">
            <v>18941565.859999999</v>
          </cell>
        </row>
        <row r="26">
          <cell r="A26" t="str">
            <v>LINBILPIU</v>
          </cell>
          <cell r="B26">
            <v>5320705.4399999995</v>
          </cell>
        </row>
        <row r="27">
          <cell r="A27" t="str">
            <v>LINCAUTA</v>
          </cell>
          <cell r="B27">
            <v>4215219.17</v>
          </cell>
        </row>
        <row r="28">
          <cell r="A28" t="str">
            <v>LINDIN</v>
          </cell>
          <cell r="B28">
            <v>11593478.170000002</v>
          </cell>
        </row>
        <row r="29">
          <cell r="A29" t="str">
            <v>LINPRO</v>
          </cell>
          <cell r="B29">
            <v>5105798.41</v>
          </cell>
        </row>
        <row r="30">
          <cell r="A30" t="str">
            <v>LINPRUD</v>
          </cell>
          <cell r="B30">
            <v>19170758.829999998</v>
          </cell>
        </row>
        <row r="31">
          <cell r="A31" t="str">
            <v>LINPRUPIU</v>
          </cell>
          <cell r="B31">
            <v>12517028.949999999</v>
          </cell>
        </row>
        <row r="32">
          <cell r="A32" t="str">
            <v>MAA</v>
          </cell>
          <cell r="B32">
            <v>400547.69</v>
          </cell>
        </row>
        <row r="33">
          <cell r="A33" t="str">
            <v>MAB</v>
          </cell>
          <cell r="B33">
            <v>6794661.9100000001</v>
          </cell>
        </row>
        <row r="34">
          <cell r="A34" t="str">
            <v>MAC</v>
          </cell>
          <cell r="B34">
            <v>272241.89</v>
          </cell>
        </row>
        <row r="35">
          <cell r="A35" t="str">
            <v>MAD</v>
          </cell>
          <cell r="B35">
            <v>579824.30000000005</v>
          </cell>
        </row>
        <row r="36">
          <cell r="A36" t="str">
            <v>MAE</v>
          </cell>
          <cell r="B36">
            <v>426483.1</v>
          </cell>
        </row>
        <row r="37">
          <cell r="A37" t="str">
            <v>MAF</v>
          </cell>
          <cell r="B37">
            <v>284429.76</v>
          </cell>
        </row>
        <row r="38">
          <cell r="A38" t="str">
            <v>MAG</v>
          </cell>
          <cell r="B38">
            <v>243761.66</v>
          </cell>
        </row>
        <row r="39">
          <cell r="A39" t="str">
            <v>MAH</v>
          </cell>
          <cell r="B39">
            <v>661657.84</v>
          </cell>
        </row>
        <row r="40">
          <cell r="A40" t="str">
            <v>MAI</v>
          </cell>
          <cell r="B40">
            <v>154548.78</v>
          </cell>
        </row>
        <row r="41">
          <cell r="A41" t="str">
            <v>MAL</v>
          </cell>
          <cell r="B41">
            <v>304476.61</v>
          </cell>
        </row>
        <row r="42">
          <cell r="A42" t="str">
            <v>MAM</v>
          </cell>
          <cell r="B42">
            <v>16003.99</v>
          </cell>
        </row>
        <row r="43">
          <cell r="A43" t="str">
            <v>MAN</v>
          </cell>
          <cell r="B43">
            <v>70435.58</v>
          </cell>
        </row>
        <row r="44">
          <cell r="A44" t="str">
            <v>MATRUNIP</v>
          </cell>
          <cell r="B44">
            <v>66377820.340000004</v>
          </cell>
        </row>
        <row r="45">
          <cell r="A45" t="str">
            <v>MDIA2UL</v>
          </cell>
          <cell r="B45">
            <v>3107627.24</v>
          </cell>
        </row>
        <row r="46">
          <cell r="A46" t="str">
            <v>MDIA3UL</v>
          </cell>
          <cell r="B46">
            <v>7613845.0300000003</v>
          </cell>
        </row>
        <row r="47">
          <cell r="A47" t="str">
            <v>MDIA4UL</v>
          </cell>
          <cell r="B47">
            <v>6169753.3400000008</v>
          </cell>
        </row>
        <row r="48">
          <cell r="A48" t="str">
            <v>MDINPIR</v>
          </cell>
          <cell r="B48">
            <v>604825927</v>
          </cell>
        </row>
        <row r="49">
          <cell r="A49" t="str">
            <v>MEBM</v>
          </cell>
          <cell r="B49">
            <v>17598753.760000002</v>
          </cell>
        </row>
        <row r="50">
          <cell r="A50" t="str">
            <v>MEPF10</v>
          </cell>
          <cell r="B50">
            <v>462417.30000000005</v>
          </cell>
        </row>
        <row r="51">
          <cell r="A51" t="str">
            <v>MEPF2N</v>
          </cell>
          <cell r="B51">
            <v>18187157.210000001</v>
          </cell>
        </row>
        <row r="52">
          <cell r="A52" t="str">
            <v>MEPF4</v>
          </cell>
          <cell r="B52">
            <v>2315750.59</v>
          </cell>
        </row>
        <row r="53">
          <cell r="A53" t="str">
            <v>MEPF5</v>
          </cell>
          <cell r="B53">
            <v>111996274.98000002</v>
          </cell>
        </row>
        <row r="54">
          <cell r="A54" t="str">
            <v>MEPF6</v>
          </cell>
          <cell r="B54">
            <v>80981902.62000002</v>
          </cell>
        </row>
        <row r="55">
          <cell r="A55" t="str">
            <v>MEPF8</v>
          </cell>
          <cell r="B55">
            <v>146358949.15000004</v>
          </cell>
        </row>
        <row r="56">
          <cell r="A56" t="str">
            <v>MEP-M</v>
          </cell>
          <cell r="B56">
            <v>29903737.109999999</v>
          </cell>
        </row>
        <row r="57">
          <cell r="A57" t="str">
            <v>MEUROC</v>
          </cell>
          <cell r="B57">
            <v>140218908.62</v>
          </cell>
        </row>
        <row r="58">
          <cell r="A58" t="str">
            <v>MLIFEBND</v>
          </cell>
          <cell r="B58">
            <v>202245969.43000001</v>
          </cell>
        </row>
        <row r="59">
          <cell r="A59" t="str">
            <v>MLINC</v>
          </cell>
          <cell r="B59">
            <v>1152419645</v>
          </cell>
        </row>
        <row r="60">
          <cell r="A60" t="str">
            <v>MLPFLEX</v>
          </cell>
          <cell r="B60">
            <v>110523327.55</v>
          </cell>
        </row>
        <row r="61">
          <cell r="A61" t="str">
            <v>MOEELC-M</v>
          </cell>
          <cell r="B61">
            <v>10081.91</v>
          </cell>
        </row>
        <row r="62">
          <cell r="A62" t="str">
            <v>MPRUPIR</v>
          </cell>
          <cell r="B62">
            <v>1450927978.5999999</v>
          </cell>
        </row>
        <row r="63">
          <cell r="A63" t="str">
            <v>MULLI360</v>
          </cell>
          <cell r="B63">
            <v>1734031516.3</v>
          </cell>
        </row>
        <row r="64">
          <cell r="A64" t="str">
            <v>MULSTEP</v>
          </cell>
          <cell r="B64">
            <v>7868310.5099999998</v>
          </cell>
        </row>
        <row r="65">
          <cell r="A65" t="str">
            <v>MULTHEM</v>
          </cell>
          <cell r="B65">
            <v>711374660.44000006</v>
          </cell>
        </row>
        <row r="66">
          <cell r="A66" t="str">
            <v>MUNIP</v>
          </cell>
          <cell r="B66">
            <v>524550.42999999993</v>
          </cell>
        </row>
        <row r="67">
          <cell r="A67" t="str">
            <v>MUSE</v>
          </cell>
          <cell r="B67">
            <v>396375231.45000005</v>
          </cell>
        </row>
        <row r="68">
          <cell r="A68" t="str">
            <v>MUSEST</v>
          </cell>
          <cell r="B68">
            <v>102627338.2</v>
          </cell>
        </row>
        <row r="69">
          <cell r="A69" t="str">
            <v>MUSG</v>
          </cell>
          <cell r="B69">
            <v>2224306701.6400003</v>
          </cell>
        </row>
        <row r="70">
          <cell r="A70" t="str">
            <v>MUSI</v>
          </cell>
          <cell r="B70">
            <v>1749601331.75</v>
          </cell>
        </row>
        <row r="71">
          <cell r="A71" t="str">
            <v>Not Available</v>
          </cell>
          <cell r="B71">
            <v>8036393839.5419989</v>
          </cell>
        </row>
        <row r="72">
          <cell r="A72" t="str">
            <v>NULL</v>
          </cell>
          <cell r="B72">
            <v>488929588.63599998</v>
          </cell>
        </row>
        <row r="73">
          <cell r="A73" t="str">
            <v>PATRIMONIO</v>
          </cell>
          <cell r="B73">
            <v>190755317.63999999</v>
          </cell>
        </row>
        <row r="74">
          <cell r="A74" t="str">
            <v>PLAP</v>
          </cell>
          <cell r="B74">
            <v>45351283.500000007</v>
          </cell>
        </row>
        <row r="75">
          <cell r="A75" t="str">
            <v>PLEBE</v>
          </cell>
          <cell r="B75">
            <v>653417629.07999992</v>
          </cell>
        </row>
        <row r="76">
          <cell r="A76" t="str">
            <v>PLIC</v>
          </cell>
          <cell r="B76">
            <v>66033161.520000003</v>
          </cell>
        </row>
        <row r="77">
          <cell r="A77" t="str">
            <v>PLUSB</v>
          </cell>
          <cell r="B77">
            <v>270650410.34000003</v>
          </cell>
        </row>
        <row r="78">
          <cell r="A78" t="str">
            <v>PP1-3Y</v>
          </cell>
          <cell r="B78">
            <v>222869514.5</v>
          </cell>
        </row>
        <row r="79">
          <cell r="A79" t="str">
            <v>PP3Y</v>
          </cell>
          <cell r="B79">
            <v>194815469.71000001</v>
          </cell>
        </row>
        <row r="80">
          <cell r="A80" t="str">
            <v>PUPORTF20</v>
          </cell>
          <cell r="B80">
            <v>20754131.130000003</v>
          </cell>
        </row>
        <row r="81">
          <cell r="A81" t="str">
            <v>PUPORTF30</v>
          </cell>
          <cell r="B81">
            <v>10726686.609999999</v>
          </cell>
        </row>
        <row r="82">
          <cell r="A82" t="str">
            <v>PUPORTF40</v>
          </cell>
          <cell r="B82">
            <v>11042711.15</v>
          </cell>
        </row>
        <row r="83">
          <cell r="A83" t="str">
            <v>PUPORTF50</v>
          </cell>
          <cell r="B83">
            <v>16010713.889999999</v>
          </cell>
        </row>
        <row r="84">
          <cell r="A84" t="str">
            <v>PUPORTF70</v>
          </cell>
          <cell r="B84">
            <v>15240358.810000001</v>
          </cell>
        </row>
        <row r="85">
          <cell r="A85" t="str">
            <v>R1M</v>
          </cell>
          <cell r="B85">
            <v>30699482.350000001</v>
          </cell>
        </row>
        <row r="86">
          <cell r="A86" t="str">
            <v>R2M</v>
          </cell>
          <cell r="B86">
            <v>4564983.8</v>
          </cell>
        </row>
        <row r="87">
          <cell r="A87" t="str">
            <v>SFI-MONE</v>
          </cell>
          <cell r="B87">
            <v>2115246.6999999997</v>
          </cell>
        </row>
        <row r="88">
          <cell r="A88" t="str">
            <v>SFI-PPIU-M</v>
          </cell>
          <cell r="B88">
            <v>17843.57</v>
          </cell>
        </row>
        <row r="89">
          <cell r="A89" t="str">
            <v>SFI-PRUD-M</v>
          </cell>
          <cell r="B89">
            <v>102285.73</v>
          </cell>
        </row>
        <row r="90">
          <cell r="A90" t="str">
            <v>SFI-TR</v>
          </cell>
          <cell r="B90">
            <v>74424.490000000005</v>
          </cell>
        </row>
        <row r="91">
          <cell r="A91" t="str">
            <v>STEPONE</v>
          </cell>
          <cell r="B91">
            <v>80442.080000000002</v>
          </cell>
        </row>
        <row r="92">
          <cell r="A92" t="str">
            <v>TG125</v>
          </cell>
          <cell r="B92">
            <v>5127145.57</v>
          </cell>
        </row>
        <row r="93">
          <cell r="A93" t="str">
            <v>TG250</v>
          </cell>
          <cell r="B93">
            <v>49177052.240000002</v>
          </cell>
        </row>
        <row r="94">
          <cell r="A94" t="str">
            <v>UDM1</v>
          </cell>
          <cell r="B94">
            <v>121676.53</v>
          </cell>
        </row>
        <row r="95">
          <cell r="A95" t="str">
            <v>UDM10</v>
          </cell>
          <cell r="B95">
            <v>158969.66</v>
          </cell>
        </row>
        <row r="96">
          <cell r="A96" t="str">
            <v>UDM2</v>
          </cell>
          <cell r="B96">
            <v>597202.94999999995</v>
          </cell>
        </row>
        <row r="97">
          <cell r="A97" t="str">
            <v>UDM3</v>
          </cell>
          <cell r="B97">
            <v>153808.82</v>
          </cell>
        </row>
        <row r="98">
          <cell r="A98" t="str">
            <v>UDM5</v>
          </cell>
          <cell r="B98">
            <v>1031322250.4100001</v>
          </cell>
        </row>
        <row r="99">
          <cell r="A99" t="str">
            <v>UDM6</v>
          </cell>
          <cell r="B99">
            <v>721214234.51999998</v>
          </cell>
        </row>
        <row r="100">
          <cell r="A100" t="str">
            <v>UDM7</v>
          </cell>
          <cell r="B100">
            <v>4375972.53</v>
          </cell>
        </row>
        <row r="101">
          <cell r="A101" t="str">
            <v>UDM8</v>
          </cell>
          <cell r="B101">
            <v>310358633.93000001</v>
          </cell>
        </row>
        <row r="102">
          <cell r="A102" t="str">
            <v>UDM9</v>
          </cell>
          <cell r="B102">
            <v>227293404.53999996</v>
          </cell>
        </row>
        <row r="103">
          <cell r="A103" t="str">
            <v>UEAAL</v>
          </cell>
          <cell r="B103">
            <v>4028257.8000000003</v>
          </cell>
        </row>
        <row r="104">
          <cell r="A104" t="str">
            <v>UEAC</v>
          </cell>
          <cell r="B104">
            <v>29632478.73</v>
          </cell>
        </row>
        <row r="105">
          <cell r="A105" t="str">
            <v>UEAIN</v>
          </cell>
          <cell r="B105">
            <v>20911446.710000001</v>
          </cell>
        </row>
        <row r="106">
          <cell r="A106" t="str">
            <v>UEEEM</v>
          </cell>
          <cell r="B106">
            <v>8771923.7300000004</v>
          </cell>
        </row>
        <row r="107">
          <cell r="A107" t="str">
            <v>UES20</v>
          </cell>
          <cell r="B107">
            <v>164290420.06</v>
          </cell>
        </row>
        <row r="108">
          <cell r="A108" t="str">
            <v>UES30</v>
          </cell>
          <cell r="B108">
            <v>618131229.01999998</v>
          </cell>
        </row>
        <row r="109">
          <cell r="A109" t="str">
            <v>UES40</v>
          </cell>
          <cell r="B109">
            <v>149911380.03</v>
          </cell>
        </row>
        <row r="110">
          <cell r="A110" t="str">
            <v>UES50</v>
          </cell>
          <cell r="B110">
            <v>1829373639.7099998</v>
          </cell>
        </row>
        <row r="111">
          <cell r="A111" t="str">
            <v>UES70</v>
          </cell>
          <cell r="B111">
            <v>763868145.82999992</v>
          </cell>
        </row>
        <row r="112">
          <cell r="A112" t="str">
            <v>ULACCO</v>
          </cell>
          <cell r="B112">
            <v>42350113.239999995</v>
          </cell>
        </row>
        <row r="113">
          <cell r="A113" t="str">
            <v>ULBIL</v>
          </cell>
          <cell r="B113">
            <v>29143288.02</v>
          </cell>
        </row>
        <row r="114">
          <cell r="A114" t="str">
            <v>ULBILPIU</v>
          </cell>
          <cell r="B114">
            <v>38228563.719999999</v>
          </cell>
        </row>
        <row r="115">
          <cell r="A115" t="str">
            <v>ULC</v>
          </cell>
          <cell r="B115">
            <v>53122255.389999986</v>
          </cell>
        </row>
        <row r="116">
          <cell r="A116" t="str">
            <v>ULDIN</v>
          </cell>
          <cell r="B116">
            <v>38595514.309999995</v>
          </cell>
        </row>
        <row r="117">
          <cell r="A117" t="str">
            <v>ULECSTARS</v>
          </cell>
          <cell r="B117">
            <v>1125361487.5</v>
          </cell>
        </row>
        <row r="118">
          <cell r="A118" t="str">
            <v>ULG4NEW</v>
          </cell>
          <cell r="B118">
            <v>167575.26</v>
          </cell>
        </row>
        <row r="119">
          <cell r="A119" t="str">
            <v>ULP</v>
          </cell>
          <cell r="B119">
            <v>38249470.530000001</v>
          </cell>
        </row>
        <row r="120">
          <cell r="A120" t="str">
            <v>ULPRUD</v>
          </cell>
          <cell r="B120">
            <v>40126736.890000001</v>
          </cell>
        </row>
        <row r="121">
          <cell r="A121" t="str">
            <v>(blank)</v>
          </cell>
          <cell r="B121">
            <v>14651814.699999999</v>
          </cell>
        </row>
      </sheetData>
      <sheetData sheetId="4"/>
      <sheetData sheetId="5"/>
      <sheetData sheetId="6"/>
      <sheetData sheetId="7"/>
      <sheetData sheetId="8">
        <row r="1">
          <cell r="A1" t="str">
            <v>Fund Code</v>
          </cell>
          <cell r="B1"/>
          <cell r="C1" t="str">
            <v>Fund Name</v>
          </cell>
          <cell r="D1" t="str">
            <v>Product Wrapper</v>
          </cell>
          <cell r="E1" t="str">
            <v>Strategy Type</v>
          </cell>
          <cell r="F1" t="str">
            <v>Strategy Detail</v>
          </cell>
          <cell r="G1" t="str">
            <v>AUM</v>
          </cell>
          <cell r="H1" t="str">
            <v>AUM Mln Eur</v>
          </cell>
          <cell r="I1" t="str">
            <v>In Master List?</v>
          </cell>
        </row>
        <row r="2">
          <cell r="A2" t="str">
            <v>E142</v>
          </cell>
          <cell r="B2" t="str">
            <v>Models AUM - Total AUM Data</v>
          </cell>
          <cell r="C2" t="str">
            <v xml:space="preserve">Amundi Fund Solutions - Balanced </v>
          </cell>
          <cell r="D2" t="str">
            <v>FoFs</v>
          </cell>
          <cell r="E2" t="str">
            <v>Allocation Driven Strategies</v>
          </cell>
          <cell r="F2" t="str">
            <v>Moderate</v>
          </cell>
          <cell r="G2">
            <v>169346773.31</v>
          </cell>
          <cell r="H2">
            <v>169.34677331</v>
          </cell>
          <cell r="I2" t="str">
            <v>Yes</v>
          </cell>
        </row>
        <row r="3">
          <cell r="A3" t="str">
            <v>E143</v>
          </cell>
          <cell r="B3" t="str">
            <v>Models AUM - Total AUM Data</v>
          </cell>
          <cell r="C3" t="str">
            <v>Amundi Fund Solutions - Conservative</v>
          </cell>
          <cell r="D3" t="str">
            <v>FoFs</v>
          </cell>
          <cell r="E3" t="str">
            <v>Allocation Driven Strategies</v>
          </cell>
          <cell r="F3" t="str">
            <v>Conservative</v>
          </cell>
          <cell r="G3">
            <v>191554138.88</v>
          </cell>
          <cell r="H3">
            <v>191.55413887999998</v>
          </cell>
          <cell r="I3" t="str">
            <v>Yes</v>
          </cell>
        </row>
        <row r="4">
          <cell r="A4" t="str">
            <v>E144</v>
          </cell>
          <cell r="B4" t="str">
            <v>Models AUM - Total AUM Data</v>
          </cell>
          <cell r="C4" t="str">
            <v xml:space="preserve">Amundi Fund Solutions - Diversified Growth </v>
          </cell>
          <cell r="D4" t="str">
            <v>FoFs</v>
          </cell>
          <cell r="E4" t="str">
            <v>Allocation Driven Strategies</v>
          </cell>
          <cell r="F4" t="str">
            <v>Growth</v>
          </cell>
          <cell r="G4">
            <v>66139608.709999993</v>
          </cell>
          <cell r="H4">
            <v>66.13960870999999</v>
          </cell>
          <cell r="I4" t="str">
            <v>Yes</v>
          </cell>
        </row>
        <row r="5">
          <cell r="A5" t="str">
            <v>E193</v>
          </cell>
          <cell r="B5" t="str">
            <v>Models AUM - Total AUM Data</v>
          </cell>
          <cell r="C5" t="str">
            <v>Amundi Fund Solutions - Diversified Income Best Select 2022</v>
          </cell>
          <cell r="D5" t="str">
            <v>FoFs</v>
          </cell>
          <cell r="E5" t="str">
            <v>Outcome Oriented Strategies</v>
          </cell>
          <cell r="F5" t="str">
            <v>Income</v>
          </cell>
          <cell r="G5">
            <v>294308339.36000001</v>
          </cell>
          <cell r="H5">
            <v>294.30833935999999</v>
          </cell>
          <cell r="I5" t="str">
            <v>Yes</v>
          </cell>
        </row>
        <row r="6">
          <cell r="A6" t="str">
            <v>E118</v>
          </cell>
          <cell r="B6" t="str">
            <v>Models AUM - Total AUM Data</v>
          </cell>
          <cell r="C6" t="str">
            <v>myNEXT Bond</v>
          </cell>
          <cell r="D6" t="str">
            <v>FoFs</v>
          </cell>
          <cell r="E6" t="str">
            <v>Allocation Driven Strategies</v>
          </cell>
          <cell r="F6" t="str">
            <v>Conservative</v>
          </cell>
          <cell r="G6">
            <v>33826169.170000002</v>
          </cell>
          <cell r="H6">
            <v>33.82616917</v>
          </cell>
          <cell r="I6" t="str">
            <v>Yes</v>
          </cell>
        </row>
        <row r="7">
          <cell r="A7" t="str">
            <v>E119</v>
          </cell>
          <cell r="B7" t="str">
            <v>Models AUM - Total AUM Data</v>
          </cell>
          <cell r="C7" t="str">
            <v>myNEXT Equity</v>
          </cell>
          <cell r="D7" t="str">
            <v>FoFs</v>
          </cell>
          <cell r="E7" t="str">
            <v>Allocation Driven Strategies</v>
          </cell>
          <cell r="F7" t="str">
            <v>Growth</v>
          </cell>
          <cell r="G7">
            <v>103255927.2</v>
          </cell>
          <cell r="H7">
            <v>103.2559272</v>
          </cell>
          <cell r="I7" t="str">
            <v>Yes</v>
          </cell>
        </row>
        <row r="8">
          <cell r="A8" t="str">
            <v>E120</v>
          </cell>
          <cell r="B8" t="str">
            <v>Models AUM - Total AUM Data</v>
          </cell>
          <cell r="C8" t="str">
            <v>myNEXT Multi-Asset</v>
          </cell>
          <cell r="D8" t="str">
            <v>FoFs</v>
          </cell>
          <cell r="E8" t="str">
            <v>Allocation Driven Strategies</v>
          </cell>
          <cell r="F8" t="str">
            <v>Moderate</v>
          </cell>
          <cell r="G8">
            <v>312457504.01999998</v>
          </cell>
          <cell r="H8">
            <v>312.45750401999999</v>
          </cell>
          <cell r="I8" t="str">
            <v>Yes</v>
          </cell>
        </row>
        <row r="9">
          <cell r="A9" t="str">
            <v>E169</v>
          </cell>
          <cell r="B9" t="str">
            <v>Models AUM - Total AUM Data</v>
          </cell>
          <cell r="C9" t="str">
            <v>myNEXT Plan</v>
          </cell>
          <cell r="D9" t="str">
            <v>FoFs</v>
          </cell>
          <cell r="E9" t="str">
            <v>Outcome Oriented Strategies</v>
          </cell>
          <cell r="F9" t="str">
            <v>Risk Accumulation</v>
          </cell>
          <cell r="G9">
            <v>12871131.529999999</v>
          </cell>
          <cell r="H9">
            <v>12.87113153</v>
          </cell>
          <cell r="I9" t="str">
            <v>Yes</v>
          </cell>
        </row>
        <row r="10">
          <cell r="A10" t="str">
            <v>E207</v>
          </cell>
          <cell r="B10" t="str">
            <v>Models AUM - Total AUM Data</v>
          </cell>
          <cell r="C10" t="str">
            <v>PI Investment Funds - Tactical Allocation Fund</v>
          </cell>
          <cell r="D10" t="str">
            <v>Fund</v>
          </cell>
          <cell r="E10" t="str">
            <v>Service Fund</v>
          </cell>
          <cell r="F10" t="str">
            <v>Equity</v>
          </cell>
          <cell r="G10">
            <v>316671363.03000009</v>
          </cell>
          <cell r="H10">
            <v>316.67136303000007</v>
          </cell>
          <cell r="I10" t="str">
            <v>Yes</v>
          </cell>
        </row>
        <row r="11">
          <cell r="A11" t="str">
            <v>E208</v>
          </cell>
          <cell r="B11" t="str">
            <v>Models AUM - Total AUM Data</v>
          </cell>
          <cell r="C11" t="str">
            <v>PI Investment Funds - Tactical Allocation Bond Fund</v>
          </cell>
          <cell r="D11" t="str">
            <v>Fund</v>
          </cell>
          <cell r="E11" t="str">
            <v>Service Fund</v>
          </cell>
          <cell r="F11" t="str">
            <v>Bond</v>
          </cell>
          <cell r="G11">
            <v>450365694.73000002</v>
          </cell>
          <cell r="H11">
            <v>450.36569473000003</v>
          </cell>
          <cell r="I11" t="str">
            <v>Yes</v>
          </cell>
        </row>
        <row r="12">
          <cell r="A12" t="str">
            <v>E209</v>
          </cell>
          <cell r="B12" t="str">
            <v>Models AUM - Total AUM Data</v>
          </cell>
          <cell r="C12" t="str">
            <v>PI Investment Funds - Dynamic Allocation Fund</v>
          </cell>
          <cell r="D12" t="str">
            <v>Fund</v>
          </cell>
          <cell r="E12" t="str">
            <v>Service Fund</v>
          </cell>
          <cell r="F12" t="str">
            <v>Flexible</v>
          </cell>
          <cell r="G12">
            <v>402542016.44000006</v>
          </cell>
          <cell r="H12">
            <v>402.54201644000005</v>
          </cell>
          <cell r="I12" t="str">
            <v>Yes</v>
          </cell>
        </row>
        <row r="13">
          <cell r="A13" t="str">
            <v>E224</v>
          </cell>
          <cell r="B13" t="str">
            <v>Models AUM - Total AUM Data</v>
          </cell>
          <cell r="C13" t="str">
            <v>PI Investment Funds - Tactical Allocation Pillar</v>
          </cell>
          <cell r="D13" t="str">
            <v>Fund</v>
          </cell>
          <cell r="E13" t="str">
            <v>Service Fund</v>
          </cell>
          <cell r="F13" t="str">
            <v>Income</v>
          </cell>
          <cell r="G13">
            <v>367376593.58999997</v>
          </cell>
          <cell r="H13">
            <v>367.37659358999997</v>
          </cell>
          <cell r="I13" t="str">
            <v>Yes</v>
          </cell>
        </row>
        <row r="14">
          <cell r="A14" t="str">
            <v>PF71664</v>
          </cell>
          <cell r="B14" t="str">
            <v>Models AUM - Total AUM Data</v>
          </cell>
          <cell r="C14" t="str">
            <v>Amundi Soluzioni Italia - Progetto Azione Megatrend 2023</v>
          </cell>
          <cell r="D14" t="str">
            <v>FoFs</v>
          </cell>
          <cell r="E14" t="str">
            <v>Outcome Oriented Strategies</v>
          </cell>
          <cell r="F14" t="str">
            <v>Risk Accumulation</v>
          </cell>
          <cell r="G14">
            <v>493807009.17000002</v>
          </cell>
          <cell r="H14">
            <v>493.80700917000001</v>
          </cell>
          <cell r="I14" t="str">
            <v>Yes</v>
          </cell>
        </row>
        <row r="15">
          <cell r="A15" t="str">
            <v>PF76580</v>
          </cell>
          <cell r="B15" t="str">
            <v>Models AUM - Total AUM Data</v>
          </cell>
          <cell r="C15" t="str">
            <v>Amundi Soluzioni Italia - Progetto Azione Megatrend II</v>
          </cell>
          <cell r="D15" t="str">
            <v>FoFs</v>
          </cell>
          <cell r="E15" t="str">
            <v>Outcome Oriented Strategies</v>
          </cell>
          <cell r="F15" t="str">
            <v>Risk Accumulation</v>
          </cell>
          <cell r="G15">
            <v>290503113.68999994</v>
          </cell>
          <cell r="H15">
            <v>290.50311368999996</v>
          </cell>
          <cell r="I15" t="str">
            <v>Yes</v>
          </cell>
        </row>
        <row r="16">
          <cell r="A16" t="str">
            <v>PF78195</v>
          </cell>
          <cell r="B16" t="str">
            <v>Models AUM - Total AUM Data</v>
          </cell>
          <cell r="C16" t="str">
            <v>Amundi Soluzioni Italia - Progetto Azione Cambiamento Climatico</v>
          </cell>
          <cell r="D16" t="str">
            <v>FoFs</v>
          </cell>
          <cell r="E16" t="str">
            <v>Outcome Oriented Strategies</v>
          </cell>
          <cell r="F16" t="str">
            <v>Risk Accumulation</v>
          </cell>
          <cell r="G16">
            <v>335037348.60999995</v>
          </cell>
          <cell r="H16">
            <v>335.03734860999998</v>
          </cell>
          <cell r="I16" t="str">
            <v>Yes</v>
          </cell>
        </row>
        <row r="17">
          <cell r="A17" t="str">
            <v>PSUKLD1</v>
          </cell>
          <cell r="B17" t="str">
            <v>Models AUM - Total AUM Data</v>
          </cell>
          <cell r="C17" t="str">
            <v>Amundi Invensys Broad Bond Portfolio</v>
          </cell>
          <cell r="D17" t="str">
            <v>FoFs</v>
          </cell>
          <cell r="E17" t="str">
            <v>Allocation Driven Strategies</v>
          </cell>
          <cell r="F17" t="str">
            <v>Flexible</v>
          </cell>
          <cell r="G17">
            <v>123300000</v>
          </cell>
          <cell r="H17">
            <v>123.3</v>
          </cell>
          <cell r="I17" t="str">
            <v>Yes</v>
          </cell>
        </row>
        <row r="18">
          <cell r="A18" t="str">
            <v>U1</v>
          </cell>
          <cell r="B18" t="str">
            <v>Models AUM - Total AUM Data</v>
          </cell>
          <cell r="C18" t="str">
            <v>UniCredit Soluzione 20</v>
          </cell>
          <cell r="D18" t="str">
            <v>FoFs</v>
          </cell>
          <cell r="E18" t="str">
            <v>Allocation Driven Strategies</v>
          </cell>
          <cell r="F18" t="str">
            <v>Flexible</v>
          </cell>
          <cell r="G18">
            <v>60220620.490000002</v>
          </cell>
          <cell r="H18">
            <v>60.220620490000002</v>
          </cell>
          <cell r="I18" t="str">
            <v>Yes</v>
          </cell>
        </row>
        <row r="19">
          <cell r="A19" t="str">
            <v>U2</v>
          </cell>
          <cell r="B19" t="str">
            <v>Models AUM - Total AUM Data</v>
          </cell>
          <cell r="C19" t="str">
            <v>UniCredit Soluzione 40</v>
          </cell>
          <cell r="D19" t="str">
            <v>FoFs</v>
          </cell>
          <cell r="E19" t="str">
            <v>Allocation Driven Strategies</v>
          </cell>
          <cell r="F19" t="str">
            <v>Flexible</v>
          </cell>
          <cell r="G19">
            <v>132692929.98999998</v>
          </cell>
          <cell r="H19">
            <v>132.69292998999998</v>
          </cell>
          <cell r="I19" t="str">
            <v>Yes</v>
          </cell>
        </row>
        <row r="20">
          <cell r="A20" t="str">
            <v>PU3</v>
          </cell>
          <cell r="B20" t="str">
            <v>Models AUM - Total AUM Data</v>
          </cell>
          <cell r="C20" t="str">
            <v>UniCredit Soluzione 70</v>
          </cell>
          <cell r="D20" t="str">
            <v>FoFs</v>
          </cell>
          <cell r="E20" t="str">
            <v>Allocation Driven Strategies</v>
          </cell>
          <cell r="F20" t="str">
            <v>Flexible</v>
          </cell>
          <cell r="G20">
            <v>59757669.739999995</v>
          </cell>
          <cell r="H20">
            <v>59.757669739999997</v>
          </cell>
          <cell r="I20" t="str">
            <v>Yes</v>
          </cell>
        </row>
        <row r="21">
          <cell r="A21" t="str">
            <v>PF79139</v>
          </cell>
          <cell r="B21" t="str">
            <v>Models AUM - Total AUM Data</v>
          </cell>
          <cell r="C21" t="str">
            <v>AMUNDI SOLUZIONI ITALIA - PROGETTO AZIONE CAMBIAMENTO CLIMATICO (II) - E</v>
          </cell>
          <cell r="D21" t="str">
            <v>FoFs</v>
          </cell>
          <cell r="E21" t="str">
            <v>Outcome Oriented Strategies</v>
          </cell>
          <cell r="F21" t="str">
            <v>Risk Accumulation</v>
          </cell>
          <cell r="G21">
            <v>59757669.739999995</v>
          </cell>
          <cell r="H21">
            <v>59.757669739999997</v>
          </cell>
          <cell r="I21" t="str">
            <v>Yes</v>
          </cell>
        </row>
        <row r="22">
          <cell r="A22" t="str">
            <v>U6</v>
          </cell>
          <cell r="B22" t="str">
            <v>Models AUM - Total AUM Data</v>
          </cell>
          <cell r="C22" t="str">
            <v>UniCredit Soluzione Paesi Emergenti</v>
          </cell>
          <cell r="D22" t="str">
            <v>FoFs</v>
          </cell>
          <cell r="E22" t="str">
            <v>Allocation Driven Strategies</v>
          </cell>
          <cell r="F22" t="str">
            <v>Flexible</v>
          </cell>
          <cell r="G22">
            <v>6386728.7500000009</v>
          </cell>
          <cell r="H22">
            <v>6.3867287500000005</v>
          </cell>
          <cell r="I22" t="str">
            <v>Yes</v>
          </cell>
        </row>
        <row r="23">
          <cell r="A23" t="str">
            <v>U13</v>
          </cell>
          <cell r="B23" t="str">
            <v>Models AUM - Total AUM Data</v>
          </cell>
          <cell r="C23" t="str">
            <v xml:space="preserve">UniCredit Evoluzione Reddito </v>
          </cell>
          <cell r="D23" t="str">
            <v>FoFs</v>
          </cell>
          <cell r="E23" t="str">
            <v>Outcome Oriented Strategies</v>
          </cell>
          <cell r="F23" t="str">
            <v>Income</v>
          </cell>
          <cell r="G23">
            <v>870226634.52999997</v>
          </cell>
          <cell r="H23">
            <v>870.22663452999996</v>
          </cell>
          <cell r="I23" t="str">
            <v>Yes</v>
          </cell>
        </row>
        <row r="24">
          <cell r="A24" t="str">
            <v>U14</v>
          </cell>
          <cell r="B24" t="str">
            <v>Models AUM - Total AUM Data</v>
          </cell>
          <cell r="C24" t="str">
            <v>UniCredit Evoluzione Trend</v>
          </cell>
          <cell r="D24" t="str">
            <v>FoFs</v>
          </cell>
          <cell r="E24" t="str">
            <v>Outcome Oriented Strategies</v>
          </cell>
          <cell r="F24" t="str">
            <v>Thematic</v>
          </cell>
          <cell r="G24">
            <v>46528186.990000002</v>
          </cell>
          <cell r="H24">
            <v>46.528186990000002</v>
          </cell>
          <cell r="I24" t="str">
            <v>Yes</v>
          </cell>
        </row>
        <row r="25">
          <cell r="A25" t="str">
            <v>U15</v>
          </cell>
          <cell r="B25" t="str">
            <v>Models AUM - Total AUM Data</v>
          </cell>
          <cell r="C25" t="str">
            <v>UniCredit Evoluzione Economia Reale</v>
          </cell>
          <cell r="D25" t="str">
            <v>FoFs</v>
          </cell>
          <cell r="E25" t="str">
            <v>Outcome Oriented Strategies</v>
          </cell>
          <cell r="F25" t="str">
            <v>Inflation Aware</v>
          </cell>
          <cell r="G25">
            <v>83445318.730000004</v>
          </cell>
          <cell r="H25">
            <v>83.445318729999997</v>
          </cell>
          <cell r="I25" t="str">
            <v>Yes</v>
          </cell>
        </row>
        <row r="26">
          <cell r="A26" t="str">
            <v>U17</v>
          </cell>
          <cell r="B26" t="str">
            <v>Models AUM - Total AUM Data</v>
          </cell>
          <cell r="C26" t="str">
            <v>Amundi Innovazione Attiva</v>
          </cell>
          <cell r="D26" t="str">
            <v>FoFs</v>
          </cell>
          <cell r="E26" t="str">
            <v>Outcome Oriented Strategies</v>
          </cell>
          <cell r="F26" t="str">
            <v>Alternative</v>
          </cell>
          <cell r="G26">
            <v>9101337.5199999996</v>
          </cell>
          <cell r="H26">
            <v>9.1013375199999995</v>
          </cell>
          <cell r="I26" t="str">
            <v>Yes</v>
          </cell>
        </row>
        <row r="27">
          <cell r="A27" t="str">
            <v>GW013</v>
          </cell>
          <cell r="B27" t="str">
            <v>Models AUM - Total AUM Data</v>
          </cell>
          <cell r="C27" t="str">
            <v>Green Way Market Neutral</v>
          </cell>
          <cell r="D27" t="str">
            <v>FoFs</v>
          </cell>
          <cell r="E27" t="str">
            <v>Outcome Oriented Strategies</v>
          </cell>
          <cell r="F27" t="str">
            <v>Alternative</v>
          </cell>
          <cell r="G27">
            <v>55340000</v>
          </cell>
          <cell r="H27">
            <v>55.34</v>
          </cell>
          <cell r="I27" t="str">
            <v>Yes</v>
          </cell>
        </row>
        <row r="28">
          <cell r="A28" t="str">
            <v>HF11</v>
          </cell>
          <cell r="B28" t="str">
            <v>Models AUM - Total AUM Data</v>
          </cell>
          <cell r="C28" t="str">
            <v>Green Way Market Neutral Master Fund</v>
          </cell>
          <cell r="D28" t="str">
            <v>FoFs</v>
          </cell>
          <cell r="E28" t="str">
            <v>Outcome Oriented Strategies</v>
          </cell>
          <cell r="F28" t="str">
            <v>Alternative</v>
          </cell>
          <cell r="G28">
            <v>55340000</v>
          </cell>
          <cell r="H28">
            <v>55.34</v>
          </cell>
          <cell r="I28" t="str">
            <v>Yes</v>
          </cell>
        </row>
        <row r="29">
          <cell r="A29" t="str">
            <v>PACIFAI</v>
          </cell>
          <cell r="B29" t="str">
            <v>Models AUM - Total AUM Data</v>
          </cell>
          <cell r="C29" t="str">
            <v>PACIFICA POCHE AI (Poche FRONT)</v>
          </cell>
          <cell r="D29" t="str">
            <v>FoFs</v>
          </cell>
          <cell r="E29" t="str">
            <v>Outcome Oriented Strategies</v>
          </cell>
          <cell r="F29" t="str">
            <v>Alternative</v>
          </cell>
          <cell r="G29"/>
          <cell r="H29"/>
          <cell r="I29" t="str">
            <v>Yes</v>
          </cell>
        </row>
        <row r="30">
          <cell r="A30" t="str">
            <v>Models</v>
          </cell>
          <cell r="B30" t="str">
            <v>Models AUM - Total AUM Data</v>
          </cell>
          <cell r="C30" t="str">
            <v>Models</v>
          </cell>
          <cell r="D30" t="str">
            <v>Model</v>
          </cell>
          <cell r="E30" t="str">
            <v>Allocation Driven Strategies</v>
          </cell>
          <cell r="F30" t="str">
            <v>Conservative</v>
          </cell>
          <cell r="G30">
            <v>931481853.61999941</v>
          </cell>
          <cell r="H30">
            <v>931.48185361999936</v>
          </cell>
          <cell r="I30" t="e">
            <v>#N/A</v>
          </cell>
        </row>
        <row r="31">
          <cell r="A31" t="str">
            <v>Models</v>
          </cell>
          <cell r="B31" t="str">
            <v>Models AUM - Total AUM Data</v>
          </cell>
          <cell r="C31" t="str">
            <v>Models</v>
          </cell>
          <cell r="D31" t="str">
            <v>Model</v>
          </cell>
          <cell r="E31" t="str">
            <v>Allocation Driven Strategies</v>
          </cell>
          <cell r="F31" t="str">
            <v>Flexible</v>
          </cell>
          <cell r="G31">
            <v>3768509124.059999</v>
          </cell>
          <cell r="H31">
            <v>3768.5091240599991</v>
          </cell>
          <cell r="I31" t="e">
            <v>#N/A</v>
          </cell>
        </row>
        <row r="32">
          <cell r="A32" t="str">
            <v>Models</v>
          </cell>
          <cell r="B32" t="str">
            <v>Models AUM - Total AUM Data</v>
          </cell>
          <cell r="C32" t="str">
            <v>Models</v>
          </cell>
          <cell r="D32" t="str">
            <v>Model</v>
          </cell>
          <cell r="E32" t="str">
            <v>Allocation Driven Strategies</v>
          </cell>
          <cell r="F32" t="str">
            <v>Growth</v>
          </cell>
          <cell r="G32">
            <v>1290612830.9200006</v>
          </cell>
          <cell r="H32">
            <v>1290.6128309200005</v>
          </cell>
          <cell r="I32" t="e">
            <v>#N/A</v>
          </cell>
        </row>
        <row r="33">
          <cell r="A33" t="str">
            <v>Models</v>
          </cell>
          <cell r="B33" t="str">
            <v>Models AUM - Total AUM Data</v>
          </cell>
          <cell r="C33" t="str">
            <v>Models</v>
          </cell>
          <cell r="D33" t="str">
            <v>Model</v>
          </cell>
          <cell r="E33" t="str">
            <v>Allocation Driven Strategies</v>
          </cell>
          <cell r="F33" t="str">
            <v>Moderate</v>
          </cell>
          <cell r="G33">
            <v>255530303.72999999</v>
          </cell>
          <cell r="H33">
            <v>255.53030372999999</v>
          </cell>
          <cell r="I33" t="e">
            <v>#N/A</v>
          </cell>
        </row>
        <row r="34">
          <cell r="A34" t="str">
            <v>Models</v>
          </cell>
          <cell r="B34" t="str">
            <v>Models AUM - Total AUM Data</v>
          </cell>
          <cell r="C34" t="str">
            <v>Models DIOP</v>
          </cell>
          <cell r="D34" t="str">
            <v>Model</v>
          </cell>
          <cell r="E34" t="str">
            <v>Allocation Driven Strategies</v>
          </cell>
          <cell r="F34" t="str">
            <v>Moderate</v>
          </cell>
          <cell r="G34">
            <v>100000000</v>
          </cell>
          <cell r="H34">
            <v>100</v>
          </cell>
          <cell r="I34" t="e">
            <v>#N/A</v>
          </cell>
        </row>
        <row r="35">
          <cell r="A35" t="str">
            <v>Models</v>
          </cell>
          <cell r="B35" t="str">
            <v>Models AUM - Total AUM Data</v>
          </cell>
          <cell r="C35" t="str">
            <v>Models</v>
          </cell>
          <cell r="D35" t="str">
            <v>Model</v>
          </cell>
          <cell r="E35" t="str">
            <v>Outcome Oriented Strategies</v>
          </cell>
          <cell r="F35" t="str">
            <v>Capital Guaranteed</v>
          </cell>
          <cell r="G35">
            <v>2147049426.7</v>
          </cell>
          <cell r="H35">
            <v>2147.0494266999999</v>
          </cell>
          <cell r="I35" t="e">
            <v>#N/A</v>
          </cell>
        </row>
        <row r="36">
          <cell r="A36" t="str">
            <v>Models</v>
          </cell>
          <cell r="B36" t="str">
            <v>Models AUM - Total AUM Data</v>
          </cell>
          <cell r="C36" t="str">
            <v>Models</v>
          </cell>
          <cell r="D36" t="str">
            <v>Model</v>
          </cell>
          <cell r="E36" t="str">
            <v>Outcome Oriented Strategies</v>
          </cell>
          <cell r="F36" t="str">
            <v>Capital Protection</v>
          </cell>
          <cell r="G36">
            <v>10209073.109999999</v>
          </cell>
          <cell r="H36">
            <v>10.20907311</v>
          </cell>
          <cell r="I36" t="e">
            <v>#N/A</v>
          </cell>
        </row>
        <row r="37">
          <cell r="A37" t="str">
            <v>Models</v>
          </cell>
          <cell r="B37" t="str">
            <v>Models AUM - Total AUM Data</v>
          </cell>
          <cell r="C37" t="str">
            <v>Models</v>
          </cell>
          <cell r="D37" t="str">
            <v>Model</v>
          </cell>
          <cell r="E37" t="str">
            <v>Outcome Oriented Strategies</v>
          </cell>
          <cell r="F37" t="str">
            <v>Income</v>
          </cell>
          <cell r="G37">
            <v>4636052493.0500002</v>
          </cell>
          <cell r="H37">
            <v>4636.0524930500005</v>
          </cell>
          <cell r="I37" t="e">
            <v>#N/A</v>
          </cell>
        </row>
        <row r="38">
          <cell r="A38" t="str">
            <v>Models</v>
          </cell>
          <cell r="B38" t="str">
            <v>Models AUM - Total AUM Data</v>
          </cell>
          <cell r="C38" t="str">
            <v>Models</v>
          </cell>
          <cell r="D38" t="str">
            <v>Model</v>
          </cell>
          <cell r="E38" t="str">
            <v>Outcome Oriented Strategies</v>
          </cell>
          <cell r="F38" t="str">
            <v>Risk Accumulation</v>
          </cell>
          <cell r="G38">
            <v>50218423.749999993</v>
          </cell>
          <cell r="H38">
            <v>50.218423749999992</v>
          </cell>
          <cell r="I38" t="e">
            <v>#N/A</v>
          </cell>
        </row>
        <row r="39">
          <cell r="A39" t="str">
            <v>APMA1</v>
          </cell>
          <cell r="B39" t="str">
            <v>Models AUM - Total AUM Data</v>
          </cell>
          <cell r="C39" t="str">
            <v>ADVISORY PIRAEUS MA 1</v>
          </cell>
          <cell r="D39" t="str">
            <v>Model</v>
          </cell>
          <cell r="E39" t="str">
            <v>Allocation Driven Strategies</v>
          </cell>
          <cell r="F39" t="str">
            <v>Conservative</v>
          </cell>
          <cell r="I39" t="str">
            <v>Yes</v>
          </cell>
        </row>
        <row r="40">
          <cell r="A40" t="str">
            <v>APMA2</v>
          </cell>
          <cell r="B40" t="str">
            <v>Models AUM - Total AUM Data</v>
          </cell>
          <cell r="C40" t="str">
            <v>ADVISORY PIRAEUS MA 2</v>
          </cell>
          <cell r="D40" t="str">
            <v>Model</v>
          </cell>
          <cell r="E40" t="str">
            <v>Allocation Driven Strategies</v>
          </cell>
          <cell r="F40" t="str">
            <v>Conservative</v>
          </cell>
          <cell r="I40" t="str">
            <v>Yes</v>
          </cell>
        </row>
        <row r="41">
          <cell r="A41" t="str">
            <v>APMA3</v>
          </cell>
          <cell r="B41" t="str">
            <v>Models AUM - Total AUM Data</v>
          </cell>
          <cell r="C41" t="str">
            <v>ADVISORY PIRAEUS MA 3</v>
          </cell>
          <cell r="D41" t="str">
            <v>Model</v>
          </cell>
          <cell r="E41" t="str">
            <v>Allocation Driven Strategies</v>
          </cell>
          <cell r="F41" t="str">
            <v>Moderate</v>
          </cell>
          <cell r="I41" t="str">
            <v>Yes</v>
          </cell>
        </row>
        <row r="42">
          <cell r="A42" t="str">
            <v>APMA4</v>
          </cell>
          <cell r="B42" t="str">
            <v>Models AUM - Total AUM Data</v>
          </cell>
          <cell r="C42" t="str">
            <v>ADVISORY PIRAEUS MA 4</v>
          </cell>
          <cell r="D42" t="str">
            <v>Model</v>
          </cell>
          <cell r="E42" t="str">
            <v>Allocation Driven Strategies</v>
          </cell>
          <cell r="F42" t="str">
            <v>Moderate</v>
          </cell>
          <cell r="I42" t="str">
            <v>Yes</v>
          </cell>
        </row>
        <row r="43">
          <cell r="A43" t="str">
            <v>PMAI</v>
          </cell>
          <cell r="B43" t="str">
            <v>Models AUM - Total AUM Data</v>
          </cell>
          <cell r="C43" t="str">
            <v>CAM Luglio</v>
          </cell>
          <cell r="D43" t="str">
            <v>Model</v>
          </cell>
          <cell r="E43" t="str">
            <v>Outcome Oriented Strategies</v>
          </cell>
          <cell r="F43" t="str">
            <v>Capital Protection</v>
          </cell>
          <cell r="I43" t="str">
            <v>Yes</v>
          </cell>
        </row>
        <row r="44">
          <cell r="A44" t="str">
            <v>ULDIAM1-M</v>
          </cell>
          <cell r="B44" t="str">
            <v>Models AUM - Total AUM Data</v>
          </cell>
          <cell r="C44" t="str">
            <v>UL Diamond 1</v>
          </cell>
          <cell r="D44" t="str">
            <v>Model</v>
          </cell>
          <cell r="E44" t="str">
            <v>Allocation Driven Strategies</v>
          </cell>
          <cell r="F44" t="str">
            <v>Conservative</v>
          </cell>
          <cell r="I44" t="str">
            <v>Yes</v>
          </cell>
        </row>
        <row r="45">
          <cell r="A45" t="str">
            <v>ULBER-</v>
          </cell>
          <cell r="B45" t="str">
            <v>Models AUM - Total AUM Data</v>
          </cell>
          <cell r="C45" t="str">
            <v>UL_Bilanciata_+ERGO</v>
          </cell>
          <cell r="D45" t="str">
            <v>Model</v>
          </cell>
          <cell r="E45" t="str">
            <v>Allocation Driven Strategies</v>
          </cell>
          <cell r="F45" t="str">
            <v>Moderate</v>
          </cell>
          <cell r="I45" t="str">
            <v>Yes</v>
          </cell>
        </row>
        <row r="46">
          <cell r="A46" t="str">
            <v>ULDER</v>
          </cell>
          <cell r="B46" t="str">
            <v>Models AUM - Total AUM Data</v>
          </cell>
          <cell r="C46" t="str">
            <v>UL_Dinamica ERGO</v>
          </cell>
          <cell r="D46" t="str">
            <v>Model</v>
          </cell>
          <cell r="E46" t="str">
            <v>Allocation Driven Strategies</v>
          </cell>
          <cell r="F46" t="str">
            <v>Growth</v>
          </cell>
          <cell r="I46" t="str">
            <v>Yes</v>
          </cell>
        </row>
        <row r="47">
          <cell r="A47" t="str">
            <v>ULPER</v>
          </cell>
          <cell r="B47" t="str">
            <v>Models AUM - Total AUM Data</v>
          </cell>
          <cell r="C47" t="str">
            <v>UL_Prudente ERGO</v>
          </cell>
          <cell r="D47" t="str">
            <v>Model</v>
          </cell>
          <cell r="E47" t="str">
            <v>Allocation Driven Strategies</v>
          </cell>
          <cell r="F47" t="str">
            <v>Conservative</v>
          </cell>
          <cell r="I47" t="str">
            <v>Yes</v>
          </cell>
        </row>
        <row r="48">
          <cell r="A48" t="str">
            <v>ULP-ER</v>
          </cell>
          <cell r="B48" t="str">
            <v>Models AUM - Total AUM Data</v>
          </cell>
          <cell r="C48" t="str">
            <v>UL_Prudente_+ ERGO</v>
          </cell>
          <cell r="D48" t="str">
            <v>Model</v>
          </cell>
          <cell r="E48" t="str">
            <v>Allocation Driven Strategies</v>
          </cell>
          <cell r="F48" t="str">
            <v>Conservative</v>
          </cell>
          <cell r="I48" t="str">
            <v>Yes</v>
          </cell>
        </row>
        <row r="49">
          <cell r="B49" t="str">
            <v>Models AUM - Total AUM Data</v>
          </cell>
        </row>
        <row r="50">
          <cell r="B50" t="str">
            <v>Models AUM - Total AUM Data</v>
          </cell>
        </row>
        <row r="51">
          <cell r="B51" t="str">
            <v>Models AUM - Total AUM Data</v>
          </cell>
        </row>
        <row r="52">
          <cell r="B52" t="str">
            <v>Models AUM - Total AUM Data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M"/>
      <sheetName val="Last Aum File"/>
      <sheetName val="breakdown by model New Date"/>
      <sheetName val="breakdown by model OLD Date"/>
      <sheetName val="31st Dec 22"/>
      <sheetName val="30th June 2021"/>
      <sheetName val="16th June 2021"/>
      <sheetName val="10th March 2021"/>
      <sheetName val="17th Feb 2021"/>
      <sheetName val="27th Jan 2021"/>
      <sheetName val="31st December 2020"/>
      <sheetName val="31st Nov 2020"/>
      <sheetName val="18th Nov 2020"/>
      <sheetName val="10th Nov 2020"/>
      <sheetName val="17th Oct"/>
      <sheetName val="13th Sept 2020"/>
      <sheetName val="30th Sept 2020"/>
      <sheetName val="09th Septmber"/>
      <sheetName val="1st of July 2020"/>
      <sheetName val="17th June 2020"/>
      <sheetName val="31st May 2020"/>
      <sheetName val="30th of April 2020"/>
      <sheetName val="8th April"/>
      <sheetName val="31st March Update"/>
      <sheetName val="31st March 2020"/>
      <sheetName val="22nd March 2020"/>
      <sheetName val="26th Feb 2020"/>
      <sheetName val="13th Feb 2020"/>
      <sheetName val="Jan 29th 2020"/>
      <sheetName val="Jan 6th 2020"/>
      <sheetName val="Dec 2nd 2019"/>
      <sheetName val="Nov 20th 2019"/>
      <sheetName val="Nov 6th 2019"/>
      <sheetName val="AUM End September "/>
    </sheetNames>
    <sheetDataSet>
      <sheetData sheetId="0">
        <row r="1">
          <cell r="A1" t="str">
            <v>+</v>
          </cell>
          <cell r="B1" t="str">
            <v>AUM</v>
          </cell>
        </row>
        <row r="2">
          <cell r="A2" t="str">
            <v>1PM</v>
          </cell>
          <cell r="B2">
            <v>286172410</v>
          </cell>
        </row>
        <row r="3">
          <cell r="A3" t="str">
            <v>1QM</v>
          </cell>
          <cell r="B3">
            <v>44621309</v>
          </cell>
        </row>
        <row r="4">
          <cell r="A4" t="str">
            <v>1RM</v>
          </cell>
          <cell r="B4">
            <v>29605967</v>
          </cell>
        </row>
        <row r="5">
          <cell r="A5" t="str">
            <v>AAPROT80</v>
          </cell>
          <cell r="B5">
            <v>105977735</v>
          </cell>
        </row>
        <row r="6">
          <cell r="A6" t="str">
            <v>CCRESCITA</v>
          </cell>
          <cell r="B6">
            <v>1259071</v>
          </cell>
        </row>
        <row r="7">
          <cell r="A7" t="str">
            <v>CMEDIUM</v>
          </cell>
          <cell r="B7">
            <v>221348</v>
          </cell>
        </row>
        <row r="8">
          <cell r="A8" t="str">
            <v>CNPDYNPR80</v>
          </cell>
          <cell r="B8">
            <v>116832547</v>
          </cell>
        </row>
        <row r="9">
          <cell r="A9" t="str">
            <v>CNPPROT80</v>
          </cell>
          <cell r="B9">
            <v>96897819</v>
          </cell>
        </row>
        <row r="10">
          <cell r="A10" t="str">
            <v>CNPTHEMPROT</v>
          </cell>
          <cell r="B10">
            <v>195364106</v>
          </cell>
        </row>
        <row r="11">
          <cell r="A11" t="str">
            <v>COBBLEURO</v>
          </cell>
          <cell r="B11">
            <v>2649</v>
          </cell>
        </row>
        <row r="12">
          <cell r="A12" t="str">
            <v>CREDDITO</v>
          </cell>
          <cell r="B12">
            <v>83275</v>
          </cell>
        </row>
        <row r="13">
          <cell r="A13" t="str">
            <v>CRVDYNPR80</v>
          </cell>
          <cell r="B13">
            <v>279293562</v>
          </cell>
        </row>
        <row r="14">
          <cell r="A14" t="str">
            <v>CRVPROT80</v>
          </cell>
          <cell r="B14">
            <v>106822030</v>
          </cell>
        </row>
        <row r="15">
          <cell r="A15" t="str">
            <v>CRVTHEMPROT</v>
          </cell>
          <cell r="B15">
            <v>307505809</v>
          </cell>
        </row>
        <row r="16">
          <cell r="A16" t="str">
            <v>CSVILUPPO</v>
          </cell>
          <cell r="B16">
            <v>33771</v>
          </cell>
        </row>
        <row r="17">
          <cell r="A17" t="str">
            <v>CTREND_20</v>
          </cell>
          <cell r="B17">
            <v>23564</v>
          </cell>
        </row>
        <row r="18">
          <cell r="A18" t="str">
            <v>DINAR1TF</v>
          </cell>
          <cell r="B18">
            <v>1363503</v>
          </cell>
        </row>
        <row r="19">
          <cell r="A19" t="str">
            <v>DINAR2TF</v>
          </cell>
          <cell r="B19">
            <v>26945800</v>
          </cell>
        </row>
        <row r="20">
          <cell r="A20" t="str">
            <v>DINAR3TF</v>
          </cell>
          <cell r="B20">
            <v>795570</v>
          </cell>
        </row>
        <row r="21">
          <cell r="A21" t="str">
            <v>E118</v>
          </cell>
          <cell r="B21">
            <v>7495265.8199999994</v>
          </cell>
        </row>
        <row r="22">
          <cell r="A22" t="str">
            <v>E119</v>
          </cell>
          <cell r="B22">
            <v>58236487.470000006</v>
          </cell>
        </row>
        <row r="23">
          <cell r="A23" t="str">
            <v>E120</v>
          </cell>
          <cell r="B23">
            <v>121448782.71000001</v>
          </cell>
        </row>
        <row r="24">
          <cell r="A24" t="str">
            <v>E142</v>
          </cell>
          <cell r="B24">
            <v>324009437.85999995</v>
          </cell>
        </row>
        <row r="25">
          <cell r="A25" t="str">
            <v>E143</v>
          </cell>
          <cell r="B25">
            <v>242806300.35000002</v>
          </cell>
        </row>
        <row r="26">
          <cell r="A26" t="str">
            <v>E144</v>
          </cell>
          <cell r="B26">
            <v>83823203.900000006</v>
          </cell>
        </row>
        <row r="27">
          <cell r="A27" t="str">
            <v>E193</v>
          </cell>
          <cell r="B27">
            <v>136428638.49000001</v>
          </cell>
        </row>
        <row r="28">
          <cell r="A28" t="str">
            <v>E207</v>
          </cell>
          <cell r="B28">
            <v>53160977.919999994</v>
          </cell>
        </row>
        <row r="29">
          <cell r="A29" t="str">
            <v>E208</v>
          </cell>
          <cell r="B29">
            <v>74247835.579999998</v>
          </cell>
        </row>
        <row r="30">
          <cell r="A30" t="str">
            <v>E209</v>
          </cell>
          <cell r="B30">
            <v>198759201.82000002</v>
          </cell>
        </row>
        <row r="31">
          <cell r="A31" t="str">
            <v>E224</v>
          </cell>
          <cell r="B31">
            <v>59556669.140000001</v>
          </cell>
        </row>
        <row r="32">
          <cell r="A32" t="str">
            <v>F100123</v>
          </cell>
          <cell r="B32">
            <v>10775273011</v>
          </cell>
        </row>
        <row r="33">
          <cell r="A33" t="str">
            <v>LINPRO</v>
          </cell>
          <cell r="B33">
            <v>893968</v>
          </cell>
        </row>
        <row r="34">
          <cell r="A34" t="str">
            <v>MAA</v>
          </cell>
          <cell r="B34">
            <v>279016</v>
          </cell>
        </row>
        <row r="35">
          <cell r="A35" t="str">
            <v>MAB</v>
          </cell>
          <cell r="B35">
            <v>4871246</v>
          </cell>
        </row>
        <row r="36">
          <cell r="A36" t="str">
            <v>MAC</v>
          </cell>
          <cell r="B36">
            <v>187778</v>
          </cell>
        </row>
        <row r="37">
          <cell r="A37" t="str">
            <v>MAD</v>
          </cell>
          <cell r="B37">
            <v>341235</v>
          </cell>
        </row>
        <row r="38">
          <cell r="A38" t="str">
            <v>MAE</v>
          </cell>
          <cell r="B38">
            <v>154948</v>
          </cell>
        </row>
        <row r="39">
          <cell r="A39" t="str">
            <v>MAF</v>
          </cell>
          <cell r="B39">
            <v>87215</v>
          </cell>
        </row>
        <row r="40">
          <cell r="A40" t="str">
            <v>MAG</v>
          </cell>
          <cell r="B40">
            <v>134904</v>
          </cell>
        </row>
        <row r="41">
          <cell r="A41" t="str">
            <v>MAH</v>
          </cell>
          <cell r="B41">
            <v>634676</v>
          </cell>
        </row>
        <row r="42">
          <cell r="A42" t="str">
            <v>MAL</v>
          </cell>
          <cell r="B42">
            <v>142698</v>
          </cell>
        </row>
        <row r="43">
          <cell r="A43" t="str">
            <v>MAM</v>
          </cell>
          <cell r="B43">
            <v>16557</v>
          </cell>
        </row>
        <row r="44">
          <cell r="A44" t="str">
            <v>MAN</v>
          </cell>
          <cell r="B44">
            <v>28074</v>
          </cell>
        </row>
        <row r="45">
          <cell r="A45" t="str">
            <v>MATRUNIP</v>
          </cell>
          <cell r="B45">
            <v>12280450</v>
          </cell>
        </row>
        <row r="46">
          <cell r="A46" t="str">
            <v>MDIA4UL</v>
          </cell>
          <cell r="B46">
            <v>5997356</v>
          </cell>
        </row>
        <row r="47">
          <cell r="A47" t="str">
            <v>MEPF10</v>
          </cell>
          <cell r="B47">
            <v>395535</v>
          </cell>
        </row>
        <row r="48">
          <cell r="A48" t="str">
            <v>MEPF2N</v>
          </cell>
          <cell r="B48">
            <v>7616069</v>
          </cell>
        </row>
        <row r="49">
          <cell r="A49" t="str">
            <v>MEPF4</v>
          </cell>
          <cell r="B49">
            <v>1067361</v>
          </cell>
        </row>
        <row r="50">
          <cell r="A50" t="str">
            <v>MEPF5</v>
          </cell>
          <cell r="B50">
            <v>72484395</v>
          </cell>
        </row>
        <row r="51">
          <cell r="A51" t="str">
            <v>MEPF6</v>
          </cell>
          <cell r="B51">
            <v>64408792</v>
          </cell>
        </row>
        <row r="52">
          <cell r="A52" t="str">
            <v>MEPF8</v>
          </cell>
          <cell r="B52">
            <v>128787502</v>
          </cell>
        </row>
        <row r="53">
          <cell r="A53" t="str">
            <v>MLIFEBND</v>
          </cell>
          <cell r="B53">
            <v>86278219</v>
          </cell>
        </row>
        <row r="54">
          <cell r="A54" t="str">
            <v>MLINC</v>
          </cell>
          <cell r="B54">
            <v>215406941</v>
          </cell>
        </row>
        <row r="55">
          <cell r="A55" t="str">
            <v>MLPFLEX</v>
          </cell>
          <cell r="B55">
            <v>24819922</v>
          </cell>
        </row>
        <row r="56">
          <cell r="A56" t="str">
            <v>MODETFBAL</v>
          </cell>
          <cell r="B56">
            <v>114439451.95172112</v>
          </cell>
        </row>
        <row r="57">
          <cell r="A57" t="str">
            <v>MODETFBALUS</v>
          </cell>
          <cell r="B57">
            <v>101886254.36918736</v>
          </cell>
        </row>
        <row r="58">
          <cell r="A58" t="str">
            <v>MODETFDYN</v>
          </cell>
          <cell r="B58">
            <v>127469029.13841511</v>
          </cell>
        </row>
        <row r="59">
          <cell r="A59" t="str">
            <v>MODETFDYNUS</v>
          </cell>
          <cell r="B59">
            <v>127630308.49236055</v>
          </cell>
        </row>
        <row r="60">
          <cell r="A60" t="str">
            <v>MODETFPRU</v>
          </cell>
          <cell r="B60">
            <v>102491967.48035637</v>
          </cell>
        </row>
        <row r="61">
          <cell r="A61" t="str">
            <v>MODETFPRUUS</v>
          </cell>
          <cell r="B61">
            <v>112853091.25012495</v>
          </cell>
        </row>
        <row r="62">
          <cell r="A62" t="str">
            <v>MODSAXAC</v>
          </cell>
        </row>
        <row r="63">
          <cell r="A63" t="str">
            <v>MODSAXAERO</v>
          </cell>
          <cell r="B63">
            <v>109992194.444775</v>
          </cell>
        </row>
        <row r="64">
          <cell r="A64" t="str">
            <v>MODSAXEC</v>
          </cell>
        </row>
        <row r="65">
          <cell r="A65" t="str">
            <v>MODSAXLRO</v>
          </cell>
          <cell r="B65">
            <v>110973228.29227298</v>
          </cell>
        </row>
        <row r="66">
          <cell r="A66" t="str">
            <v>MODSAXRO</v>
          </cell>
          <cell r="B66">
            <v>90531586.199399978</v>
          </cell>
        </row>
        <row r="67">
          <cell r="A67" t="str">
            <v>MULLI360</v>
          </cell>
          <cell r="B67">
            <v>154991340</v>
          </cell>
        </row>
        <row r="68">
          <cell r="A68" t="str">
            <v>MULSTEP</v>
          </cell>
          <cell r="B68">
            <v>8203700</v>
          </cell>
        </row>
        <row r="69">
          <cell r="A69" t="str">
            <v>MULTHEM</v>
          </cell>
          <cell r="B69">
            <v>1795670827</v>
          </cell>
        </row>
        <row r="70">
          <cell r="A70" t="str">
            <v>MUNIP</v>
          </cell>
          <cell r="B70">
            <v>255343</v>
          </cell>
        </row>
        <row r="71">
          <cell r="A71" t="str">
            <v>MUSG</v>
          </cell>
          <cell r="B71">
            <v>973396645</v>
          </cell>
        </row>
        <row r="72">
          <cell r="A72" t="str">
            <v>MUSI</v>
          </cell>
          <cell r="B72">
            <v>239238036</v>
          </cell>
        </row>
        <row r="73">
          <cell r="A73" t="str">
            <v>PF103025</v>
          </cell>
          <cell r="B73">
            <v>93538758.120000005</v>
          </cell>
        </row>
        <row r="74">
          <cell r="A74" t="str">
            <v>PF115036</v>
          </cell>
          <cell r="B74">
            <v>98145264.699999988</v>
          </cell>
        </row>
        <row r="75">
          <cell r="A75" t="str">
            <v>PF201311</v>
          </cell>
          <cell r="B75">
            <v>290323179.13999999</v>
          </cell>
        </row>
        <row r="76">
          <cell r="A76" t="str">
            <v>PF204806</v>
          </cell>
          <cell r="B76">
            <v>27952778.120000001</v>
          </cell>
        </row>
        <row r="77">
          <cell r="A77" t="str">
            <v>PF87100</v>
          </cell>
          <cell r="B77">
            <v>6970226.1600000001</v>
          </cell>
        </row>
        <row r="78">
          <cell r="A78" t="str">
            <v>PF87115</v>
          </cell>
          <cell r="B78">
            <v>3927561.09</v>
          </cell>
        </row>
        <row r="79">
          <cell r="A79" t="str">
            <v>PF88300</v>
          </cell>
          <cell r="B79">
            <v>451980230.57999998</v>
          </cell>
        </row>
        <row r="80">
          <cell r="A80" t="str">
            <v>PF88524</v>
          </cell>
          <cell r="B80">
            <v>651526087.88</v>
          </cell>
        </row>
        <row r="81">
          <cell r="A81" t="str">
            <v>PF89408</v>
          </cell>
          <cell r="B81">
            <v>277938223.63</v>
          </cell>
        </row>
        <row r="82">
          <cell r="A82" t="str">
            <v>PF92127</v>
          </cell>
          <cell r="B82">
            <v>335146857.69</v>
          </cell>
        </row>
        <row r="83">
          <cell r="A83" t="str">
            <v>PF95239</v>
          </cell>
          <cell r="B83">
            <v>319412485.87</v>
          </cell>
        </row>
        <row r="84">
          <cell r="A84" t="str">
            <v>PLAP</v>
          </cell>
          <cell r="B84">
            <v>21212020</v>
          </cell>
        </row>
        <row r="85">
          <cell r="A85" t="str">
            <v>PLIC</v>
          </cell>
          <cell r="B85">
            <v>33652386</v>
          </cell>
        </row>
        <row r="86">
          <cell r="A86" t="str">
            <v>PMAI</v>
          </cell>
          <cell r="B86">
            <v>77561</v>
          </cell>
        </row>
        <row r="87">
          <cell r="A87" t="str">
            <v>PP1-3Y</v>
          </cell>
          <cell r="B87">
            <v>87573063</v>
          </cell>
        </row>
        <row r="88">
          <cell r="A88" t="str">
            <v>PP3Y</v>
          </cell>
          <cell r="B88">
            <v>122521317</v>
          </cell>
        </row>
        <row r="89">
          <cell r="A89" t="str">
            <v>PPIAZINTER</v>
          </cell>
          <cell r="B89">
            <v>39585957</v>
          </cell>
        </row>
        <row r="90">
          <cell r="A90" t="str">
            <v>PPIAZJAP</v>
          </cell>
          <cell r="B90">
            <v>35236371</v>
          </cell>
        </row>
        <row r="91">
          <cell r="A91" t="str">
            <v>PPIAZNAM</v>
          </cell>
          <cell r="B91">
            <v>109047593</v>
          </cell>
        </row>
        <row r="92">
          <cell r="A92" t="str">
            <v>PPIAZNAMHEDG</v>
          </cell>
          <cell r="B92">
            <v>54985364</v>
          </cell>
        </row>
        <row r="93">
          <cell r="A93" t="str">
            <v>PPIAZPACIF</v>
          </cell>
          <cell r="B93">
            <v>8506495</v>
          </cell>
        </row>
        <row r="94">
          <cell r="A94" t="str">
            <v>PSUKLD1</v>
          </cell>
          <cell r="B94">
            <v>141079789.02999997</v>
          </cell>
        </row>
        <row r="95">
          <cell r="A95" t="str">
            <v>R1M</v>
          </cell>
          <cell r="B95">
            <v>20379176</v>
          </cell>
        </row>
        <row r="96">
          <cell r="A96" t="str">
            <v>R2M</v>
          </cell>
          <cell r="B96">
            <v>3991454</v>
          </cell>
        </row>
        <row r="97">
          <cell r="A97" t="str">
            <v>STEPONE</v>
          </cell>
          <cell r="B97">
            <v>78465</v>
          </cell>
        </row>
        <row r="98">
          <cell r="A98" t="str">
            <v>UDM6</v>
          </cell>
          <cell r="B98">
            <v>1100006489</v>
          </cell>
        </row>
        <row r="99">
          <cell r="A99" t="str">
            <v>UDM7</v>
          </cell>
          <cell r="B99">
            <v>46360523</v>
          </cell>
        </row>
        <row r="100">
          <cell r="A100" t="str">
            <v>UDM9</v>
          </cell>
          <cell r="B100">
            <v>173792904</v>
          </cell>
        </row>
        <row r="101">
          <cell r="A101" t="str">
            <v>UES20</v>
          </cell>
          <cell r="B101">
            <v>23044548</v>
          </cell>
        </row>
        <row r="102">
          <cell r="A102" t="str">
            <v>UES30</v>
          </cell>
          <cell r="B102">
            <v>234658014</v>
          </cell>
        </row>
        <row r="103">
          <cell r="A103" t="str">
            <v>UES40</v>
          </cell>
          <cell r="B103">
            <v>17723615</v>
          </cell>
        </row>
        <row r="104">
          <cell r="A104" t="str">
            <v>UES50</v>
          </cell>
          <cell r="B104">
            <v>550852602</v>
          </cell>
        </row>
        <row r="105">
          <cell r="A105" t="str">
            <v>UES70</v>
          </cell>
          <cell r="B105">
            <v>328851184</v>
          </cell>
        </row>
        <row r="106">
          <cell r="A106" t="str">
            <v>ULACCO</v>
          </cell>
          <cell r="B106">
            <v>4704953</v>
          </cell>
        </row>
        <row r="107">
          <cell r="A107" t="str">
            <v>ULBER-</v>
          </cell>
        </row>
        <row r="108">
          <cell r="A108" t="str">
            <v>ULBIL</v>
          </cell>
          <cell r="B108">
            <v>10517233</v>
          </cell>
        </row>
        <row r="109">
          <cell r="A109" t="str">
            <v>ULBILPIU</v>
          </cell>
          <cell r="B109">
            <v>17251250</v>
          </cell>
        </row>
        <row r="110">
          <cell r="A110" t="str">
            <v>ULC</v>
          </cell>
          <cell r="B110">
            <v>27311192</v>
          </cell>
        </row>
        <row r="111">
          <cell r="A111" t="str">
            <v>ULDER</v>
          </cell>
        </row>
        <row r="112">
          <cell r="A112" t="str">
            <v>ULDIN</v>
          </cell>
          <cell r="B112">
            <v>18063937</v>
          </cell>
        </row>
        <row r="113">
          <cell r="A113" t="str">
            <v>ULECSTARS</v>
          </cell>
          <cell r="B113">
            <v>1901251614</v>
          </cell>
        </row>
        <row r="114">
          <cell r="A114" t="str">
            <v>ULFTREND</v>
          </cell>
          <cell r="B114">
            <v>162161519</v>
          </cell>
        </row>
        <row r="115">
          <cell r="A115" t="str">
            <v>ULG4NEW</v>
          </cell>
          <cell r="B115">
            <v>411051</v>
          </cell>
        </row>
        <row r="116">
          <cell r="A116" t="str">
            <v>ULMATREND</v>
          </cell>
          <cell r="B116">
            <v>252843377</v>
          </cell>
        </row>
        <row r="117">
          <cell r="A117" t="str">
            <v>ULP</v>
          </cell>
          <cell r="B117">
            <v>12030736</v>
          </cell>
        </row>
        <row r="118">
          <cell r="A118" t="str">
            <v>ULPER</v>
          </cell>
        </row>
        <row r="119">
          <cell r="A119" t="str">
            <v>ULP-ER</v>
          </cell>
        </row>
        <row r="120">
          <cell r="A120" t="str">
            <v>ULPRUD</v>
          </cell>
          <cell r="B120">
            <v>15554245</v>
          </cell>
        </row>
        <row r="121">
          <cell r="A121" t="str">
            <v>UNGOALS</v>
          </cell>
          <cell r="B121">
            <v>909580051</v>
          </cell>
        </row>
        <row r="122">
          <cell r="A122" t="str">
            <v>20/12/24 11:06:03</v>
          </cell>
        </row>
      </sheetData>
      <sheetData sheetId="1">
        <row r="2">
          <cell r="A2" t="str">
            <v>1PM</v>
          </cell>
          <cell r="B2">
            <v>276712413</v>
          </cell>
        </row>
        <row r="3">
          <cell r="A3" t="str">
            <v>1QM</v>
          </cell>
          <cell r="B3">
            <v>44663645</v>
          </cell>
        </row>
        <row r="4">
          <cell r="A4" t="str">
            <v>1RM</v>
          </cell>
          <cell r="B4">
            <v>29944309</v>
          </cell>
        </row>
        <row r="5">
          <cell r="A5" t="str">
            <v>AAPROT80</v>
          </cell>
          <cell r="B5">
            <v>108101631</v>
          </cell>
        </row>
        <row r="6">
          <cell r="A6" t="str">
            <v>CCRESCITA</v>
          </cell>
          <cell r="B6">
            <v>1226192</v>
          </cell>
        </row>
        <row r="7">
          <cell r="A7" t="str">
            <v>CMEDIUM</v>
          </cell>
          <cell r="B7">
            <v>215898</v>
          </cell>
        </row>
        <row r="8">
          <cell r="A8" t="str">
            <v>CNPDYNPR80</v>
          </cell>
          <cell r="B8">
            <v>132260888</v>
          </cell>
        </row>
        <row r="9">
          <cell r="A9" t="str">
            <v>CNPPROT80</v>
          </cell>
          <cell r="B9">
            <v>92942418</v>
          </cell>
        </row>
        <row r="10">
          <cell r="A10" t="str">
            <v>CNPTHEMPROT</v>
          </cell>
          <cell r="B10">
            <v>201751089</v>
          </cell>
        </row>
        <row r="11">
          <cell r="A11" t="str">
            <v>COBBLEURO</v>
          </cell>
          <cell r="B11">
            <v>2649</v>
          </cell>
        </row>
        <row r="12">
          <cell r="A12" t="str">
            <v>CREDDITO</v>
          </cell>
          <cell r="B12">
            <v>82952</v>
          </cell>
        </row>
        <row r="13">
          <cell r="A13" t="str">
            <v>CRVDYNPR80</v>
          </cell>
          <cell r="B13">
            <v>303707882</v>
          </cell>
        </row>
        <row r="14">
          <cell r="A14" t="str">
            <v>CRVPROT80</v>
          </cell>
          <cell r="B14">
            <v>101671056</v>
          </cell>
        </row>
        <row r="15">
          <cell r="A15" t="str">
            <v>CRVTHEMPROT</v>
          </cell>
          <cell r="B15">
            <v>312423908</v>
          </cell>
        </row>
        <row r="16">
          <cell r="A16" t="str">
            <v>CSVILUPPO</v>
          </cell>
          <cell r="B16">
            <v>33771</v>
          </cell>
        </row>
        <row r="17">
          <cell r="A17" t="str">
            <v>CTREND_20</v>
          </cell>
          <cell r="B17">
            <v>23564</v>
          </cell>
        </row>
        <row r="18">
          <cell r="A18" t="str">
            <v>DINAR1TF</v>
          </cell>
          <cell r="B18">
            <v>1364632</v>
          </cell>
        </row>
        <row r="19">
          <cell r="A19" t="str">
            <v>DINAR2TF</v>
          </cell>
          <cell r="B19">
            <v>26955727</v>
          </cell>
        </row>
        <row r="20">
          <cell r="A20" t="str">
            <v>DINAR3TF</v>
          </cell>
          <cell r="B20">
            <v>794524</v>
          </cell>
        </row>
        <row r="21">
          <cell r="A21" t="str">
            <v>E118</v>
          </cell>
          <cell r="B21">
            <v>8321680.0100000007</v>
          </cell>
        </row>
        <row r="22">
          <cell r="A22" t="str">
            <v>E119</v>
          </cell>
          <cell r="B22">
            <v>56591525.730000004</v>
          </cell>
        </row>
        <row r="23">
          <cell r="A23" t="str">
            <v>E120</v>
          </cell>
          <cell r="B23">
            <v>123937506.37</v>
          </cell>
        </row>
        <row r="24">
          <cell r="A24" t="str">
            <v>E142</v>
          </cell>
          <cell r="B24">
            <v>323150343.74000001</v>
          </cell>
        </row>
        <row r="25">
          <cell r="A25" t="str">
            <v>E143</v>
          </cell>
          <cell r="B25">
            <v>247147097.27999997</v>
          </cell>
        </row>
        <row r="26">
          <cell r="A26" t="str">
            <v>E144</v>
          </cell>
          <cell r="B26">
            <v>85685108.980000004</v>
          </cell>
        </row>
        <row r="27">
          <cell r="A27" t="str">
            <v>E193</v>
          </cell>
          <cell r="B27">
            <v>137814615.19000003</v>
          </cell>
        </row>
        <row r="28">
          <cell r="A28" t="str">
            <v>E207</v>
          </cell>
          <cell r="B28">
            <v>56764604.780000001</v>
          </cell>
        </row>
        <row r="29">
          <cell r="A29" t="str">
            <v>E208</v>
          </cell>
          <cell r="B29">
            <v>77232789.670000002</v>
          </cell>
        </row>
        <row r="30">
          <cell r="A30" t="str">
            <v>E209</v>
          </cell>
          <cell r="B30">
            <v>234214073.76000002</v>
          </cell>
        </row>
        <row r="31">
          <cell r="A31" t="str">
            <v>E224</v>
          </cell>
          <cell r="B31">
            <v>74824881.549999997</v>
          </cell>
        </row>
        <row r="32">
          <cell r="A32" t="str">
            <v>F100123</v>
          </cell>
          <cell r="B32">
            <v>13134605716</v>
          </cell>
        </row>
        <row r="33">
          <cell r="A33" t="str">
            <v>LINPRO</v>
          </cell>
          <cell r="B33">
            <v>918320</v>
          </cell>
        </row>
        <row r="34">
          <cell r="A34" t="str">
            <v>MAA</v>
          </cell>
          <cell r="B34">
            <v>278072</v>
          </cell>
        </row>
        <row r="35">
          <cell r="A35" t="str">
            <v>MAB</v>
          </cell>
          <cell r="B35">
            <v>4891405</v>
          </cell>
        </row>
        <row r="36">
          <cell r="A36" t="str">
            <v>MAC</v>
          </cell>
          <cell r="B36">
            <v>187915</v>
          </cell>
        </row>
        <row r="37">
          <cell r="A37" t="str">
            <v>MAD</v>
          </cell>
          <cell r="B37">
            <v>340831</v>
          </cell>
        </row>
        <row r="38">
          <cell r="A38" t="str">
            <v>MAE</v>
          </cell>
          <cell r="B38">
            <v>155214</v>
          </cell>
        </row>
        <row r="39">
          <cell r="A39" t="str">
            <v>MAF</v>
          </cell>
          <cell r="B39">
            <v>87979</v>
          </cell>
        </row>
        <row r="40">
          <cell r="A40" t="str">
            <v>MAG</v>
          </cell>
          <cell r="B40">
            <v>135227</v>
          </cell>
        </row>
        <row r="41">
          <cell r="A41" t="str">
            <v>MAH</v>
          </cell>
          <cell r="B41">
            <v>631685</v>
          </cell>
        </row>
        <row r="42">
          <cell r="A42" t="str">
            <v>MAL</v>
          </cell>
          <cell r="B42">
            <v>143073</v>
          </cell>
        </row>
        <row r="43">
          <cell r="A43" t="str">
            <v>MAM</v>
          </cell>
          <cell r="B43">
            <v>16991</v>
          </cell>
        </row>
        <row r="44">
          <cell r="A44" t="str">
            <v>MAN</v>
          </cell>
          <cell r="B44">
            <v>29020</v>
          </cell>
        </row>
        <row r="45">
          <cell r="A45" t="str">
            <v>MATRUNIP</v>
          </cell>
          <cell r="B45">
            <v>12897265</v>
          </cell>
        </row>
        <row r="46">
          <cell r="A46" t="str">
            <v>MDIA4UL</v>
          </cell>
          <cell r="B46">
            <v>5812215</v>
          </cell>
        </row>
        <row r="47">
          <cell r="A47" t="str">
            <v>MEPF10</v>
          </cell>
          <cell r="B47">
            <v>393174</v>
          </cell>
        </row>
        <row r="48">
          <cell r="A48" t="str">
            <v>MEPF2N</v>
          </cell>
          <cell r="B48">
            <v>7920799</v>
          </cell>
        </row>
        <row r="49">
          <cell r="A49" t="str">
            <v>MEPF4</v>
          </cell>
          <cell r="B49">
            <v>1249574</v>
          </cell>
        </row>
        <row r="50">
          <cell r="A50" t="str">
            <v>MEPF5</v>
          </cell>
          <cell r="B50">
            <v>73864832</v>
          </cell>
        </row>
        <row r="51">
          <cell r="A51" t="str">
            <v>MEPF6</v>
          </cell>
          <cell r="B51">
            <v>65910670</v>
          </cell>
        </row>
        <row r="52">
          <cell r="A52" t="str">
            <v>MEPF8</v>
          </cell>
          <cell r="B52">
            <v>132733973</v>
          </cell>
        </row>
        <row r="53">
          <cell r="A53" t="str">
            <v>MLIFEBND</v>
          </cell>
          <cell r="B53">
            <v>89492990</v>
          </cell>
        </row>
        <row r="54">
          <cell r="A54" t="str">
            <v>MLINC</v>
          </cell>
          <cell r="B54">
            <v>230490457</v>
          </cell>
        </row>
        <row r="55">
          <cell r="A55" t="str">
            <v>MLPFLEX</v>
          </cell>
          <cell r="B55">
            <v>25631869</v>
          </cell>
        </row>
        <row r="56">
          <cell r="A56" t="str">
            <v>MODETFBAL</v>
          </cell>
          <cell r="B56">
            <v>111326553.32899173</v>
          </cell>
        </row>
        <row r="57">
          <cell r="A57" t="str">
            <v>MODETFBALUS</v>
          </cell>
          <cell r="B57">
            <v>104298656.50513323</v>
          </cell>
        </row>
        <row r="58">
          <cell r="A58" t="str">
            <v>MODETFDYN</v>
          </cell>
          <cell r="B58">
            <v>122203660.09902811</v>
          </cell>
        </row>
        <row r="59">
          <cell r="A59" t="str">
            <v>MODETFDYNUS</v>
          </cell>
          <cell r="B59">
            <v>130965685.53382213</v>
          </cell>
        </row>
        <row r="60">
          <cell r="A60" t="str">
            <v>MODETFPRU</v>
          </cell>
          <cell r="B60">
            <v>101141452.5899999</v>
          </cell>
        </row>
        <row r="61">
          <cell r="A61" t="str">
            <v>MODETFPRUUS</v>
          </cell>
          <cell r="B61">
            <v>115468244.64973429</v>
          </cell>
        </row>
        <row r="62">
          <cell r="A62" t="str">
            <v>MODSAXAC</v>
          </cell>
        </row>
        <row r="63">
          <cell r="A63" t="str">
            <v>MODSAXAERO</v>
          </cell>
          <cell r="B63">
            <v>112258579.25219399</v>
          </cell>
        </row>
        <row r="64">
          <cell r="A64" t="str">
            <v>MODSAXEC</v>
          </cell>
        </row>
        <row r="65">
          <cell r="A65" t="str">
            <v>MODSAXLRO</v>
          </cell>
          <cell r="B65">
            <v>113278666.40391199</v>
          </cell>
        </row>
        <row r="66">
          <cell r="A66" t="str">
            <v>MODSAXRO</v>
          </cell>
          <cell r="B66">
            <v>92505556.007399991</v>
          </cell>
        </row>
        <row r="67">
          <cell r="A67" t="str">
            <v>MULLI360</v>
          </cell>
          <cell r="B67">
            <v>170018725</v>
          </cell>
        </row>
        <row r="68">
          <cell r="A68" t="str">
            <v>MULSTEP</v>
          </cell>
          <cell r="B68">
            <v>8373945</v>
          </cell>
        </row>
        <row r="69">
          <cell r="A69" t="str">
            <v>MULTHEM</v>
          </cell>
          <cell r="B69">
            <v>1777255098</v>
          </cell>
        </row>
        <row r="70">
          <cell r="A70" t="str">
            <v>MUNIP</v>
          </cell>
          <cell r="B70">
            <v>272765</v>
          </cell>
        </row>
        <row r="71">
          <cell r="A71" t="str">
            <v>MUSG</v>
          </cell>
          <cell r="B71">
            <v>1080105960</v>
          </cell>
        </row>
        <row r="72">
          <cell r="A72" t="str">
            <v>MUSI</v>
          </cell>
          <cell r="B72">
            <v>263555955</v>
          </cell>
        </row>
        <row r="73">
          <cell r="A73" t="str">
            <v>PF103025</v>
          </cell>
          <cell r="B73">
            <v>111680002.01000001</v>
          </cell>
        </row>
        <row r="74">
          <cell r="A74" t="str">
            <v>PF115036</v>
          </cell>
          <cell r="B74">
            <v>98124607.040000007</v>
          </cell>
        </row>
        <row r="75">
          <cell r="A75" t="str">
            <v>PF201311</v>
          </cell>
          <cell r="B75">
            <v>291991455.05000001</v>
          </cell>
        </row>
        <row r="76">
          <cell r="A76" t="str">
            <v>PF87100</v>
          </cell>
          <cell r="B76">
            <v>6970226.1600000001</v>
          </cell>
        </row>
        <row r="77">
          <cell r="A77" t="str">
            <v>PF87115</v>
          </cell>
          <cell r="B77">
            <v>3927561.09</v>
          </cell>
        </row>
        <row r="78">
          <cell r="A78" t="str">
            <v>PF88300</v>
          </cell>
          <cell r="B78">
            <v>555495066.75999999</v>
          </cell>
        </row>
        <row r="79">
          <cell r="A79" t="str">
            <v>PF88524</v>
          </cell>
          <cell r="B79">
            <v>532844870.07000005</v>
          </cell>
        </row>
        <row r="80">
          <cell r="A80" t="str">
            <v>PF89408</v>
          </cell>
          <cell r="B80">
            <v>341822371.30000001</v>
          </cell>
        </row>
        <row r="81">
          <cell r="A81" t="str">
            <v>PF92127</v>
          </cell>
          <cell r="B81">
            <v>473820490.07999998</v>
          </cell>
        </row>
        <row r="82">
          <cell r="A82" t="str">
            <v>PF95239</v>
          </cell>
          <cell r="B82">
            <v>408635787.25</v>
          </cell>
        </row>
        <row r="83">
          <cell r="A83" t="str">
            <v>PLAP</v>
          </cell>
          <cell r="B83">
            <v>21788476</v>
          </cell>
        </row>
        <row r="84">
          <cell r="A84" t="str">
            <v>PLIC</v>
          </cell>
          <cell r="B84">
            <v>33951455</v>
          </cell>
        </row>
        <row r="85">
          <cell r="A85" t="str">
            <v>PMAI</v>
          </cell>
          <cell r="B85">
            <v>78336</v>
          </cell>
        </row>
        <row r="86">
          <cell r="A86" t="str">
            <v>PP1-3Y</v>
          </cell>
          <cell r="B86">
            <v>91452737</v>
          </cell>
        </row>
        <row r="87">
          <cell r="A87" t="str">
            <v>PP3Y</v>
          </cell>
          <cell r="B87">
            <v>121839302</v>
          </cell>
        </row>
        <row r="88">
          <cell r="A88" t="str">
            <v>PPIAZINTER</v>
          </cell>
          <cell r="B88">
            <v>40861520</v>
          </cell>
        </row>
        <row r="89">
          <cell r="A89" t="str">
            <v>PPIAZJAP</v>
          </cell>
          <cell r="B89">
            <v>38356461</v>
          </cell>
        </row>
        <row r="90">
          <cell r="A90" t="str">
            <v>PPIAZNAM</v>
          </cell>
          <cell r="B90">
            <v>107634059</v>
          </cell>
        </row>
        <row r="91">
          <cell r="A91" t="str">
            <v>PPIAZNAMHEDG</v>
          </cell>
          <cell r="B91">
            <v>58654597</v>
          </cell>
        </row>
        <row r="92">
          <cell r="A92" t="str">
            <v>PPIAZPACIF</v>
          </cell>
          <cell r="B92">
            <v>8717907</v>
          </cell>
        </row>
        <row r="93">
          <cell r="A93" t="str">
            <v>PSUKLD1</v>
          </cell>
          <cell r="B93">
            <v>138220003.57999998</v>
          </cell>
        </row>
        <row r="94">
          <cell r="A94" t="str">
            <v>R1M</v>
          </cell>
          <cell r="B94">
            <v>20364888</v>
          </cell>
        </row>
        <row r="95">
          <cell r="A95" t="str">
            <v>R2M</v>
          </cell>
          <cell r="B95">
            <v>3913810</v>
          </cell>
        </row>
        <row r="96">
          <cell r="A96" t="str">
            <v>STEPONE</v>
          </cell>
          <cell r="B96">
            <v>77392</v>
          </cell>
        </row>
        <row r="97">
          <cell r="A97" t="str">
            <v>UDM6</v>
          </cell>
          <cell r="B97">
            <v>1020119648</v>
          </cell>
        </row>
        <row r="98">
          <cell r="A98" t="str">
            <v>UDM7</v>
          </cell>
          <cell r="B98">
            <v>49761394</v>
          </cell>
        </row>
        <row r="99">
          <cell r="A99" t="str">
            <v>UDM9</v>
          </cell>
          <cell r="B99">
            <v>173466024</v>
          </cell>
        </row>
        <row r="100">
          <cell r="A100" t="str">
            <v>UES20</v>
          </cell>
          <cell r="B100">
            <v>24509694</v>
          </cell>
        </row>
        <row r="101">
          <cell r="A101" t="str">
            <v>UES30</v>
          </cell>
          <cell r="B101">
            <v>250680875</v>
          </cell>
        </row>
        <row r="102">
          <cell r="A102" t="str">
            <v>UES40</v>
          </cell>
          <cell r="B102">
            <v>19212387</v>
          </cell>
        </row>
        <row r="103">
          <cell r="A103" t="str">
            <v>UES50</v>
          </cell>
          <cell r="B103">
            <v>613264658</v>
          </cell>
        </row>
        <row r="104">
          <cell r="A104" t="str">
            <v>UES70</v>
          </cell>
          <cell r="B104">
            <v>366473118</v>
          </cell>
        </row>
        <row r="105">
          <cell r="A105" t="str">
            <v>ULACCO</v>
          </cell>
          <cell r="B105">
            <v>5173858</v>
          </cell>
        </row>
        <row r="106">
          <cell r="A106" t="str">
            <v>ULBER-</v>
          </cell>
        </row>
        <row r="107">
          <cell r="A107" t="str">
            <v>ULBIL</v>
          </cell>
          <cell r="B107">
            <v>11114645</v>
          </cell>
        </row>
        <row r="108">
          <cell r="A108" t="str">
            <v>ULBILPIU</v>
          </cell>
          <cell r="B108">
            <v>17726631</v>
          </cell>
        </row>
        <row r="109">
          <cell r="A109" t="str">
            <v>ULC</v>
          </cell>
          <cell r="B109">
            <v>27597514</v>
          </cell>
        </row>
        <row r="110">
          <cell r="A110" t="str">
            <v>ULDER</v>
          </cell>
        </row>
        <row r="111">
          <cell r="A111" t="str">
            <v>ULDIN</v>
          </cell>
          <cell r="B111">
            <v>19013976</v>
          </cell>
        </row>
        <row r="112">
          <cell r="A112" t="str">
            <v>ULECSTARS</v>
          </cell>
          <cell r="B112">
            <v>1877332566</v>
          </cell>
        </row>
        <row r="113">
          <cell r="A113" t="str">
            <v>ULFTREND</v>
          </cell>
          <cell r="B113">
            <v>153569443</v>
          </cell>
        </row>
        <row r="114">
          <cell r="A114" t="str">
            <v>ULG4NEW</v>
          </cell>
          <cell r="B114">
            <v>406916</v>
          </cell>
        </row>
        <row r="115">
          <cell r="A115" t="str">
            <v>ULMATREND</v>
          </cell>
          <cell r="B115">
            <v>239873847</v>
          </cell>
        </row>
        <row r="116">
          <cell r="A116" t="str">
            <v>ULP</v>
          </cell>
          <cell r="B116">
            <v>12689996</v>
          </cell>
        </row>
        <row r="117">
          <cell r="A117" t="str">
            <v>ULPER</v>
          </cell>
        </row>
        <row r="118">
          <cell r="A118" t="str">
            <v>ULP-ER</v>
          </cell>
        </row>
        <row r="119">
          <cell r="A119" t="str">
            <v>ULPRUD</v>
          </cell>
          <cell r="B119">
            <v>16167560</v>
          </cell>
        </row>
        <row r="120">
          <cell r="A120" t="str">
            <v>UNGOALS</v>
          </cell>
          <cell r="B120">
            <v>869067080</v>
          </cell>
        </row>
        <row r="121">
          <cell r="A121" t="str">
            <v>30/09/24 11:23:38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ws"/>
      <sheetName val="17th Nov - 14th Oct"/>
      <sheetName val="Flows Sept"/>
      <sheetName val="Q2 Flows"/>
      <sheetName val="Sheet1"/>
      <sheetName val="Flows July"/>
      <sheetName val="Flows Mid June"/>
      <sheetName val="Flows End of May"/>
      <sheetName val="Flows Mid- May"/>
      <sheetName val="Flows (April)"/>
    </sheetNames>
    <sheetDataSet>
      <sheetData sheetId="0">
        <row r="3">
          <cell r="A3" t="str">
            <v>E118</v>
          </cell>
          <cell r="B3" t="str">
            <v>AMUNDI UNICREDIT PREM PORT- PRUDENTIAL</v>
          </cell>
          <cell r="C3" t="str">
            <v>EUR</v>
          </cell>
          <cell r="D3">
            <v>-798922.5844135189</v>
          </cell>
        </row>
        <row r="4">
          <cell r="A4" t="str">
            <v>E119</v>
          </cell>
          <cell r="B4" t="str">
            <v>AMUNDI UNICREDIT PREMIUM PORT - DYNAMIC</v>
          </cell>
          <cell r="C4" t="str">
            <v>EUR</v>
          </cell>
          <cell r="D4">
            <v>-1656568.0657256469</v>
          </cell>
        </row>
        <row r="5">
          <cell r="A5" t="str">
            <v>E120</v>
          </cell>
          <cell r="B5" t="str">
            <v>AMUNDI UNICREDIT PREM PORT- MULTI ASSET</v>
          </cell>
          <cell r="C5" t="str">
            <v>EUR</v>
          </cell>
          <cell r="D5">
            <v>-5424835.5633996008</v>
          </cell>
        </row>
        <row r="6">
          <cell r="A6" t="str">
            <v>E142</v>
          </cell>
          <cell r="B6" t="str">
            <v>AM FD SOL BALANCED</v>
          </cell>
          <cell r="C6" t="str">
            <v>EUR</v>
          </cell>
          <cell r="D6">
            <v>-4401543.419829757</v>
          </cell>
        </row>
        <row r="7">
          <cell r="A7" t="str">
            <v>E143</v>
          </cell>
          <cell r="B7" t="str">
            <v>AM FD SOL CONSERVATIVE</v>
          </cell>
          <cell r="C7" t="str">
            <v>EUR</v>
          </cell>
          <cell r="D7">
            <v>-6585274.1259017717</v>
          </cell>
        </row>
        <row r="8">
          <cell r="A8" t="str">
            <v>E144</v>
          </cell>
          <cell r="B8" t="str">
            <v>AM FD SOL DIVERSIFIED GROWTH</v>
          </cell>
          <cell r="C8" t="str">
            <v>EUR</v>
          </cell>
          <cell r="D8">
            <v>-1199812.7503379725</v>
          </cell>
        </row>
        <row r="9">
          <cell r="A9" t="str">
            <v>E193</v>
          </cell>
          <cell r="B9" t="str">
            <v>AM FD SOL DIVERSIFIED INC B SELCT</v>
          </cell>
          <cell r="C9" t="str">
            <v>EUR</v>
          </cell>
          <cell r="D9">
            <v>-4867464.6900000013</v>
          </cell>
        </row>
        <row r="10">
          <cell r="A10" t="str">
            <v>E207</v>
          </cell>
          <cell r="B10" t="str">
            <v>AIF - TACTICAL ALLOCAT FUND</v>
          </cell>
          <cell r="C10" t="str">
            <v>EUR</v>
          </cell>
          <cell r="D10">
            <v>-446651.58000000013</v>
          </cell>
        </row>
        <row r="11">
          <cell r="A11" t="str">
            <v>E208</v>
          </cell>
          <cell r="B11" t="str">
            <v>AIF - TACTICAL ALLOCAT BD FD</v>
          </cell>
          <cell r="C11" t="str">
            <v>EUR</v>
          </cell>
          <cell r="D11">
            <v>-2977460.7300000018</v>
          </cell>
        </row>
        <row r="12">
          <cell r="A12" t="str">
            <v>E209</v>
          </cell>
          <cell r="B12" t="str">
            <v>AIF - DYNAMIC ALLOCATION FUND</v>
          </cell>
          <cell r="C12" t="str">
            <v>EUR</v>
          </cell>
          <cell r="D12">
            <v>-26306785.200000003</v>
          </cell>
        </row>
        <row r="13">
          <cell r="A13" t="str">
            <v>E224</v>
          </cell>
          <cell r="B13" t="str">
            <v>AIF - TACTICAL ALLOC PILLAR</v>
          </cell>
          <cell r="C13" t="str">
            <v>EUR</v>
          </cell>
          <cell r="D13">
            <v>-6138586.8300000001</v>
          </cell>
        </row>
        <row r="14">
          <cell r="A14" t="str">
            <v xml:space="preserve">PACIFAI     </v>
          </cell>
          <cell r="B14" t="str">
            <v>PACIFICA POCHE AI</v>
          </cell>
          <cell r="C14" t="str">
            <v>EUR</v>
          </cell>
        </row>
        <row r="15">
          <cell r="A15" t="str">
            <v>PF101372</v>
          </cell>
          <cell r="B15" t="str">
            <v xml:space="preserve">AFS ICAV Planet ESG Conservative </v>
          </cell>
          <cell r="C15" t="str">
            <v>EUR</v>
          </cell>
        </row>
        <row r="16">
          <cell r="A16" t="str">
            <v>PF101376</v>
          </cell>
          <cell r="B16" t="str">
            <v>AFS ICAV Planet ESG Balanced</v>
          </cell>
          <cell r="C16" t="str">
            <v>EUR</v>
          </cell>
        </row>
        <row r="17">
          <cell r="A17" t="str">
            <v>PF101380</v>
          </cell>
          <cell r="B17" t="str">
            <v xml:space="preserve">AFS ICAV Planet ESG Dynamic </v>
          </cell>
          <cell r="C17" t="str">
            <v>EUR</v>
          </cell>
        </row>
        <row r="18">
          <cell r="A18" t="str">
            <v>PF103025</v>
          </cell>
          <cell r="B18" t="str">
            <v>ASI - PROGETTO AZIONE FUTURO GREEN</v>
          </cell>
          <cell r="C18" t="str">
            <v>EUR</v>
          </cell>
          <cell r="D18">
            <v>-18151357.009999994</v>
          </cell>
        </row>
        <row r="19">
          <cell r="A19" t="str">
            <v>PF52231</v>
          </cell>
          <cell r="B19" t="str">
            <v>AMUNDI SENTIERO SOSTENIBILE</v>
          </cell>
          <cell r="C19" t="str">
            <v>EUR</v>
          </cell>
        </row>
        <row r="20">
          <cell r="A20" t="str">
            <v>PF71664</v>
          </cell>
          <cell r="B20" t="str">
            <v>ASI - PROGETTO AZ MEGATREND</v>
          </cell>
          <cell r="C20" t="str">
            <v>EUR</v>
          </cell>
          <cell r="D20">
            <v>-2520039.62</v>
          </cell>
        </row>
        <row r="21">
          <cell r="A21" t="str">
            <v>PF76580</v>
          </cell>
          <cell r="B21" t="str">
            <v>ASI - PROGETTO AZION MEGATREND II</v>
          </cell>
          <cell r="C21" t="str">
            <v>EUR</v>
          </cell>
          <cell r="D21">
            <v>-1251536.6500000001</v>
          </cell>
        </row>
        <row r="22">
          <cell r="A22" t="str">
            <v>PF78195</v>
          </cell>
          <cell r="B22" t="str">
            <v>ASI-PROGETTO AZION CAMBIAMENT CLIMATI</v>
          </cell>
          <cell r="C22" t="str">
            <v>EUR</v>
          </cell>
          <cell r="D22">
            <v>-2202239.33</v>
          </cell>
        </row>
        <row r="23">
          <cell r="A23" t="str">
            <v>PF79139</v>
          </cell>
          <cell r="B23" t="str">
            <v>ASI - PROGETTO AZIONE CAMBIAMENTO II</v>
          </cell>
          <cell r="C23" t="str">
            <v>EUR</v>
          </cell>
          <cell r="D23">
            <v>-1203484.7799999998</v>
          </cell>
        </row>
        <row r="24">
          <cell r="A24" t="str">
            <v>PF80513</v>
          </cell>
          <cell r="B24" t="str">
            <v>ASI - PROGETTO AZION MILLENNIALS</v>
          </cell>
          <cell r="C24" t="str">
            <v>EUR</v>
          </cell>
          <cell r="D24">
            <v>-2840809.6</v>
          </cell>
        </row>
        <row r="25">
          <cell r="A25" t="str">
            <v>PF82304</v>
          </cell>
          <cell r="B25" t="str">
            <v>ASI - PROGETTO AZION MILLENNNIALS II</v>
          </cell>
          <cell r="C25" t="str">
            <v>EUR</v>
          </cell>
          <cell r="D25">
            <v>-2645344.77</v>
          </cell>
        </row>
        <row r="26">
          <cell r="A26" t="str">
            <v>PF87100</v>
          </cell>
          <cell r="B26" t="str">
            <v>AFS SABADELL URQUIJO ACUMULACION</v>
          </cell>
          <cell r="C26" t="str">
            <v>EUR</v>
          </cell>
        </row>
        <row r="27">
          <cell r="A27" t="str">
            <v>PF87115</v>
          </cell>
          <cell r="B27" t="str">
            <v>AFS SABADELL URQUIJO CRECIMIENTO</v>
          </cell>
          <cell r="C27" t="str">
            <v>EUR</v>
          </cell>
        </row>
        <row r="28">
          <cell r="A28" t="str">
            <v>PF88300</v>
          </cell>
          <cell r="B28" t="str">
            <v>ASI - PROGETTO AZIONE ENERGY TRANSITION</v>
          </cell>
          <cell r="C28" t="str">
            <v>EUR</v>
          </cell>
          <cell r="D28">
            <v>-75897228.409999982</v>
          </cell>
        </row>
        <row r="29">
          <cell r="A29" t="str">
            <v>PF88524</v>
          </cell>
          <cell r="B29" t="str">
            <v>AMUNDI ELITE THEMATIC MULTI ASSET</v>
          </cell>
          <cell r="C29" t="str">
            <v>EUR</v>
          </cell>
          <cell r="D29">
            <v>-136912235.76999998</v>
          </cell>
        </row>
        <row r="30">
          <cell r="A30" t="str">
            <v>PF89408</v>
          </cell>
          <cell r="B30" t="str">
            <v>ASI - PROGETTO AZIONE ENERGY TRANSITION (II)</v>
          </cell>
          <cell r="C30" t="str">
            <v>EUR</v>
          </cell>
          <cell r="D30">
            <v>-47534278.330000006</v>
          </cell>
        </row>
        <row r="31">
          <cell r="A31" t="str">
            <v>PF92127</v>
          </cell>
          <cell r="B31" t="str">
            <v>ASI - PROGETTO AZION INFRASTRUTTURE SOSTENIBILI</v>
          </cell>
          <cell r="C31" t="str">
            <v>EUR</v>
          </cell>
          <cell r="D31">
            <v>-114988408.88000004</v>
          </cell>
        </row>
        <row r="32">
          <cell r="A32" t="str">
            <v>PF95239</v>
          </cell>
          <cell r="B32" t="str">
            <v>ASI - PROGETTO AZION INFRASTRUTTURE SOSTENIBILI (II)</v>
          </cell>
          <cell r="C32" t="str">
            <v>EUR</v>
          </cell>
          <cell r="D32">
            <v>-68314787.599999979</v>
          </cell>
        </row>
        <row r="33">
          <cell r="A33" t="str">
            <v>PF115036</v>
          </cell>
          <cell r="B33" t="str">
            <v>THE TRUSTHOUSE FDN CPI+4% MULTI-AST PTF</v>
          </cell>
          <cell r="C33" t="str">
            <v>GBP</v>
          </cell>
        </row>
        <row r="37">
          <cell r="A37" t="str">
            <v>PSUKLD1</v>
          </cell>
          <cell r="B37" t="str">
            <v>Amundi Invensys Broad Bond Portfolio</v>
          </cell>
          <cell r="C37" t="str">
            <v>GBP</v>
          </cell>
          <cell r="D37">
            <v>0</v>
          </cell>
        </row>
        <row r="38">
          <cell r="A38" t="str">
            <v>1PM</v>
          </cell>
          <cell r="D38">
            <v>-8096631.620000002</v>
          </cell>
        </row>
        <row r="39">
          <cell r="A39" t="str">
            <v>1QM</v>
          </cell>
          <cell r="D39">
            <v>-915885.27000000014</v>
          </cell>
        </row>
        <row r="40">
          <cell r="A40" t="str">
            <v>1RM</v>
          </cell>
          <cell r="D40">
            <v>-567692.13</v>
          </cell>
        </row>
        <row r="41">
          <cell r="A41" t="str">
            <v>2RDIN</v>
          </cell>
          <cell r="D41">
            <v>-47.02</v>
          </cell>
        </row>
        <row r="42">
          <cell r="A42" t="str">
            <v>2RSIC</v>
          </cell>
          <cell r="D42">
            <v>0</v>
          </cell>
        </row>
        <row r="43">
          <cell r="A43" t="str">
            <v>2RTRAN</v>
          </cell>
          <cell r="D43">
            <v>-142.79000000000002</v>
          </cell>
        </row>
        <row r="44">
          <cell r="A44" t="str">
            <v>AAPROT80</v>
          </cell>
          <cell r="D44">
            <v>-3090101.6899999995</v>
          </cell>
        </row>
        <row r="45">
          <cell r="A45" t="str">
            <v>ARSTARS</v>
          </cell>
          <cell r="D45">
            <v>-37322925.299999975</v>
          </cell>
        </row>
        <row r="46">
          <cell r="A46" t="str">
            <v>CCRESCITA</v>
          </cell>
          <cell r="D46">
            <v>-19473.099999999995</v>
          </cell>
        </row>
        <row r="47">
          <cell r="A47" t="str">
            <v>CNPDYNPR80</v>
          </cell>
          <cell r="D47">
            <v>-16088829.240000004</v>
          </cell>
        </row>
        <row r="48">
          <cell r="A48" t="str">
            <v>CNPTHEMPROT</v>
          </cell>
          <cell r="D48">
            <v>-10521304.209999999</v>
          </cell>
        </row>
        <row r="49">
          <cell r="A49" t="str">
            <v>CRVDYNPR80</v>
          </cell>
          <cell r="D49">
            <v>-25728394.100000024</v>
          </cell>
        </row>
        <row r="50">
          <cell r="A50" t="str">
            <v>CRVTHEMPROT</v>
          </cell>
          <cell r="D50">
            <v>-11494400.819999998</v>
          </cell>
        </row>
        <row r="51">
          <cell r="A51" t="str">
            <v>DINAR1TF</v>
          </cell>
          <cell r="D51">
            <v>-8576.35</v>
          </cell>
        </row>
        <row r="52">
          <cell r="A52" t="str">
            <v>DINAR2TF</v>
          </cell>
          <cell r="D52">
            <v>-155507.10000000009</v>
          </cell>
        </row>
        <row r="53">
          <cell r="A53" t="str">
            <v>DINAR3TF</v>
          </cell>
          <cell r="D53">
            <v>-3761.6500000000005</v>
          </cell>
        </row>
        <row r="54">
          <cell r="A54" t="str">
            <v>INCSMRT</v>
          </cell>
          <cell r="D54">
            <v>-20432842.009999983</v>
          </cell>
        </row>
        <row r="55">
          <cell r="A55" t="str">
            <v>MAA</v>
          </cell>
          <cell r="D55">
            <v>-1958.1100000000001</v>
          </cell>
        </row>
        <row r="56">
          <cell r="A56" t="str">
            <v>MAB</v>
          </cell>
          <cell r="D56">
            <v>-70599.200000000041</v>
          </cell>
        </row>
        <row r="57">
          <cell r="A57" t="str">
            <v>MAC</v>
          </cell>
          <cell r="D57">
            <v>-1740.22</v>
          </cell>
        </row>
        <row r="58">
          <cell r="A58" t="str">
            <v>MAD</v>
          </cell>
          <cell r="D58">
            <v>-2087.83</v>
          </cell>
        </row>
        <row r="59">
          <cell r="A59" t="str">
            <v>MAE</v>
          </cell>
          <cell r="D59">
            <v>-1644.49</v>
          </cell>
        </row>
        <row r="60">
          <cell r="A60" t="str">
            <v>MAF</v>
          </cell>
          <cell r="D60">
            <v>-1505.89</v>
          </cell>
        </row>
        <row r="61">
          <cell r="A61" t="str">
            <v>MAG</v>
          </cell>
          <cell r="D61">
            <v>-1605.7</v>
          </cell>
        </row>
        <row r="62">
          <cell r="A62" t="str">
            <v>MAH</v>
          </cell>
          <cell r="D62">
            <v>-2758.01</v>
          </cell>
        </row>
        <row r="63">
          <cell r="A63" t="str">
            <v>MAI</v>
          </cell>
          <cell r="D63">
            <v>-1475.16</v>
          </cell>
        </row>
        <row r="64">
          <cell r="A64" t="str">
            <v>MAL</v>
          </cell>
          <cell r="D64">
            <v>-1625.16</v>
          </cell>
        </row>
        <row r="65">
          <cell r="A65" t="str">
            <v>MAM</v>
          </cell>
          <cell r="D65">
            <v>-579.68999999999983</v>
          </cell>
        </row>
        <row r="66">
          <cell r="A66" t="str">
            <v>MAN</v>
          </cell>
          <cell r="D66">
            <v>-1209.0000000000002</v>
          </cell>
        </row>
        <row r="67">
          <cell r="A67" t="str">
            <v>MATRUNIP</v>
          </cell>
          <cell r="D67">
            <v>-644373.75999999989</v>
          </cell>
        </row>
        <row r="68">
          <cell r="A68" t="str">
            <v>MDIA2UL</v>
          </cell>
          <cell r="D68">
            <v>-45140.160000000003</v>
          </cell>
        </row>
        <row r="69">
          <cell r="A69" t="str">
            <v>MDIA3UL</v>
          </cell>
          <cell r="D69">
            <v>-125570.52999999998</v>
          </cell>
        </row>
        <row r="70">
          <cell r="A70" t="str">
            <v>MDIA4UL</v>
          </cell>
          <cell r="D70">
            <v>-191358.46000000005</v>
          </cell>
        </row>
        <row r="71">
          <cell r="A71" t="str">
            <v>MEBM</v>
          </cell>
          <cell r="D71">
            <v>-223659.39000000007</v>
          </cell>
        </row>
        <row r="72">
          <cell r="A72" t="str">
            <v>MEP</v>
          </cell>
          <cell r="D72">
            <v>-192176.77999999997</v>
          </cell>
        </row>
        <row r="73">
          <cell r="A73" t="str">
            <v>MEPF10</v>
          </cell>
          <cell r="D73">
            <v>-1323.0099999999998</v>
          </cell>
        </row>
        <row r="74">
          <cell r="A74" t="str">
            <v>MEPF2N</v>
          </cell>
          <cell r="D74">
            <v>-350635.67999999988</v>
          </cell>
        </row>
        <row r="75">
          <cell r="A75" t="str">
            <v>MEPF4</v>
          </cell>
          <cell r="D75">
            <v>-182908.58999999997</v>
          </cell>
        </row>
        <row r="76">
          <cell r="A76" t="str">
            <v>MEPF5</v>
          </cell>
          <cell r="D76">
            <v>-1379157.7200000009</v>
          </cell>
        </row>
        <row r="77">
          <cell r="A77" t="str">
            <v>MEPF6</v>
          </cell>
          <cell r="D77">
            <v>-1481691.5300000005</v>
          </cell>
        </row>
        <row r="78">
          <cell r="A78" t="str">
            <v>MEPF8</v>
          </cell>
          <cell r="D78">
            <v>-2446438.419999999</v>
          </cell>
        </row>
        <row r="79">
          <cell r="A79" t="str">
            <v>MEUROC</v>
          </cell>
          <cell r="D79">
            <v>-3217942.01</v>
          </cell>
        </row>
        <row r="80">
          <cell r="A80" t="str">
            <v>MLIFEBND</v>
          </cell>
          <cell r="D80">
            <v>-4047481.4800000009</v>
          </cell>
        </row>
        <row r="81">
          <cell r="A81" t="str">
            <v>MLINC</v>
          </cell>
          <cell r="D81">
            <v>-15247022.630000001</v>
          </cell>
        </row>
        <row r="82">
          <cell r="A82" t="str">
            <v>MLPFLEX</v>
          </cell>
          <cell r="D82">
            <v>-916591.71999999974</v>
          </cell>
        </row>
        <row r="83">
          <cell r="A83" t="str">
            <v>MULLI360</v>
          </cell>
          <cell r="D83">
            <v>-14572498.070000004</v>
          </cell>
        </row>
        <row r="84">
          <cell r="A84" t="str">
            <v>MULSTEP</v>
          </cell>
          <cell r="D84">
            <v>-334707.83</v>
          </cell>
        </row>
        <row r="85">
          <cell r="A85" t="str">
            <v>MULTHEM</v>
          </cell>
          <cell r="D85">
            <v>-88153187.509999931</v>
          </cell>
        </row>
        <row r="86">
          <cell r="A86" t="str">
            <v>MUNIP</v>
          </cell>
          <cell r="D86">
            <v>-17807.07</v>
          </cell>
        </row>
        <row r="87">
          <cell r="A87" t="str">
            <v>MUSE</v>
          </cell>
          <cell r="D87">
            <v>-5593987.6700000074</v>
          </cell>
        </row>
        <row r="88">
          <cell r="A88" t="str">
            <v>MUSEST</v>
          </cell>
          <cell r="D88">
            <v>-3653577.2099999986</v>
          </cell>
        </row>
        <row r="89">
          <cell r="A89" t="str">
            <v>MUSG</v>
          </cell>
          <cell r="D89">
            <v>-140886179.43999982</v>
          </cell>
        </row>
        <row r="90">
          <cell r="A90" t="str">
            <v>MUSI</v>
          </cell>
          <cell r="D90">
            <v>-24530124.020000018</v>
          </cell>
        </row>
        <row r="91">
          <cell r="A91" t="str">
            <v>PATRIMONIO</v>
          </cell>
          <cell r="D91">
            <v>-4452670.4599999981</v>
          </cell>
        </row>
        <row r="92">
          <cell r="A92" t="str">
            <v>PLAP</v>
          </cell>
          <cell r="D92">
            <v>-763040.60000000009</v>
          </cell>
        </row>
        <row r="93">
          <cell r="A93" t="str">
            <v>PLEBE</v>
          </cell>
          <cell r="D93">
            <v>-9845561.4600000009</v>
          </cell>
        </row>
        <row r="94">
          <cell r="A94" t="str">
            <v>PLIC</v>
          </cell>
          <cell r="D94">
            <v>-373108.55999999994</v>
          </cell>
        </row>
        <row r="95">
          <cell r="A95" t="str">
            <v>PLUSB</v>
          </cell>
          <cell r="D95">
            <v>-9380704.6199999899</v>
          </cell>
        </row>
        <row r="96">
          <cell r="A96" t="str">
            <v>PP1-3Y</v>
          </cell>
          <cell r="D96">
            <v>-4628998.620000001</v>
          </cell>
        </row>
        <row r="97">
          <cell r="A97" t="str">
            <v>PP3Y</v>
          </cell>
          <cell r="D97">
            <v>-188585.52999999974</v>
          </cell>
        </row>
        <row r="98">
          <cell r="A98" t="str">
            <v>R1M</v>
          </cell>
          <cell r="D98">
            <v>-444459.29000000004</v>
          </cell>
        </row>
        <row r="99">
          <cell r="A99" t="str">
            <v>R2M</v>
          </cell>
          <cell r="D99">
            <v>-34928.270000000019</v>
          </cell>
        </row>
        <row r="100">
          <cell r="A100" t="str">
            <v>UDM1</v>
          </cell>
          <cell r="D100">
            <v>0</v>
          </cell>
        </row>
        <row r="101">
          <cell r="A101" t="str">
            <v>UDM10</v>
          </cell>
          <cell r="D101">
            <v>-601.20000000000005</v>
          </cell>
        </row>
        <row r="102">
          <cell r="A102" t="str">
            <v>UDM2</v>
          </cell>
          <cell r="D102">
            <v>-168708.38</v>
          </cell>
        </row>
        <row r="103">
          <cell r="A103" t="str">
            <v>UDM3</v>
          </cell>
          <cell r="D103">
            <v>-46829.119999999995</v>
          </cell>
        </row>
        <row r="104">
          <cell r="A104" t="str">
            <v>UDM5</v>
          </cell>
          <cell r="D104">
            <v>-23964450.97000001</v>
          </cell>
        </row>
        <row r="105">
          <cell r="A105" t="str">
            <v>UDM5EX</v>
          </cell>
          <cell r="D105">
            <v>-175122.56999999992</v>
          </cell>
        </row>
        <row r="106">
          <cell r="A106" t="str">
            <v>UDM6</v>
          </cell>
          <cell r="D106">
            <v>1008111.8999999951</v>
          </cell>
        </row>
        <row r="107">
          <cell r="A107" t="str">
            <v>UDM7</v>
          </cell>
          <cell r="D107">
            <v>-74993.419999999984</v>
          </cell>
        </row>
        <row r="108">
          <cell r="A108" t="str">
            <v>UDM8</v>
          </cell>
          <cell r="D108">
            <v>-10665889.520000003</v>
          </cell>
        </row>
        <row r="109">
          <cell r="A109" t="str">
            <v>UDM9</v>
          </cell>
          <cell r="D109">
            <v>-4429190.5399999972</v>
          </cell>
        </row>
        <row r="110">
          <cell r="A110" t="str">
            <v>UEAAL</v>
          </cell>
          <cell r="D110">
            <v>-86443.800000000032</v>
          </cell>
        </row>
        <row r="111">
          <cell r="A111" t="str">
            <v>UEAC</v>
          </cell>
          <cell r="D111">
            <v>-143446.35999999946</v>
          </cell>
        </row>
        <row r="112">
          <cell r="A112" t="str">
            <v>UEAEEM</v>
          </cell>
          <cell r="D112">
            <v>-112084.45</v>
          </cell>
        </row>
        <row r="113">
          <cell r="A113" t="str">
            <v>UEAIN</v>
          </cell>
          <cell r="D113">
            <v>-940623.65999999968</v>
          </cell>
        </row>
        <row r="114">
          <cell r="A114" t="str">
            <v>UES20</v>
          </cell>
          <cell r="D114">
            <v>-1652714.3599999989</v>
          </cell>
        </row>
        <row r="115">
          <cell r="A115" t="str">
            <v>UES30</v>
          </cell>
          <cell r="D115">
            <v>-17940993.880000018</v>
          </cell>
        </row>
        <row r="116">
          <cell r="A116" t="str">
            <v>UES40</v>
          </cell>
          <cell r="D116">
            <v>-1681571.7899999993</v>
          </cell>
        </row>
        <row r="117">
          <cell r="A117" t="str">
            <v>UES50</v>
          </cell>
          <cell r="D117">
            <v>-66777686.989999987</v>
          </cell>
        </row>
        <row r="118">
          <cell r="A118" t="str">
            <v>UES70</v>
          </cell>
          <cell r="D118">
            <v>-40659051.159999982</v>
          </cell>
        </row>
        <row r="119">
          <cell r="A119" t="str">
            <v>ULACCO</v>
          </cell>
          <cell r="D119">
            <v>-340502.77</v>
          </cell>
        </row>
        <row r="120">
          <cell r="A120" t="str">
            <v>ULBIL</v>
          </cell>
          <cell r="D120">
            <v>-614112.52</v>
          </cell>
        </row>
        <row r="121">
          <cell r="A121" t="str">
            <v>ULBILPIU</v>
          </cell>
          <cell r="D121">
            <v>-514722.49999999988</v>
          </cell>
        </row>
        <row r="122">
          <cell r="A122" t="str">
            <v>ULC</v>
          </cell>
          <cell r="D122">
            <v>-523806.44999999984</v>
          </cell>
        </row>
        <row r="123">
          <cell r="A123" t="str">
            <v>ULDIN</v>
          </cell>
          <cell r="D123">
            <v>-905874.80999999994</v>
          </cell>
        </row>
        <row r="124">
          <cell r="A124" t="str">
            <v>ULECSTARS</v>
          </cell>
          <cell r="D124">
            <v>-32352755.369999997</v>
          </cell>
        </row>
        <row r="125">
          <cell r="A125" t="str">
            <v>ULG4NEW</v>
          </cell>
          <cell r="D125">
            <v>-681.71</v>
          </cell>
        </row>
        <row r="126">
          <cell r="A126" t="str">
            <v>ULP</v>
          </cell>
          <cell r="D126">
            <v>-668763.87000000011</v>
          </cell>
        </row>
        <row r="127">
          <cell r="A127" t="str">
            <v>ULPRUD</v>
          </cell>
          <cell r="D127">
            <v>-673150.85</v>
          </cell>
        </row>
        <row r="128">
          <cell r="A128" t="str">
            <v>UNGOALS</v>
          </cell>
          <cell r="D128">
            <v>8885720.7199999932</v>
          </cell>
        </row>
        <row r="129">
          <cell r="A129" t="str">
            <v>ULMATREND</v>
          </cell>
          <cell r="D129">
            <v>6517412.1099999938</v>
          </cell>
        </row>
        <row r="130">
          <cell r="A130" t="str">
            <v xml:space="preserve">ULFTREND </v>
          </cell>
          <cell r="D130">
            <v>226891.29000000094</v>
          </cell>
        </row>
        <row r="131">
          <cell r="A131" t="str">
            <v>CNPPROT80</v>
          </cell>
          <cell r="D131">
            <v>367906.5400000001</v>
          </cell>
        </row>
        <row r="132">
          <cell r="A132" t="str">
            <v>CRVPROT80</v>
          </cell>
          <cell r="D132">
            <v>1020637.6299999998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CODE</v>
          </cell>
          <cell r="B1"/>
          <cell r="C1" t="str">
            <v>On Master List?</v>
          </cell>
          <cell r="D1" t="str">
            <v>Portfolio Name</v>
          </cell>
          <cell r="E1" t="str">
            <v>INVESTMENT MANAGER</v>
          </cell>
          <cell r="F1" t="str">
            <v>PORTFOLIO MANAGER</v>
          </cell>
          <cell r="G1" t="str">
            <v>ADVISOR</v>
          </cell>
          <cell r="H1" t="str">
            <v>PM - ADVISOR</v>
          </cell>
          <cell r="I1" t="str">
            <v>BUILDING BLOCK (Y/N)</v>
          </cell>
          <cell r="J1" t="str">
            <v>Notes</v>
          </cell>
          <cell r="K1" t="str">
            <v>CONTINT, GIC, G-rated, Dublin buy list Assigned</v>
          </cell>
          <cell r="L1" t="str">
            <v>VAR or TE</v>
          </cell>
          <cell r="M1" t="str">
            <v>VAR/TE limit</v>
          </cell>
        </row>
        <row r="2">
          <cell r="A2" t="str">
            <v>1PM</v>
          </cell>
          <cell r="B2" t="str">
            <v>From Risk - Models master - Sheet 1</v>
          </cell>
          <cell r="C2" t="str">
            <v>Yes</v>
          </cell>
          <cell r="D2" t="str">
            <v>CAM ARES RISPARMIO ATTIVO M</v>
          </cell>
          <cell r="E2" t="str">
            <v>AMUNDI Dublin</v>
          </cell>
          <cell r="F2" t="str">
            <v>Bertrand Paquot</v>
          </cell>
          <cell r="G2"/>
          <cell r="H2"/>
          <cell r="I2"/>
          <cell r="K2" t="str">
            <v>YES</v>
          </cell>
          <cell r="L2" t="str">
            <v>TE</v>
          </cell>
          <cell r="M2">
            <v>0.06</v>
          </cell>
        </row>
        <row r="3">
          <cell r="A3" t="str">
            <v>1QM</v>
          </cell>
          <cell r="B3" t="str">
            <v>From Risk - Models master - Sheet 1</v>
          </cell>
          <cell r="C3" t="str">
            <v>Yes</v>
          </cell>
          <cell r="D3" t="str">
            <v>CAM ARES RISPARMIO BILANCIATO M</v>
          </cell>
          <cell r="E3" t="str">
            <v>AMUNDI Dublin</v>
          </cell>
          <cell r="F3" t="str">
            <v>Bertrand Paquot</v>
          </cell>
          <cell r="G3"/>
          <cell r="H3"/>
          <cell r="I3"/>
          <cell r="K3" t="str">
            <v>YES</v>
          </cell>
          <cell r="L3" t="str">
            <v>TE</v>
          </cell>
          <cell r="M3">
            <v>0.04</v>
          </cell>
        </row>
        <row r="4">
          <cell r="A4" t="str">
            <v>1RM</v>
          </cell>
          <cell r="B4" t="str">
            <v>From Risk - Models master - Sheet 1</v>
          </cell>
          <cell r="C4" t="str">
            <v>Yes</v>
          </cell>
          <cell r="D4" t="str">
            <v>CAM ARES RISPARMIO OBBLIGAZ. M</v>
          </cell>
          <cell r="E4" t="str">
            <v>AMUNDI Dublin</v>
          </cell>
          <cell r="F4" t="str">
            <v>Bertrand Paquot</v>
          </cell>
          <cell r="G4"/>
          <cell r="H4"/>
          <cell r="I4"/>
          <cell r="K4" t="str">
            <v>YES</v>
          </cell>
          <cell r="L4" t="str">
            <v>TE</v>
          </cell>
          <cell r="M4">
            <v>2.5999999999999999E-2</v>
          </cell>
        </row>
        <row r="5">
          <cell r="A5" t="str">
            <v>CCRESCITA</v>
          </cell>
          <cell r="B5" t="str">
            <v>From Risk - Models master - Sheet 1</v>
          </cell>
          <cell r="C5" t="str">
            <v>Yes</v>
          </cell>
          <cell r="D5" t="str">
            <v>CAM CRESCITA</v>
          </cell>
          <cell r="E5" t="str">
            <v>AMUNDI Dublin</v>
          </cell>
          <cell r="F5"/>
          <cell r="G5"/>
          <cell r="H5"/>
          <cell r="I5"/>
          <cell r="J5"/>
          <cell r="K5" t="str">
            <v>YES</v>
          </cell>
          <cell r="L5" t="str">
            <v>TE</v>
          </cell>
          <cell r="M5">
            <v>0.06</v>
          </cell>
        </row>
        <row r="6">
          <cell r="A6" t="str">
            <v>CMEDIUM</v>
          </cell>
          <cell r="B6" t="str">
            <v>From Risk - Models master - Sheet 1</v>
          </cell>
          <cell r="C6" t="str">
            <v>Yes</v>
          </cell>
          <cell r="D6" t="str">
            <v>CAM MEDIUM</v>
          </cell>
          <cell r="E6" t="str">
            <v>AMUNDI Dublin</v>
          </cell>
          <cell r="F6"/>
          <cell r="G6"/>
          <cell r="H6"/>
          <cell r="I6"/>
          <cell r="J6"/>
          <cell r="K6" t="str">
            <v>YES</v>
          </cell>
          <cell r="L6" t="e">
            <v>#N/A</v>
          </cell>
          <cell r="M6" t="e">
            <v>#N/A</v>
          </cell>
        </row>
        <row r="7">
          <cell r="A7" t="str">
            <v>CNPDYNPR80</v>
          </cell>
          <cell r="B7" t="str">
            <v>From Risk - Models master - Sheet 1</v>
          </cell>
          <cell r="C7" t="str">
            <v>Yes</v>
          </cell>
          <cell r="D7" t="str">
            <v>CNP DYNAMIC PROTECTION 80</v>
          </cell>
          <cell r="E7" t="str">
            <v>AMUNDI Dublin</v>
          </cell>
          <cell r="F7" t="str">
            <v>Salvatore Buono</v>
          </cell>
          <cell r="G7"/>
          <cell r="H7"/>
          <cell r="I7"/>
          <cell r="J7"/>
          <cell r="K7" t="str">
            <v>YES</v>
          </cell>
          <cell r="L7" t="e">
            <v>#N/A</v>
          </cell>
          <cell r="M7" t="e">
            <v>#N/A</v>
          </cell>
        </row>
        <row r="8">
          <cell r="A8" t="str">
            <v>COBBLEURO</v>
          </cell>
          <cell r="B8" t="str">
            <v>From Risk - Models master - Sheet 1</v>
          </cell>
          <cell r="C8" t="str">
            <v>Yes</v>
          </cell>
          <cell r="D8" t="str">
            <v>CAM OBBLIGAZIONARIA EURO</v>
          </cell>
          <cell r="E8" t="str">
            <v>AMUNDI Dublin</v>
          </cell>
          <cell r="F8"/>
          <cell r="G8"/>
          <cell r="H8"/>
          <cell r="I8" t="str">
            <v>N</v>
          </cell>
          <cell r="J8"/>
          <cell r="K8" t="str">
            <v>YES</v>
          </cell>
          <cell r="L8" t="e">
            <v>#N/A</v>
          </cell>
          <cell r="M8" t="e">
            <v>#N/A</v>
          </cell>
        </row>
        <row r="9">
          <cell r="A9" t="str">
            <v>CREDDITO</v>
          </cell>
          <cell r="B9" t="str">
            <v>From Risk - Models master - Sheet 1</v>
          </cell>
          <cell r="C9" t="str">
            <v>Yes</v>
          </cell>
          <cell r="D9" t="str">
            <v>CAM REDDITO</v>
          </cell>
          <cell r="E9" t="str">
            <v>AMUNDI Dublin</v>
          </cell>
          <cell r="F9"/>
          <cell r="G9"/>
          <cell r="H9"/>
          <cell r="I9"/>
          <cell r="J9"/>
          <cell r="K9" t="str">
            <v>YES</v>
          </cell>
          <cell r="L9" t="e">
            <v>#N/A</v>
          </cell>
          <cell r="M9" t="e">
            <v>#N/A</v>
          </cell>
        </row>
        <row r="10">
          <cell r="A10" t="str">
            <v>CRVDYNPR80</v>
          </cell>
          <cell r="B10" t="str">
            <v>From Risk - Models master - Sheet 1</v>
          </cell>
          <cell r="C10" t="str">
            <v>Yes</v>
          </cell>
          <cell r="D10" t="str">
            <v>CRV DYNAMIC PROTECTION 80</v>
          </cell>
          <cell r="E10" t="str">
            <v>AMUNDI Dublin</v>
          </cell>
          <cell r="F10" t="str">
            <v>Salvatore Buono</v>
          </cell>
          <cell r="G10"/>
          <cell r="H10"/>
          <cell r="I10"/>
          <cell r="J10"/>
          <cell r="K10" t="str">
            <v>YES</v>
          </cell>
          <cell r="L10" t="e">
            <v>#N/A</v>
          </cell>
          <cell r="M10" t="e">
            <v>#N/A</v>
          </cell>
        </row>
        <row r="11">
          <cell r="A11" t="str">
            <v>CSVILUPPO</v>
          </cell>
          <cell r="B11" t="str">
            <v>From Risk - Models master - Sheet 1</v>
          </cell>
          <cell r="C11" t="str">
            <v>Yes</v>
          </cell>
          <cell r="D11" t="str">
            <v>CAM SVILUPPO</v>
          </cell>
          <cell r="E11" t="str">
            <v>AMUNDI Dublin</v>
          </cell>
          <cell r="F11"/>
          <cell r="G11"/>
          <cell r="H11"/>
          <cell r="I11"/>
          <cell r="K11" t="str">
            <v>YES</v>
          </cell>
          <cell r="L11" t="e">
            <v>#N/A</v>
          </cell>
          <cell r="M11" t="e">
            <v>#N/A</v>
          </cell>
        </row>
        <row r="12">
          <cell r="A12" t="str">
            <v>CTREND_20</v>
          </cell>
          <cell r="B12" t="str">
            <v>From Risk - Models master - Sheet 1</v>
          </cell>
          <cell r="C12" t="str">
            <v>Yes</v>
          </cell>
          <cell r="D12" t="str">
            <v>CAM TREND 20</v>
          </cell>
          <cell r="E12" t="str">
            <v>AMUNDI Dublin</v>
          </cell>
          <cell r="F12"/>
          <cell r="G12"/>
          <cell r="H12"/>
          <cell r="I12"/>
          <cell r="K12" t="str">
            <v>YES</v>
          </cell>
          <cell r="L12" t="e">
            <v>#N/A</v>
          </cell>
          <cell r="M12" t="e">
            <v>#N/A</v>
          </cell>
        </row>
        <row r="13">
          <cell r="A13" t="str">
            <v>DINAR1TF</v>
          </cell>
          <cell r="B13" t="str">
            <v>From Risk - Models master - Sheet 1</v>
          </cell>
          <cell r="C13" t="str">
            <v>Yes</v>
          </cell>
          <cell r="D13" t="str">
            <v>UNIFLEX ACTIVE 1</v>
          </cell>
          <cell r="E13" t="str">
            <v>AMUNDI Dublin</v>
          </cell>
          <cell r="F13" t="str">
            <v>Bertrand Paquot</v>
          </cell>
          <cell r="G13"/>
          <cell r="H13"/>
          <cell r="I13"/>
          <cell r="K13" t="str">
            <v>YES</v>
          </cell>
          <cell r="L13" t="str">
            <v>TE</v>
          </cell>
          <cell r="M13">
            <v>2.5000000000000001E-2</v>
          </cell>
        </row>
        <row r="14">
          <cell r="A14" t="str">
            <v>DINAR2TF</v>
          </cell>
          <cell r="B14" t="str">
            <v>From Risk - Models master - Sheet 1</v>
          </cell>
          <cell r="C14" t="str">
            <v>Yes</v>
          </cell>
          <cell r="D14" t="str">
            <v>UNIFLEX ACTIVE 2</v>
          </cell>
          <cell r="E14" t="str">
            <v>AMUNDI Dublin</v>
          </cell>
          <cell r="F14" t="str">
            <v>Bertrand Paquot</v>
          </cell>
          <cell r="G14"/>
          <cell r="H14"/>
          <cell r="I14"/>
          <cell r="K14" t="str">
            <v>YES</v>
          </cell>
          <cell r="L14" t="str">
            <v>TE</v>
          </cell>
          <cell r="M14">
            <v>3.5999999999999997E-2</v>
          </cell>
        </row>
        <row r="15">
          <cell r="A15" t="str">
            <v>DINAR3TF</v>
          </cell>
          <cell r="B15" t="str">
            <v>From Risk - Models master - Sheet 1</v>
          </cell>
          <cell r="C15" t="str">
            <v>Yes</v>
          </cell>
          <cell r="D15" t="str">
            <v>UNIFLEX ACTIVE 3</v>
          </cell>
          <cell r="E15" t="str">
            <v>AMUNDI Dublin</v>
          </cell>
          <cell r="F15" t="str">
            <v>Bertrand Paquot</v>
          </cell>
          <cell r="G15"/>
          <cell r="H15"/>
          <cell r="I15"/>
          <cell r="K15" t="str">
            <v>YES</v>
          </cell>
          <cell r="L15" t="str">
            <v>TE</v>
          </cell>
          <cell r="M15">
            <v>4.2999999999999997E-2</v>
          </cell>
        </row>
        <row r="16">
          <cell r="A16" t="str">
            <v>MAA</v>
          </cell>
          <cell r="B16" t="str">
            <v>From Risk - Models master - Sheet 1</v>
          </cell>
          <cell r="C16" t="str">
            <v>Yes</v>
          </cell>
          <cell r="D16" t="str">
            <v>CAM NOVEMBRE</v>
          </cell>
          <cell r="E16" t="str">
            <v>AMUNDI Dublin</v>
          </cell>
          <cell r="F16" t="str">
            <v>Bertrand Paquot</v>
          </cell>
          <cell r="G16"/>
          <cell r="H16"/>
          <cell r="I16"/>
          <cell r="K16" t="str">
            <v>YES</v>
          </cell>
          <cell r="L16" t="str">
            <v>VAR</v>
          </cell>
          <cell r="M16">
            <v>8.0000000000000002E-3</v>
          </cell>
        </row>
        <row r="17">
          <cell r="A17" t="str">
            <v>MAB</v>
          </cell>
          <cell r="B17" t="str">
            <v>From Risk - Models master - Sheet 1</v>
          </cell>
          <cell r="C17" t="str">
            <v>Yes</v>
          </cell>
          <cell r="D17" t="str">
            <v>CAM DICEMBRE</v>
          </cell>
          <cell r="E17" t="str">
            <v>AMUNDI Dublin</v>
          </cell>
          <cell r="F17" t="str">
            <v>Bertrand Paquot</v>
          </cell>
          <cell r="G17"/>
          <cell r="H17"/>
          <cell r="I17"/>
          <cell r="K17" t="str">
            <v>YES</v>
          </cell>
          <cell r="L17" t="str">
            <v>VAR</v>
          </cell>
          <cell r="M17">
            <v>8.0000000000000002E-3</v>
          </cell>
        </row>
        <row r="18">
          <cell r="A18" t="str">
            <v>MAC</v>
          </cell>
          <cell r="B18" t="str">
            <v>From Risk - Models master - Sheet 1</v>
          </cell>
          <cell r="C18" t="str">
            <v>Yes</v>
          </cell>
          <cell r="D18" t="str">
            <v>CAM GENNAIO</v>
          </cell>
          <cell r="E18" t="str">
            <v>AMUNDI Dublin</v>
          </cell>
          <cell r="F18" t="str">
            <v>Bertrand Paquot</v>
          </cell>
          <cell r="G18"/>
          <cell r="H18"/>
          <cell r="I18"/>
          <cell r="K18" t="str">
            <v>YES</v>
          </cell>
          <cell r="L18" t="str">
            <v>VAR</v>
          </cell>
          <cell r="M18">
            <v>8.0000000000000002E-3</v>
          </cell>
        </row>
        <row r="19">
          <cell r="A19" t="str">
            <v>MAD</v>
          </cell>
          <cell r="B19" t="str">
            <v>From Risk - Models master - Sheet 1</v>
          </cell>
          <cell r="C19" t="str">
            <v>Yes</v>
          </cell>
          <cell r="D19" t="str">
            <v>CAM FEBBRAIO</v>
          </cell>
          <cell r="E19" t="str">
            <v>AMUNDI Dublin</v>
          </cell>
          <cell r="F19" t="str">
            <v>Bertrand Paquot</v>
          </cell>
          <cell r="G19"/>
          <cell r="H19"/>
          <cell r="I19"/>
          <cell r="K19" t="str">
            <v>YES</v>
          </cell>
          <cell r="L19" t="str">
            <v>VAR</v>
          </cell>
          <cell r="M19">
            <v>8.0000000000000002E-3</v>
          </cell>
        </row>
        <row r="20">
          <cell r="A20" t="str">
            <v>MAE</v>
          </cell>
          <cell r="B20" t="str">
            <v>From Risk - Models master - Sheet 1</v>
          </cell>
          <cell r="C20" t="str">
            <v>Yes</v>
          </cell>
          <cell r="D20" t="str">
            <v>CAM MARZO</v>
          </cell>
          <cell r="E20" t="str">
            <v>AMUNDI Dublin</v>
          </cell>
          <cell r="F20" t="str">
            <v>Bertrand Paquot</v>
          </cell>
          <cell r="G20"/>
          <cell r="H20"/>
          <cell r="I20"/>
          <cell r="K20" t="str">
            <v>YES</v>
          </cell>
          <cell r="L20" t="str">
            <v>VAR</v>
          </cell>
          <cell r="M20">
            <v>8.0000000000000002E-3</v>
          </cell>
        </row>
        <row r="21">
          <cell r="A21" t="str">
            <v>MAF</v>
          </cell>
          <cell r="B21" t="str">
            <v>From Risk - Models master - Sheet 1</v>
          </cell>
          <cell r="C21" t="str">
            <v>Yes</v>
          </cell>
          <cell r="D21" t="str">
            <v>CAM APRILE</v>
          </cell>
          <cell r="E21" t="str">
            <v>AMUNDI Dublin</v>
          </cell>
          <cell r="F21" t="str">
            <v>Bertrand Paquot</v>
          </cell>
          <cell r="G21"/>
          <cell r="H21"/>
          <cell r="I21"/>
          <cell r="K21" t="str">
            <v>YES</v>
          </cell>
          <cell r="L21" t="str">
            <v>VAR</v>
          </cell>
          <cell r="M21">
            <v>8.0000000000000002E-3</v>
          </cell>
        </row>
        <row r="22">
          <cell r="A22" t="str">
            <v>MAG</v>
          </cell>
          <cell r="B22" t="str">
            <v>From Risk - Models master - Sheet 1</v>
          </cell>
          <cell r="C22" t="str">
            <v>Yes</v>
          </cell>
          <cell r="D22" t="str">
            <v>CAM MAGGIO</v>
          </cell>
          <cell r="E22" t="str">
            <v>AMUNDI Dublin</v>
          </cell>
          <cell r="F22" t="str">
            <v>Bertrand Paquot</v>
          </cell>
          <cell r="G22"/>
          <cell r="H22"/>
          <cell r="I22"/>
          <cell r="K22" t="str">
            <v>YES</v>
          </cell>
          <cell r="L22" t="str">
            <v>VAR</v>
          </cell>
          <cell r="M22">
            <v>8.0000000000000002E-3</v>
          </cell>
        </row>
        <row r="23">
          <cell r="A23" t="str">
            <v>MAH</v>
          </cell>
          <cell r="B23" t="str">
            <v>From Risk - Models master - Sheet 1</v>
          </cell>
          <cell r="C23" t="str">
            <v>Yes</v>
          </cell>
          <cell r="D23" t="str">
            <v>CAM GIUGNO</v>
          </cell>
          <cell r="E23" t="str">
            <v>AMUNDI Dublin</v>
          </cell>
          <cell r="F23" t="str">
            <v>Bertrand Paquot</v>
          </cell>
          <cell r="G23"/>
          <cell r="H23"/>
          <cell r="I23"/>
          <cell r="K23" t="str">
            <v>YES</v>
          </cell>
          <cell r="L23" t="str">
            <v>VAR</v>
          </cell>
          <cell r="M23">
            <v>8.0000000000000002E-3</v>
          </cell>
        </row>
        <row r="24">
          <cell r="A24" t="str">
            <v>MAL</v>
          </cell>
          <cell r="B24" t="str">
            <v>From Risk - Models master - Sheet 1</v>
          </cell>
          <cell r="C24" t="str">
            <v>Yes</v>
          </cell>
          <cell r="D24" t="str">
            <v>CAM AGOSTO</v>
          </cell>
          <cell r="E24" t="str">
            <v>AMUNDI Dublin</v>
          </cell>
          <cell r="F24" t="str">
            <v>Bertrand Paquot</v>
          </cell>
          <cell r="G24"/>
          <cell r="H24"/>
          <cell r="I24"/>
          <cell r="K24" t="str">
            <v>YES</v>
          </cell>
          <cell r="L24" t="str">
            <v>VAR</v>
          </cell>
          <cell r="M24">
            <v>8.0000000000000002E-3</v>
          </cell>
        </row>
        <row r="25">
          <cell r="A25" t="str">
            <v>MAM</v>
          </cell>
          <cell r="B25" t="str">
            <v>From Risk - Models master - Sheet 1</v>
          </cell>
          <cell r="C25" t="str">
            <v>Yes</v>
          </cell>
          <cell r="D25" t="str">
            <v>CAM SETTEMBRE</v>
          </cell>
          <cell r="E25" t="str">
            <v>AMUNDI Dublin</v>
          </cell>
          <cell r="F25" t="str">
            <v>Bertrand Paquot</v>
          </cell>
          <cell r="G25"/>
          <cell r="H25"/>
          <cell r="I25"/>
          <cell r="K25" t="str">
            <v>YES</v>
          </cell>
          <cell r="L25" t="str">
            <v>VAR</v>
          </cell>
          <cell r="M25">
            <v>8.0000000000000002E-3</v>
          </cell>
        </row>
        <row r="26">
          <cell r="A26" t="str">
            <v>MAN</v>
          </cell>
          <cell r="B26" t="str">
            <v>From Risk - Models master - Sheet 1</v>
          </cell>
          <cell r="C26" t="str">
            <v>Yes</v>
          </cell>
          <cell r="D26" t="str">
            <v>CAM OTTOBRE</v>
          </cell>
          <cell r="E26" t="str">
            <v>AMUNDI Dublin</v>
          </cell>
          <cell r="F26" t="str">
            <v>Bertrand Paquot</v>
          </cell>
          <cell r="G26"/>
          <cell r="H26"/>
          <cell r="I26"/>
          <cell r="K26" t="str">
            <v>YES</v>
          </cell>
          <cell r="L26" t="str">
            <v>VAR</v>
          </cell>
          <cell r="M26">
            <v>8.0000000000000002E-3</v>
          </cell>
        </row>
        <row r="27">
          <cell r="A27" t="str">
            <v>MATRUNIP</v>
          </cell>
          <cell r="B27" t="str">
            <v>From Risk - Models master - Sheet 1</v>
          </cell>
          <cell r="C27" t="str">
            <v>Yes</v>
          </cell>
          <cell r="D27" t="str">
            <v>UNIT LINKED A TR UNIPLAN</v>
          </cell>
          <cell r="E27" t="str">
            <v>AMUNDI Dublin</v>
          </cell>
          <cell r="F27" t="str">
            <v>Bertrand Paquot</v>
          </cell>
          <cell r="G27"/>
          <cell r="H27"/>
          <cell r="I27"/>
          <cell r="K27" t="str">
            <v>YES</v>
          </cell>
          <cell r="L27" t="str">
            <v>VAR</v>
          </cell>
          <cell r="M27">
            <v>0.04</v>
          </cell>
        </row>
        <row r="28">
          <cell r="A28" t="str">
            <v>MEP</v>
          </cell>
          <cell r="B28" t="str">
            <v>From Risk - Models master - Sheet 1</v>
          </cell>
          <cell r="C28" t="e">
            <v>#N/A</v>
          </cell>
          <cell r="D28" t="str">
            <v>BB EUROPROFILO</v>
          </cell>
          <cell r="E28" t="str">
            <v>AMUNDI Dublin</v>
          </cell>
          <cell r="F28"/>
          <cell r="G28"/>
          <cell r="H28"/>
          <cell r="I28" t="str">
            <v>Y</v>
          </cell>
          <cell r="K28" t="str">
            <v>YES</v>
          </cell>
          <cell r="L28" t="str">
            <v>TE</v>
          </cell>
          <cell r="M28">
            <v>0.06</v>
          </cell>
        </row>
        <row r="29">
          <cell r="A29" t="str">
            <v>MEPF10</v>
          </cell>
          <cell r="B29" t="str">
            <v>From Risk - Models master - Sheet 1</v>
          </cell>
          <cell r="C29" t="str">
            <v>Yes</v>
          </cell>
          <cell r="D29" t="str">
            <v>UNIT LINKED G5 NEW</v>
          </cell>
          <cell r="E29" t="str">
            <v>AMUNDI Dublin</v>
          </cell>
          <cell r="F29" t="str">
            <v>Craig Moore</v>
          </cell>
          <cell r="G29"/>
          <cell r="H29"/>
          <cell r="I29"/>
          <cell r="K29" t="str">
            <v>YES</v>
          </cell>
          <cell r="L29" t="str">
            <v>TE</v>
          </cell>
          <cell r="M29">
            <v>5.3999999999999999E-2</v>
          </cell>
        </row>
        <row r="30">
          <cell r="A30" t="str">
            <v>MEPF2N</v>
          </cell>
          <cell r="B30" t="str">
            <v>From Risk - Models master - Sheet 1</v>
          </cell>
          <cell r="C30" t="str">
            <v>Yes</v>
          </cell>
          <cell r="D30" t="str">
            <v>UNIT LINKED E2 NEW</v>
          </cell>
          <cell r="E30" t="str">
            <v>AMUNDI Dublin</v>
          </cell>
          <cell r="F30" t="str">
            <v>Craig Moore</v>
          </cell>
          <cell r="G30"/>
          <cell r="H30"/>
          <cell r="I30"/>
          <cell r="K30" t="str">
            <v>YES</v>
          </cell>
          <cell r="L30" t="str">
            <v>TE</v>
          </cell>
          <cell r="M30">
            <v>2.1999999999999999E-2</v>
          </cell>
        </row>
        <row r="31">
          <cell r="A31" t="str">
            <v>MEPF4</v>
          </cell>
          <cell r="B31" t="str">
            <v>From Risk - Models master - Sheet 1</v>
          </cell>
          <cell r="C31" t="str">
            <v>Yes</v>
          </cell>
          <cell r="D31" t="str">
            <v>UNIT LINKED OLD 4</v>
          </cell>
          <cell r="E31" t="str">
            <v>AMUNDI Dublin</v>
          </cell>
          <cell r="F31" t="str">
            <v>Craig Moore</v>
          </cell>
          <cell r="G31"/>
          <cell r="H31"/>
          <cell r="I31"/>
          <cell r="K31" t="str">
            <v>YES</v>
          </cell>
          <cell r="L31" t="str">
            <v>TE</v>
          </cell>
          <cell r="M31">
            <v>2.5000000000000001E-2</v>
          </cell>
        </row>
        <row r="32">
          <cell r="A32" t="str">
            <v>MEPF5</v>
          </cell>
          <cell r="B32" t="str">
            <v>From Risk - Models master - Sheet 1</v>
          </cell>
          <cell r="C32" t="str">
            <v>Yes</v>
          </cell>
          <cell r="D32" t="str">
            <v>UNIT LINKED E3 NEW</v>
          </cell>
          <cell r="E32" t="str">
            <v>AMUNDI Dublin</v>
          </cell>
          <cell r="F32" t="str">
            <v>Craig Moore</v>
          </cell>
          <cell r="G32"/>
          <cell r="H32"/>
          <cell r="I32"/>
          <cell r="K32" t="str">
            <v>YES</v>
          </cell>
          <cell r="L32" t="str">
            <v>TE</v>
          </cell>
          <cell r="M32">
            <v>3.1E-2</v>
          </cell>
        </row>
        <row r="33">
          <cell r="A33" t="str">
            <v>MEPF6</v>
          </cell>
          <cell r="B33" t="str">
            <v>From Risk - Models master - Sheet 1</v>
          </cell>
          <cell r="C33" t="str">
            <v>Yes</v>
          </cell>
          <cell r="D33" t="str">
            <v>UNIT LINKED E4 NEW</v>
          </cell>
          <cell r="E33" t="str">
            <v>AMUNDI Dublin</v>
          </cell>
          <cell r="F33" t="str">
            <v>Craig Moore</v>
          </cell>
          <cell r="G33"/>
          <cell r="H33"/>
          <cell r="I33"/>
          <cell r="K33" t="str">
            <v>YES</v>
          </cell>
          <cell r="L33" t="str">
            <v>TE</v>
          </cell>
          <cell r="M33">
            <v>0.04</v>
          </cell>
        </row>
        <row r="34">
          <cell r="A34" t="str">
            <v>MEPF8</v>
          </cell>
          <cell r="B34" t="str">
            <v>From Risk - Models master - Sheet 1</v>
          </cell>
          <cell r="C34" t="str">
            <v>Yes</v>
          </cell>
          <cell r="D34" t="str">
            <v>UNIT LINKED E6 NEW</v>
          </cell>
          <cell r="E34" t="str">
            <v>AMUNDI Dublin</v>
          </cell>
          <cell r="F34" t="str">
            <v>Craig Moore</v>
          </cell>
          <cell r="G34"/>
          <cell r="H34"/>
          <cell r="I34"/>
          <cell r="K34" t="str">
            <v>YES</v>
          </cell>
          <cell r="L34" t="str">
            <v>TE</v>
          </cell>
          <cell r="M34">
            <v>5.3999999999999999E-2</v>
          </cell>
        </row>
        <row r="35">
          <cell r="A35" t="str">
            <v>MLIFEBND</v>
          </cell>
          <cell r="B35" t="str">
            <v>From Risk - Models master - Sheet 1</v>
          </cell>
          <cell r="C35" t="str">
            <v>Yes</v>
          </cell>
          <cell r="D35" t="str">
            <v>LIFE PROGRAM BOND</v>
          </cell>
          <cell r="E35" t="str">
            <v>AMUNDI Dublin</v>
          </cell>
          <cell r="F35" t="str">
            <v>Craig Moore</v>
          </cell>
          <cell r="G35"/>
          <cell r="H35"/>
          <cell r="I35"/>
          <cell r="K35" t="str">
            <v>YES</v>
          </cell>
          <cell r="L35" t="str">
            <v>TE</v>
          </cell>
          <cell r="M35">
            <v>0.02</v>
          </cell>
        </row>
        <row r="36">
          <cell r="A36" t="str">
            <v>MLINC</v>
          </cell>
          <cell r="B36" t="str">
            <v>From Risk - Models master - Sheet 1</v>
          </cell>
          <cell r="C36" t="str">
            <v>Yes</v>
          </cell>
          <cell r="D36" t="str">
            <v>UL LIFE INCOME</v>
          </cell>
          <cell r="E36" t="str">
            <v>AMUNDI Dublin</v>
          </cell>
          <cell r="F36"/>
          <cell r="G36"/>
          <cell r="H36"/>
          <cell r="I36"/>
          <cell r="K36" t="str">
            <v>YES</v>
          </cell>
          <cell r="L36" t="str">
            <v>VAR</v>
          </cell>
          <cell r="M36">
            <v>7.0000000000000007E-2</v>
          </cell>
        </row>
        <row r="37">
          <cell r="A37" t="str">
            <v>MLPFLEX</v>
          </cell>
          <cell r="B37" t="str">
            <v>From Risk - Models master - Sheet 1</v>
          </cell>
          <cell r="C37" t="str">
            <v>Yes</v>
          </cell>
          <cell r="D37" t="str">
            <v>LIFE PROGRAM FLESSIBILE</v>
          </cell>
          <cell r="E37" t="str">
            <v>AMUNDI Dublin</v>
          </cell>
          <cell r="F37" t="str">
            <v>Bertrand Paquot</v>
          </cell>
          <cell r="G37"/>
          <cell r="H37"/>
          <cell r="I37"/>
          <cell r="K37" t="str">
            <v>YES</v>
          </cell>
          <cell r="L37" t="str">
            <v>VAR</v>
          </cell>
          <cell r="M37">
            <v>0.04</v>
          </cell>
        </row>
        <row r="38">
          <cell r="A38" t="str">
            <v>MULLI360</v>
          </cell>
          <cell r="B38" t="str">
            <v>From Risk - Models master - Sheet 1</v>
          </cell>
          <cell r="C38" t="str">
            <v>Yes</v>
          </cell>
          <cell r="D38" t="str">
            <v>UL LIFE INCOME 360</v>
          </cell>
          <cell r="E38" t="str">
            <v>AMUNDI Dublin</v>
          </cell>
          <cell r="F38"/>
          <cell r="G38"/>
          <cell r="H38"/>
          <cell r="I38"/>
          <cell r="K38" t="str">
            <v>YES</v>
          </cell>
          <cell r="L38" t="str">
            <v>VAR</v>
          </cell>
          <cell r="M38">
            <v>7.0000000000000007E-2</v>
          </cell>
        </row>
        <row r="39">
          <cell r="A39" t="str">
            <v>MUNIP</v>
          </cell>
          <cell r="B39" t="str">
            <v>From Risk - Models master - Sheet 1</v>
          </cell>
          <cell r="C39" t="str">
            <v>Yes</v>
          </cell>
          <cell r="D39" t="str">
            <v>UNIT LINKED AMIX UNIPLAN</v>
          </cell>
          <cell r="E39" t="str">
            <v>AMUNDI Dublin</v>
          </cell>
          <cell r="F39" t="str">
            <v>Craig Moore</v>
          </cell>
          <cell r="G39"/>
          <cell r="H39"/>
          <cell r="I39"/>
          <cell r="K39" t="str">
            <v>YES</v>
          </cell>
          <cell r="L39" t="str">
            <v>TE</v>
          </cell>
          <cell r="M39">
            <v>3.5999999999999997E-2</v>
          </cell>
        </row>
        <row r="40">
          <cell r="A40" t="str">
            <v>MUSI</v>
          </cell>
          <cell r="B40" t="str">
            <v>From Risk - Models master - Sheet 1</v>
          </cell>
          <cell r="C40" t="str">
            <v>Yes</v>
          </cell>
          <cell r="D40" t="str">
            <v>UNIVALORE STARS INCOME</v>
          </cell>
          <cell r="E40" t="str">
            <v>AMUNDI Dublin</v>
          </cell>
          <cell r="F40" t="str">
            <v>Paul Weber</v>
          </cell>
          <cell r="G40"/>
          <cell r="H40"/>
          <cell r="I40"/>
          <cell r="K40" t="str">
            <v>YES</v>
          </cell>
          <cell r="L40" t="str">
            <v>VAR</v>
          </cell>
          <cell r="M40">
            <v>0.06</v>
          </cell>
        </row>
        <row r="41">
          <cell r="A41" t="str">
            <v>PLIC</v>
          </cell>
          <cell r="B41" t="str">
            <v>From Risk - Models master - Sheet 1</v>
          </cell>
          <cell r="C41" t="str">
            <v>Yes</v>
          </cell>
          <cell r="D41" t="str">
            <v>PL INCOME CLOCK</v>
          </cell>
          <cell r="E41" t="str">
            <v>AMUNDI Dublin</v>
          </cell>
          <cell r="F41" t="str">
            <v>Bertrand Paquot</v>
          </cell>
          <cell r="G41"/>
          <cell r="H41"/>
          <cell r="I41"/>
          <cell r="K41" t="str">
            <v>YES</v>
          </cell>
          <cell r="L41" t="e">
            <v>#N/A</v>
          </cell>
          <cell r="M41" t="e">
            <v>#N/A</v>
          </cell>
        </row>
        <row r="42">
          <cell r="A42" t="str">
            <v>PMAI</v>
          </cell>
          <cell r="B42" t="str">
            <v>From Risk - Models master - Sheet 1</v>
          </cell>
          <cell r="C42" t="str">
            <v>Yes</v>
          </cell>
          <cell r="D42" t="str">
            <v>CAM LUGLIO</v>
          </cell>
          <cell r="E42" t="str">
            <v>AMUNDI Dublin</v>
          </cell>
          <cell r="F42" t="str">
            <v>Salvatore Buono</v>
          </cell>
          <cell r="G42"/>
          <cell r="H42"/>
          <cell r="I42"/>
          <cell r="K42" t="str">
            <v>YES</v>
          </cell>
          <cell r="L42" t="e">
            <v>#N/A</v>
          </cell>
          <cell r="M42" t="e">
            <v>#N/A</v>
          </cell>
        </row>
        <row r="43">
          <cell r="A43" t="str">
            <v>PP1-3Y</v>
          </cell>
          <cell r="B43" t="str">
            <v>From Risk - Models master - Sheet 1</v>
          </cell>
          <cell r="C43" t="str">
            <v>Yes</v>
          </cell>
          <cell r="D43" t="str">
            <v>PL EURO BOND 1 TO 3 YEARS</v>
          </cell>
          <cell r="E43" t="str">
            <v>AMUNDI Dublin</v>
          </cell>
          <cell r="F43" t="str">
            <v>Salvatore Buono</v>
          </cell>
          <cell r="G43"/>
          <cell r="H43"/>
          <cell r="I43"/>
          <cell r="K43" t="str">
            <v>YES</v>
          </cell>
          <cell r="L43" t="str">
            <v>TE</v>
          </cell>
          <cell r="M43">
            <v>0.02</v>
          </cell>
        </row>
        <row r="44">
          <cell r="A44" t="str">
            <v>PP3Y</v>
          </cell>
          <cell r="B44" t="str">
            <v>From Risk - Models master - Sheet 1</v>
          </cell>
          <cell r="C44" t="str">
            <v>Yes</v>
          </cell>
          <cell r="D44" t="str">
            <v>PL EURO BOND OVER 3 YEARS</v>
          </cell>
          <cell r="E44" t="str">
            <v>AMUNDI Dublin</v>
          </cell>
          <cell r="F44" t="str">
            <v>Salvatore Buono</v>
          </cell>
          <cell r="G44"/>
          <cell r="H44"/>
          <cell r="I44"/>
          <cell r="K44" t="str">
            <v>YES</v>
          </cell>
          <cell r="L44" t="str">
            <v>TE</v>
          </cell>
          <cell r="M44">
            <v>0.02</v>
          </cell>
        </row>
        <row r="45">
          <cell r="A45" t="str">
            <v>R1M</v>
          </cell>
          <cell r="B45" t="str">
            <v>From Risk - Models master - Sheet 1</v>
          </cell>
          <cell r="C45" t="str">
            <v>Yes</v>
          </cell>
          <cell r="D45" t="str">
            <v>CAM CNP - LINEA  DINAMICA</v>
          </cell>
          <cell r="E45" t="str">
            <v>AMUNDI Dublin</v>
          </cell>
          <cell r="F45" t="str">
            <v>Bertrand Paquot</v>
          </cell>
          <cell r="G45"/>
          <cell r="H45"/>
          <cell r="I45"/>
          <cell r="K45" t="str">
            <v>YES</v>
          </cell>
          <cell r="L45" t="e">
            <v>#N/A</v>
          </cell>
          <cell r="M45" t="e">
            <v>#N/A</v>
          </cell>
        </row>
        <row r="46">
          <cell r="A46" t="str">
            <v>SFI-MONE</v>
          </cell>
          <cell r="B46" t="str">
            <v>From Risk - Models master - Sheet 1</v>
          </cell>
          <cell r="C46" t="e">
            <v>#N/A</v>
          </cell>
          <cell r="D46" t="str">
            <v>SFI+ LINEA MONETARIA</v>
          </cell>
          <cell r="E46" t="str">
            <v>AMUNDI Dublin</v>
          </cell>
          <cell r="F46"/>
          <cell r="G46"/>
          <cell r="H46"/>
          <cell r="I46"/>
          <cell r="K46" t="str">
            <v>YES</v>
          </cell>
          <cell r="L46" t="str">
            <v>TE</v>
          </cell>
          <cell r="M46">
            <v>1.4999999999999999E-2</v>
          </cell>
        </row>
        <row r="47">
          <cell r="A47" t="str">
            <v>SFI-PRUD</v>
          </cell>
          <cell r="B47" t="str">
            <v>From Risk - Models master - Sheet 1</v>
          </cell>
          <cell r="C47" t="e">
            <v>#N/A</v>
          </cell>
          <cell r="D47" t="str">
            <v>SFI+ LINEA PRUDENTE</v>
          </cell>
          <cell r="E47" t="str">
            <v>AMUNDI Dublin</v>
          </cell>
          <cell r="F47" t="str">
            <v>Craig Moore</v>
          </cell>
          <cell r="G47"/>
          <cell r="H47"/>
          <cell r="I47"/>
          <cell r="K47" t="str">
            <v>YES</v>
          </cell>
          <cell r="L47" t="str">
            <v>TE</v>
          </cell>
          <cell r="M47">
            <v>0.03</v>
          </cell>
        </row>
        <row r="48">
          <cell r="A48" t="str">
            <v>SFI-PRUD-</v>
          </cell>
          <cell r="B48" t="str">
            <v>From Risk - Models master - Sheet 1</v>
          </cell>
          <cell r="C48" t="e">
            <v>#N/A</v>
          </cell>
          <cell r="D48" t="str">
            <v>SFI+ LINEA PRUDENTE PIU</v>
          </cell>
          <cell r="E48" t="str">
            <v>AMUNDI Dublin</v>
          </cell>
          <cell r="F48" t="str">
            <v>Craig Moore</v>
          </cell>
          <cell r="G48"/>
          <cell r="H48"/>
          <cell r="I48"/>
          <cell r="K48" t="str">
            <v>YES</v>
          </cell>
          <cell r="L48" t="str">
            <v>TE</v>
          </cell>
          <cell r="M48">
            <v>3.4000000000000002E-2</v>
          </cell>
        </row>
        <row r="49">
          <cell r="A49" t="str">
            <v>STEPONE</v>
          </cell>
          <cell r="B49" t="str">
            <v>From Risk - Models master - Sheet 1</v>
          </cell>
          <cell r="C49" t="str">
            <v>Yes</v>
          </cell>
          <cell r="D49" t="str">
            <v>CAM STEP ONE</v>
          </cell>
          <cell r="E49" t="str">
            <v>AMUNDI Dublin</v>
          </cell>
          <cell r="F49" t="str">
            <v>Salvatore Buono</v>
          </cell>
          <cell r="G49"/>
          <cell r="H49"/>
          <cell r="I49"/>
          <cell r="K49" t="str">
            <v>YES</v>
          </cell>
          <cell r="L49" t="e">
            <v>#N/A</v>
          </cell>
          <cell r="M49" t="e">
            <v>#N/A</v>
          </cell>
        </row>
        <row r="50">
          <cell r="A50" t="str">
            <v>UES20</v>
          </cell>
          <cell r="B50" t="str">
            <v>From Risk - Models master - Sheet 1</v>
          </cell>
          <cell r="C50" t="str">
            <v>Yes</v>
          </cell>
          <cell r="D50" t="str">
            <v>UNIVALORE E STRATEGIA 20</v>
          </cell>
          <cell r="E50" t="str">
            <v>AMUNDI Dublin</v>
          </cell>
          <cell r="F50" t="str">
            <v>Salvatore Buono</v>
          </cell>
          <cell r="G50"/>
          <cell r="H50"/>
          <cell r="I50"/>
          <cell r="K50" t="str">
            <v>YES</v>
          </cell>
          <cell r="L50" t="str">
            <v>VAR</v>
          </cell>
          <cell r="M50">
            <v>3.5000000000000003E-2</v>
          </cell>
        </row>
        <row r="51">
          <cell r="A51" t="str">
            <v>UES30</v>
          </cell>
          <cell r="B51" t="str">
            <v>From Risk - Models master - Sheet 1</v>
          </cell>
          <cell r="C51" t="str">
            <v>Yes</v>
          </cell>
          <cell r="D51" t="str">
            <v>UNIVALORE E STRATEGIA 30</v>
          </cell>
          <cell r="E51" t="str">
            <v>AMUNDI Dublin</v>
          </cell>
          <cell r="F51" t="str">
            <v>Salvatore Buono</v>
          </cell>
          <cell r="G51"/>
          <cell r="H51"/>
          <cell r="I51"/>
          <cell r="K51" t="str">
            <v>YES</v>
          </cell>
          <cell r="L51" t="str">
            <v>VAR</v>
          </cell>
          <cell r="M51">
            <v>4.4999999999999998E-2</v>
          </cell>
        </row>
        <row r="52">
          <cell r="A52" t="str">
            <v>UES40</v>
          </cell>
          <cell r="B52" t="str">
            <v>From Risk - Models master - Sheet 1</v>
          </cell>
          <cell r="C52" t="str">
            <v>Yes</v>
          </cell>
          <cell r="D52" t="str">
            <v>UNIVALORE E STRATEGIA 40</v>
          </cell>
          <cell r="E52" t="str">
            <v>AMUNDI Dublin</v>
          </cell>
          <cell r="F52" t="str">
            <v>Salvatore Buono</v>
          </cell>
          <cell r="G52"/>
          <cell r="H52"/>
          <cell r="I52"/>
          <cell r="K52" t="str">
            <v>YES</v>
          </cell>
          <cell r="L52" t="str">
            <v>VAR</v>
          </cell>
          <cell r="M52">
            <v>7.0000000000000007E-2</v>
          </cell>
        </row>
        <row r="53">
          <cell r="A53" t="str">
            <v>UES50</v>
          </cell>
          <cell r="B53" t="str">
            <v>From Risk - Models master - Sheet 1</v>
          </cell>
          <cell r="C53" t="str">
            <v>Yes</v>
          </cell>
          <cell r="D53" t="str">
            <v>UNIVALORE STARS BALANCED</v>
          </cell>
          <cell r="E53" t="str">
            <v>AMUNDI Dublin</v>
          </cell>
          <cell r="F53" t="str">
            <v>Salvatore Buono</v>
          </cell>
          <cell r="G53"/>
          <cell r="H53"/>
          <cell r="I53"/>
          <cell r="K53" t="str">
            <v>YES</v>
          </cell>
          <cell r="L53" t="str">
            <v>VAR</v>
          </cell>
          <cell r="M53">
            <v>0.08</v>
          </cell>
        </row>
        <row r="54">
          <cell r="A54" t="str">
            <v>UES70</v>
          </cell>
          <cell r="B54" t="str">
            <v>From Risk - Models master - Sheet 1</v>
          </cell>
          <cell r="C54" t="str">
            <v>Yes</v>
          </cell>
          <cell r="D54" t="str">
            <v>UNIVALORE E STRATEGIA 70</v>
          </cell>
          <cell r="E54" t="str">
            <v>AMUNDI Dublin</v>
          </cell>
          <cell r="F54" t="str">
            <v>Salvatore Buono</v>
          </cell>
          <cell r="G54"/>
          <cell r="H54"/>
          <cell r="I54"/>
          <cell r="K54" t="str">
            <v>YES</v>
          </cell>
          <cell r="L54" t="str">
            <v>VAR</v>
          </cell>
          <cell r="M54">
            <v>0.13500000000000001</v>
          </cell>
        </row>
        <row r="55">
          <cell r="A55" t="str">
            <v>ULACCO</v>
          </cell>
          <cell r="B55" t="str">
            <v>From Risk - Models master - Sheet 1</v>
          </cell>
          <cell r="C55" t="str">
            <v>Yes</v>
          </cell>
          <cell r="D55" t="str">
            <v>UNIT LINKED MULTI EQUITY ACCUMULATION</v>
          </cell>
          <cell r="E55" t="str">
            <v>AMUNDI Dublin</v>
          </cell>
          <cell r="F55" t="str">
            <v>Bertrand Paquot</v>
          </cell>
          <cell r="G55"/>
          <cell r="H55"/>
          <cell r="I55"/>
          <cell r="K55" t="str">
            <v>YES</v>
          </cell>
          <cell r="L55" t="str">
            <v>VAR</v>
          </cell>
          <cell r="M55">
            <v>7.0000000000000007E-2</v>
          </cell>
        </row>
        <row r="56">
          <cell r="A56" t="str">
            <v>ULBIL</v>
          </cell>
          <cell r="B56" t="str">
            <v>From Risk - Models master - Sheet 1</v>
          </cell>
          <cell r="C56" t="str">
            <v>Yes</v>
          </cell>
          <cell r="D56" t="str">
            <v>UL BILANCIATA</v>
          </cell>
          <cell r="E56" t="str">
            <v>AMUNDI Dublin</v>
          </cell>
          <cell r="F56" t="str">
            <v>Craig Moore</v>
          </cell>
          <cell r="G56"/>
          <cell r="H56"/>
          <cell r="I56"/>
          <cell r="K56" t="str">
            <v>YES</v>
          </cell>
          <cell r="L56" t="str">
            <v>TE</v>
          </cell>
          <cell r="M56">
            <v>3.6999999999999998E-2</v>
          </cell>
        </row>
        <row r="57">
          <cell r="A57" t="str">
            <v>ULBILPIU</v>
          </cell>
          <cell r="B57" t="str">
            <v>From Risk - Models master - Sheet 1</v>
          </cell>
          <cell r="C57" t="str">
            <v>Yes</v>
          </cell>
          <cell r="D57" t="str">
            <v>UL BILANCIATA PIU</v>
          </cell>
          <cell r="E57" t="str">
            <v>AMUNDI Dublin</v>
          </cell>
          <cell r="F57" t="str">
            <v>Bertrand Paquot</v>
          </cell>
          <cell r="G57"/>
          <cell r="H57"/>
          <cell r="I57"/>
          <cell r="K57" t="str">
            <v>YES</v>
          </cell>
          <cell r="L57" t="str">
            <v>TE</v>
          </cell>
          <cell r="M57">
            <v>0.04</v>
          </cell>
        </row>
        <row r="58">
          <cell r="A58" t="str">
            <v>ULDIN</v>
          </cell>
          <cell r="B58" t="str">
            <v>From Risk - Models master - Sheet 1</v>
          </cell>
          <cell r="C58" t="str">
            <v>Yes</v>
          </cell>
          <cell r="D58" t="str">
            <v>UL DINAMICA</v>
          </cell>
          <cell r="E58" t="str">
            <v>AMUNDI Dublin</v>
          </cell>
          <cell r="F58" t="str">
            <v>Craig Moore</v>
          </cell>
          <cell r="G58"/>
          <cell r="H58"/>
          <cell r="I58"/>
          <cell r="K58" t="str">
            <v>YES</v>
          </cell>
          <cell r="L58" t="str">
            <v>TE</v>
          </cell>
          <cell r="M58">
            <v>4.8000000000000001E-2</v>
          </cell>
        </row>
        <row r="59">
          <cell r="A59" t="str">
            <v>ULG4NEW</v>
          </cell>
          <cell r="B59" t="str">
            <v>From Risk - Models master - Sheet 1</v>
          </cell>
          <cell r="C59" t="str">
            <v>Yes</v>
          </cell>
          <cell r="D59" t="str">
            <v>UNIT LINKED G4 NEW</v>
          </cell>
          <cell r="E59" t="str">
            <v>AMUNDI Dublin</v>
          </cell>
          <cell r="F59" t="str">
            <v>Bertrand Paquot</v>
          </cell>
          <cell r="G59"/>
          <cell r="H59"/>
          <cell r="I59"/>
          <cell r="K59" t="str">
            <v>YES</v>
          </cell>
          <cell r="L59" t="str">
            <v>TE</v>
          </cell>
          <cell r="M59">
            <v>4.4999999999999998E-2</v>
          </cell>
        </row>
        <row r="60">
          <cell r="A60" t="str">
            <v>ULP</v>
          </cell>
          <cell r="B60" t="str">
            <v>From Risk - Models master - Sheet 1</v>
          </cell>
          <cell r="C60" t="str">
            <v>Yes</v>
          </cell>
          <cell r="D60" t="str">
            <v>UL PRUDENTE</v>
          </cell>
          <cell r="E60" t="str">
            <v>AMUNDI Dublin</v>
          </cell>
          <cell r="F60" t="str">
            <v>Craig Moore</v>
          </cell>
          <cell r="G60"/>
          <cell r="H60"/>
          <cell r="I60"/>
          <cell r="K60" t="str">
            <v>YES</v>
          </cell>
          <cell r="L60" t="str">
            <v>TE</v>
          </cell>
          <cell r="M60">
            <v>2.7E-2</v>
          </cell>
        </row>
        <row r="61">
          <cell r="A61" t="str">
            <v>ULPRUD</v>
          </cell>
          <cell r="B61" t="str">
            <v>From Risk - Models master - Sheet 1</v>
          </cell>
          <cell r="C61" t="str">
            <v>Yes</v>
          </cell>
          <cell r="D61" t="str">
            <v>UL PRUDENTE PIU</v>
          </cell>
          <cell r="E61" t="str">
            <v>AMUNDI Dublin</v>
          </cell>
          <cell r="F61" t="str">
            <v>Craig Moore</v>
          </cell>
          <cell r="G61"/>
          <cell r="H61"/>
          <cell r="I61"/>
          <cell r="K61" t="str">
            <v>YES</v>
          </cell>
          <cell r="L61" t="str">
            <v>TE</v>
          </cell>
          <cell r="M61">
            <v>3.2000000000000001E-2</v>
          </cell>
        </row>
        <row r="62">
          <cell r="A62" t="str">
            <v>APMA1</v>
          </cell>
          <cell r="B62" t="str">
            <v>From Risk - Models master - Sheet 1</v>
          </cell>
          <cell r="C62" t="str">
            <v>Yes</v>
          </cell>
          <cell r="D62" t="str">
            <v>ADVISORY PIRAEUS MA 1</v>
          </cell>
          <cell r="E62" t="str">
            <v>AMUNDI Dublin</v>
          </cell>
          <cell r="F62"/>
          <cell r="G62"/>
          <cell r="H62"/>
          <cell r="I62"/>
          <cell r="J62" t="str">
            <v>Not in Elio List should be pure models</v>
          </cell>
          <cell r="K62" t="str">
            <v>NO</v>
          </cell>
          <cell r="L62" t="e">
            <v>#N/A</v>
          </cell>
          <cell r="M62" t="e">
            <v>#N/A</v>
          </cell>
        </row>
        <row r="63">
          <cell r="A63" t="str">
            <v>APMA2</v>
          </cell>
          <cell r="B63" t="str">
            <v>From Risk - Models master - Sheet 1</v>
          </cell>
          <cell r="C63" t="str">
            <v>Yes</v>
          </cell>
          <cell r="D63" t="str">
            <v>ADVISORY PIRAEUS MA 2</v>
          </cell>
          <cell r="E63" t="str">
            <v>AMUNDI Dublin</v>
          </cell>
          <cell r="F63"/>
          <cell r="G63"/>
          <cell r="H63"/>
          <cell r="I63"/>
          <cell r="J63" t="str">
            <v>Not in Elio List should be pure models</v>
          </cell>
          <cell r="K63" t="str">
            <v>NO</v>
          </cell>
          <cell r="L63" t="e">
            <v>#N/A</v>
          </cell>
          <cell r="M63" t="e">
            <v>#N/A</v>
          </cell>
        </row>
        <row r="64">
          <cell r="A64" t="str">
            <v>APMA3</v>
          </cell>
          <cell r="B64" t="str">
            <v>From Risk - Models master - Sheet 1</v>
          </cell>
          <cell r="C64" t="str">
            <v>Yes</v>
          </cell>
          <cell r="D64" t="str">
            <v>ADVISORY PIRAEUS MA 3</v>
          </cell>
          <cell r="E64" t="str">
            <v>AMUNDI Dublin</v>
          </cell>
          <cell r="F64"/>
          <cell r="G64"/>
          <cell r="H64"/>
          <cell r="I64"/>
          <cell r="J64" t="str">
            <v>Not in Elio List should be pure models</v>
          </cell>
          <cell r="K64" t="str">
            <v>NO</v>
          </cell>
          <cell r="L64" t="e">
            <v>#N/A</v>
          </cell>
          <cell r="M64" t="e">
            <v>#N/A</v>
          </cell>
        </row>
        <row r="65">
          <cell r="A65" t="str">
            <v>APMA4</v>
          </cell>
          <cell r="B65" t="str">
            <v>From Risk - Models master - Sheet 1</v>
          </cell>
          <cell r="C65" t="str">
            <v>Yes</v>
          </cell>
          <cell r="D65" t="str">
            <v>ADVISORY PIRAEUS MA 4</v>
          </cell>
          <cell r="E65" t="str">
            <v>AMUNDI Dublin</v>
          </cell>
          <cell r="F65"/>
          <cell r="G65"/>
          <cell r="H65"/>
          <cell r="I65"/>
          <cell r="J65" t="str">
            <v>Not in Elio List should be pure models</v>
          </cell>
          <cell r="K65" t="str">
            <v>NO</v>
          </cell>
          <cell r="L65" t="e">
            <v>#N/A</v>
          </cell>
          <cell r="M65" t="e">
            <v>#N/A</v>
          </cell>
        </row>
        <row r="66">
          <cell r="A66" t="str">
            <v>SHC</v>
          </cell>
          <cell r="B66" t="str">
            <v>From Risk - Models master - Sheet 1</v>
          </cell>
          <cell r="C66" t="e">
            <v>#N/A</v>
          </cell>
          <cell r="D66" t="str">
            <v>BB SECTOR HEALTHCARE</v>
          </cell>
          <cell r="E66" t="str">
            <v>AMUNDI Dublin</v>
          </cell>
          <cell r="F66"/>
          <cell r="G66"/>
          <cell r="H66"/>
          <cell r="I66"/>
          <cell r="J66" t="str">
            <v>Not in Elio List should be pure models</v>
          </cell>
          <cell r="K66" t="str">
            <v>NO</v>
          </cell>
          <cell r="L66" t="e">
            <v>#N/A</v>
          </cell>
          <cell r="M66" t="e">
            <v>#N/A</v>
          </cell>
        </row>
        <row r="67">
          <cell r="A67" t="str">
            <v>CSABR</v>
          </cell>
          <cell r="B67" t="str">
            <v>From Risk - Models master - Sheet 1</v>
          </cell>
          <cell r="C67" t="e">
            <v>#N/A</v>
          </cell>
          <cell r="D67" t="str">
            <v>Cordusio SIM Advisory Absolute Return</v>
          </cell>
          <cell r="E67" t="str">
            <v>AMUNDI Dublin</v>
          </cell>
          <cell r="F67"/>
          <cell r="G67"/>
          <cell r="H67"/>
          <cell r="I67"/>
          <cell r="J67" t="str">
            <v>Not in Elio List should be pure models</v>
          </cell>
          <cell r="K67" t="str">
            <v>YES</v>
          </cell>
          <cell r="L67" t="e">
            <v>#N/A</v>
          </cell>
          <cell r="M67" t="e">
            <v>#N/A</v>
          </cell>
        </row>
        <row r="68">
          <cell r="A68" t="str">
            <v>AMMIN</v>
          </cell>
          <cell r="B68" t="str">
            <v>From Risk - Models master - Sheet 1</v>
          </cell>
          <cell r="C68" t="e">
            <v>#N/A</v>
          </cell>
          <cell r="D68" t="str">
            <v>FUNDAMENTAL EMU EQUITY</v>
          </cell>
          <cell r="E68" t="str">
            <v>AMUNDI Dublin</v>
          </cell>
          <cell r="F68"/>
          <cell r="G68"/>
          <cell r="H68"/>
          <cell r="I68"/>
          <cell r="J68" t="str">
            <v>Not in Elio List should be pure models</v>
          </cell>
          <cell r="K68" t="str">
            <v>YES</v>
          </cell>
          <cell r="L68" t="e">
            <v>#N/A</v>
          </cell>
          <cell r="M68" t="e">
            <v>#N/A</v>
          </cell>
        </row>
        <row r="69">
          <cell r="A69" t="str">
            <v>MMBOBEU</v>
          </cell>
          <cell r="B69" t="str">
            <v>From Risk - Models master - Sheet 1</v>
          </cell>
          <cell r="C69" t="e">
            <v>#N/A</v>
          </cell>
          <cell r="D69" t="str">
            <v>MULITBRAND EURO BOND</v>
          </cell>
          <cell r="E69" t="str">
            <v>AMUNDI Dublin</v>
          </cell>
          <cell r="F69"/>
          <cell r="G69"/>
          <cell r="H69"/>
          <cell r="I69"/>
          <cell r="J69" t="str">
            <v>Not in Elio List should be pure models</v>
          </cell>
          <cell r="K69" t="str">
            <v>YES</v>
          </cell>
          <cell r="L69" t="e">
            <v>#N/A</v>
          </cell>
          <cell r="M69" t="e">
            <v>#N/A</v>
          </cell>
        </row>
        <row r="70">
          <cell r="A70" t="str">
            <v>MERE</v>
          </cell>
          <cell r="B70" t="str">
            <v>From Risk - Models master - Sheet 1</v>
          </cell>
          <cell r="C70" t="e">
            <v>#N/A</v>
          </cell>
          <cell r="D70" t="str">
            <v>MULTIBRAND EUROPEAN REAL ESTATE</v>
          </cell>
          <cell r="E70" t="str">
            <v>AMUNDI Dublin</v>
          </cell>
          <cell r="F70"/>
          <cell r="G70"/>
          <cell r="H70"/>
          <cell r="I70"/>
          <cell r="J70" t="str">
            <v>Not in Elio List should be pure models</v>
          </cell>
          <cell r="K70" t="str">
            <v>YES</v>
          </cell>
          <cell r="L70" t="e">
            <v>#N/A</v>
          </cell>
          <cell r="M70" t="e">
            <v>#N/A</v>
          </cell>
        </row>
        <row r="71">
          <cell r="A71" t="str">
            <v>MEMBOND</v>
          </cell>
          <cell r="B71" t="str">
            <v>From Risk - Models master - Sheet 1</v>
          </cell>
          <cell r="C71" t="e">
            <v>#N/A</v>
          </cell>
          <cell r="D71" t="str">
            <v>Modello Emerging Market Bond</v>
          </cell>
          <cell r="E71" t="str">
            <v>AMUNDI Dublin</v>
          </cell>
          <cell r="F71"/>
          <cell r="G71"/>
          <cell r="H71"/>
          <cell r="I71"/>
          <cell r="J71" t="str">
            <v>Not in Elio List should be pure models</v>
          </cell>
          <cell r="K71" t="str">
            <v>YES</v>
          </cell>
          <cell r="L71" t="e">
            <v>#N/A</v>
          </cell>
          <cell r="M71" t="e">
            <v>#N/A</v>
          </cell>
        </row>
        <row r="72">
          <cell r="A72" t="str">
            <v>MGLHIYI</v>
          </cell>
          <cell r="B72" t="str">
            <v>From Risk - Models master - Sheet 1</v>
          </cell>
          <cell r="C72" t="e">
            <v>#N/A</v>
          </cell>
          <cell r="D72" t="str">
            <v>Modello Global High Yield</v>
          </cell>
          <cell r="E72" t="str">
            <v>AMUNDI Dublin</v>
          </cell>
          <cell r="F72"/>
          <cell r="G72"/>
          <cell r="H72"/>
          <cell r="I72"/>
          <cell r="J72" t="str">
            <v>Not in Elio List should be pure models</v>
          </cell>
          <cell r="K72" t="str">
            <v>YES</v>
          </cell>
          <cell r="L72" t="e">
            <v>#N/A</v>
          </cell>
          <cell r="M72" t="e">
            <v>#N/A</v>
          </cell>
        </row>
        <row r="73">
          <cell r="A73" t="str">
            <v>MMBAZUSAHG</v>
          </cell>
          <cell r="B73" t="str">
            <v>From Risk - Models master - Sheet 1</v>
          </cell>
          <cell r="C73" t="e">
            <v>#N/A</v>
          </cell>
          <cell r="D73" t="str">
            <v>Multibrand Azionaria America Hedged</v>
          </cell>
          <cell r="E73" t="str">
            <v>AMUNDI Dublin</v>
          </cell>
          <cell r="F73"/>
          <cell r="G73"/>
          <cell r="H73"/>
          <cell r="I73"/>
          <cell r="J73" t="str">
            <v>Not in Elio List should be pure models</v>
          </cell>
          <cell r="K73" t="str">
            <v>YES</v>
          </cell>
          <cell r="L73" t="e">
            <v>#N/A</v>
          </cell>
          <cell r="M73" t="e">
            <v>#N/A</v>
          </cell>
        </row>
        <row r="74">
          <cell r="A74" t="str">
            <v>MMBAPXJ</v>
          </cell>
          <cell r="B74" t="str">
            <v>From Risk - Models master - Sheet 1</v>
          </cell>
          <cell r="C74" t="e">
            <v>#N/A</v>
          </cell>
          <cell r="D74" t="str">
            <v>Multibrand Azionario Asia Asia Pacific e</v>
          </cell>
          <cell r="E74" t="str">
            <v>AMUNDI Dublin</v>
          </cell>
          <cell r="F74"/>
          <cell r="G74"/>
          <cell r="H74"/>
          <cell r="I74"/>
          <cell r="J74" t="str">
            <v>Not in Elio List should be pure models</v>
          </cell>
          <cell r="K74" t="str">
            <v>YES</v>
          </cell>
          <cell r="L74" t="e">
            <v>#N/A</v>
          </cell>
          <cell r="M74" t="e">
            <v>#N/A</v>
          </cell>
        </row>
        <row r="75">
          <cell r="A75" t="str">
            <v>MMBAZJAP</v>
          </cell>
          <cell r="B75" t="str">
            <v>From Risk - Models master - Sheet 1</v>
          </cell>
          <cell r="C75" t="e">
            <v>#N/A</v>
          </cell>
          <cell r="D75" t="str">
            <v>Multibrand Azionario Giappone</v>
          </cell>
          <cell r="E75" t="str">
            <v>AMUNDI Dublin</v>
          </cell>
          <cell r="J75" t="str">
            <v>Not in Elio List should be pure models</v>
          </cell>
          <cell r="K75" t="str">
            <v>YES</v>
          </cell>
          <cell r="L75" t="e">
            <v>#N/A</v>
          </cell>
          <cell r="M75" t="e">
            <v>#N/A</v>
          </cell>
        </row>
        <row r="76">
          <cell r="A76" t="str">
            <v>MPPC</v>
          </cell>
          <cell r="B76" t="str">
            <v>From Risk - Models master - Sheet 1</v>
          </cell>
          <cell r="C76" t="e">
            <v>#N/A</v>
          </cell>
          <cell r="D76" t="str">
            <v>PP Commodities</v>
          </cell>
          <cell r="E76" t="str">
            <v>AMUNDI Dublin</v>
          </cell>
          <cell r="J76" t="str">
            <v>Not in Elio List should be pure models</v>
          </cell>
          <cell r="K76" t="str">
            <v>YES</v>
          </cell>
          <cell r="L76" t="e">
            <v>#N/A</v>
          </cell>
          <cell r="M76" t="e">
            <v>#N/A</v>
          </cell>
        </row>
        <row r="77">
          <cell r="A77" t="str">
            <v>MGUPAMTF1</v>
          </cell>
          <cell r="B77" t="str">
            <v>From Risk - Models master - Sheet 1</v>
          </cell>
          <cell r="C77" t="str">
            <v>Yes</v>
          </cell>
          <cell r="D77" t="str">
            <v>UBP GLOBAL TF 1</v>
          </cell>
          <cell r="E77" t="str">
            <v>AMUNDI Dublin</v>
          </cell>
          <cell r="J77" t="str">
            <v>Not in Elio List should be pure models</v>
          </cell>
          <cell r="K77" t="str">
            <v>YES</v>
          </cell>
          <cell r="L77" t="e">
            <v>#N/A</v>
          </cell>
          <cell r="M77" t="e">
            <v>#N/A</v>
          </cell>
        </row>
        <row r="78">
          <cell r="A78" t="str">
            <v>MGUPAMTF2</v>
          </cell>
          <cell r="B78" t="str">
            <v>From Risk - Models master - Sheet 1</v>
          </cell>
          <cell r="C78" t="str">
            <v>Yes</v>
          </cell>
          <cell r="D78" t="str">
            <v>UBP GLOBAL TF 2</v>
          </cell>
          <cell r="E78" t="str">
            <v>AMUNDI Dublin</v>
          </cell>
          <cell r="J78" t="str">
            <v>Not in Elio List should be pure models</v>
          </cell>
          <cell r="K78" t="str">
            <v>YES</v>
          </cell>
          <cell r="L78" t="e">
            <v>#N/A</v>
          </cell>
          <cell r="M78" t="e">
            <v>#N/A</v>
          </cell>
        </row>
        <row r="79">
          <cell r="A79" t="str">
            <v>MGUPAMTF3</v>
          </cell>
          <cell r="B79" t="str">
            <v>From Risk - Models master - Sheet 1</v>
          </cell>
          <cell r="C79" t="str">
            <v>Yes</v>
          </cell>
          <cell r="D79" t="str">
            <v>UBP GLOBAL TF 3</v>
          </cell>
          <cell r="E79" t="str">
            <v>AMUNDI Dublin</v>
          </cell>
          <cell r="J79" t="str">
            <v>Not in Elio List should be pure models</v>
          </cell>
          <cell r="K79" t="str">
            <v>YES</v>
          </cell>
          <cell r="L79" t="e">
            <v>#N/A</v>
          </cell>
          <cell r="M79" t="e">
            <v>#N/A</v>
          </cell>
        </row>
        <row r="80">
          <cell r="A80" t="str">
            <v>MGUPAMTF4</v>
          </cell>
          <cell r="B80" t="str">
            <v>From Risk - Models master - Sheet 1</v>
          </cell>
          <cell r="C80" t="str">
            <v>Yes</v>
          </cell>
          <cell r="D80" t="str">
            <v>UBP GLOBAL TF 4</v>
          </cell>
          <cell r="E80" t="str">
            <v>AMUNDI Dublin</v>
          </cell>
          <cell r="J80" t="str">
            <v>Not in Elio List should be pure models</v>
          </cell>
          <cell r="K80" t="str">
            <v>YES</v>
          </cell>
          <cell r="L80" t="e">
            <v>#N/A</v>
          </cell>
          <cell r="M80" t="e">
            <v>#N/A</v>
          </cell>
        </row>
        <row r="81">
          <cell r="A81" t="str">
            <v>MGUPAMTF5</v>
          </cell>
          <cell r="B81" t="str">
            <v>From Risk - Models master - Sheet 1</v>
          </cell>
          <cell r="C81" t="str">
            <v>Yes</v>
          </cell>
          <cell r="D81" t="str">
            <v>UBP GLOBAL TF 5</v>
          </cell>
          <cell r="E81" t="str">
            <v>AMUNDI Dublin</v>
          </cell>
          <cell r="J81" t="str">
            <v>Not in Elio List should be pure models</v>
          </cell>
          <cell r="K81" t="str">
            <v>YES</v>
          </cell>
          <cell r="L81" t="e">
            <v>#N/A</v>
          </cell>
          <cell r="M81" t="e">
            <v>#N/A</v>
          </cell>
        </row>
        <row r="82">
          <cell r="A82" t="str">
            <v>ULDIAM1-M</v>
          </cell>
          <cell r="B82" t="str">
            <v>From Risk - Models master - Sheet 1</v>
          </cell>
          <cell r="C82" t="str">
            <v>Yes</v>
          </cell>
          <cell r="D82" t="str">
            <v>UL DIAMOND 1</v>
          </cell>
          <cell r="E82" t="str">
            <v>AMUNDI Dublin</v>
          </cell>
          <cell r="J82" t="str">
            <v>Not in Elio List should be pure models</v>
          </cell>
          <cell r="K82" t="str">
            <v>YES</v>
          </cell>
          <cell r="L82" t="e">
            <v>#N/A</v>
          </cell>
          <cell r="M82" t="e">
            <v>#N/A</v>
          </cell>
        </row>
        <row r="83">
          <cell r="A83" t="str">
            <v>ULBER-</v>
          </cell>
          <cell r="B83" t="str">
            <v>From Risk - Models master - Sheet 1</v>
          </cell>
          <cell r="C83" t="str">
            <v>Yes</v>
          </cell>
          <cell r="D83" t="str">
            <v>UL_BILANCIATA_+ERGO</v>
          </cell>
          <cell r="E83" t="str">
            <v>AMUNDI Dublin</v>
          </cell>
          <cell r="J83" t="str">
            <v>Not in Elio List should be pure models</v>
          </cell>
          <cell r="K83" t="str">
            <v>YES</v>
          </cell>
          <cell r="L83" t="e">
            <v>#N/A</v>
          </cell>
          <cell r="M83" t="e">
            <v>#N/A</v>
          </cell>
        </row>
        <row r="84">
          <cell r="A84" t="str">
            <v>ULDER</v>
          </cell>
          <cell r="B84" t="str">
            <v>From Risk - Models master - Sheet 1</v>
          </cell>
          <cell r="C84" t="str">
            <v>Yes</v>
          </cell>
          <cell r="D84" t="str">
            <v>UL_DINAMICA ERGO</v>
          </cell>
          <cell r="E84" t="str">
            <v>AMUNDI Dublin</v>
          </cell>
          <cell r="J84" t="str">
            <v>Not in Elio List should be pure models</v>
          </cell>
          <cell r="K84" t="str">
            <v>YES</v>
          </cell>
          <cell r="L84" t="e">
            <v>#N/A</v>
          </cell>
          <cell r="M84" t="e">
            <v>#N/A</v>
          </cell>
        </row>
        <row r="85">
          <cell r="A85" t="str">
            <v>ULPER</v>
          </cell>
          <cell r="B85" t="str">
            <v>From Risk - Models master - Sheet 1</v>
          </cell>
          <cell r="C85" t="str">
            <v>Yes</v>
          </cell>
          <cell r="D85" t="str">
            <v>UL_PRUDENTE ERGO</v>
          </cell>
          <cell r="E85" t="str">
            <v>AMUNDI Dublin</v>
          </cell>
          <cell r="J85" t="str">
            <v>Not in Elio List should be pure models</v>
          </cell>
          <cell r="K85" t="str">
            <v>YES</v>
          </cell>
          <cell r="L85" t="e">
            <v>#N/A</v>
          </cell>
          <cell r="M85" t="e">
            <v>#N/A</v>
          </cell>
        </row>
        <row r="86">
          <cell r="A86" t="str">
            <v>ULP-ER</v>
          </cell>
          <cell r="B86" t="str">
            <v>From Risk - Models master - Sheet 1</v>
          </cell>
          <cell r="C86" t="str">
            <v>Yes</v>
          </cell>
          <cell r="D86" t="str">
            <v>UL_PRUDENTE_+ ERGO</v>
          </cell>
          <cell r="E86" t="str">
            <v>AMUNDI Dublin</v>
          </cell>
          <cell r="J86" t="str">
            <v>Not in Elio List should be pure models</v>
          </cell>
          <cell r="K86" t="str">
            <v>YES</v>
          </cell>
          <cell r="L86" t="e">
            <v>#N/A</v>
          </cell>
          <cell r="M86" t="e">
            <v>#N/A</v>
          </cell>
        </row>
        <row r="87">
          <cell r="A87" t="str">
            <v>MGUPAMSF1</v>
          </cell>
          <cell r="B87" t="str">
            <v>From Risk - Models master - Sheet 1</v>
          </cell>
          <cell r="C87" t="str">
            <v>Yes</v>
          </cell>
          <cell r="D87" t="str">
            <v>UBP GLOBAL SF 1</v>
          </cell>
          <cell r="E87" t="str">
            <v>AMUNDI Dublin</v>
          </cell>
          <cell r="F87"/>
          <cell r="G87"/>
          <cell r="H87"/>
          <cell r="I87"/>
          <cell r="J87" t="str">
            <v>Not longer in use (DEAD)</v>
          </cell>
          <cell r="K87" t="str">
            <v>NO</v>
          </cell>
          <cell r="L87" t="str">
            <v>TE</v>
          </cell>
          <cell r="M87">
            <v>3.1E-2</v>
          </cell>
        </row>
        <row r="88">
          <cell r="A88" t="str">
            <v>MGUPAMSF2</v>
          </cell>
          <cell r="B88" t="str">
            <v>From Risk - Models master - Sheet 1</v>
          </cell>
          <cell r="C88" t="str">
            <v>Yes</v>
          </cell>
          <cell r="D88" t="str">
            <v>UBP GLOBAL SF 2</v>
          </cell>
          <cell r="E88" t="str">
            <v>AMUNDI Dublin</v>
          </cell>
          <cell r="F88"/>
          <cell r="G88"/>
          <cell r="H88"/>
          <cell r="I88"/>
          <cell r="J88" t="str">
            <v>Not longer in use (DEAD)</v>
          </cell>
          <cell r="K88" t="str">
            <v>NO</v>
          </cell>
          <cell r="L88" t="str">
            <v>TE</v>
          </cell>
          <cell r="M88">
            <v>3.5999999999999997E-2</v>
          </cell>
        </row>
        <row r="89">
          <cell r="A89" t="str">
            <v>MGUPAMSF3</v>
          </cell>
          <cell r="B89" t="str">
            <v>From Risk - Models master - Sheet 1</v>
          </cell>
          <cell r="C89" t="str">
            <v>Yes</v>
          </cell>
          <cell r="D89" t="str">
            <v>UBP GLOBAL SF 3</v>
          </cell>
          <cell r="E89" t="str">
            <v>AMUNDI Dublin</v>
          </cell>
          <cell r="F89"/>
          <cell r="G89"/>
          <cell r="H89"/>
          <cell r="I89"/>
          <cell r="J89" t="str">
            <v>Not longer in use (DEAD)</v>
          </cell>
          <cell r="K89" t="str">
            <v>NO</v>
          </cell>
          <cell r="L89" t="str">
            <v>TE</v>
          </cell>
          <cell r="M89">
            <v>4.2000000000000003E-2</v>
          </cell>
        </row>
        <row r="90">
          <cell r="A90" t="str">
            <v>MGUPAMSF4</v>
          </cell>
          <cell r="B90" t="str">
            <v>From Risk - Models master - Sheet 1</v>
          </cell>
          <cell r="C90" t="str">
            <v>Yes</v>
          </cell>
          <cell r="D90" t="str">
            <v>UBP GLOBAL SF 4</v>
          </cell>
          <cell r="E90" t="str">
            <v>AMUNDI Dublin</v>
          </cell>
          <cell r="F90"/>
          <cell r="G90"/>
          <cell r="H90"/>
          <cell r="I90"/>
          <cell r="J90" t="str">
            <v>Not longer in use (DEAD)</v>
          </cell>
          <cell r="K90" t="str">
            <v>NO</v>
          </cell>
          <cell r="L90" t="str">
            <v>TE</v>
          </cell>
          <cell r="M90">
            <v>4.5999999999999999E-2</v>
          </cell>
        </row>
        <row r="91">
          <cell r="A91" t="str">
            <v>MGUPAMSF5</v>
          </cell>
          <cell r="B91" t="str">
            <v>From Risk - Models master - Sheet 1</v>
          </cell>
          <cell r="C91" t="str">
            <v>Yes</v>
          </cell>
          <cell r="D91" t="str">
            <v>UBP GLOBAL SF 5</v>
          </cell>
          <cell r="E91" t="str">
            <v>AMUNDI Dublin</v>
          </cell>
          <cell r="F91"/>
          <cell r="G91"/>
          <cell r="H91"/>
          <cell r="I91"/>
          <cell r="J91" t="str">
            <v>Not longer in use (DEAD)</v>
          </cell>
          <cell r="K91" t="str">
            <v>NO</v>
          </cell>
          <cell r="L91" t="str">
            <v>TE</v>
          </cell>
          <cell r="M91">
            <v>5.3999999999999999E-2</v>
          </cell>
        </row>
        <row r="92">
          <cell r="A92" t="str">
            <v>ULC</v>
          </cell>
          <cell r="B92" t="str">
            <v>From Risk - Models master - Sheet 1</v>
          </cell>
          <cell r="C92" t="str">
            <v>Yes</v>
          </cell>
          <cell r="D92" t="str">
            <v>UL CAUTA</v>
          </cell>
          <cell r="E92" t="str">
            <v>AMUNDI Dublin</v>
          </cell>
          <cell r="F92" t="str">
            <v>Craig Moore</v>
          </cell>
          <cell r="G92"/>
          <cell r="H92"/>
          <cell r="I92"/>
          <cell r="J92" t="str">
            <v>Not assigned to Dublin In Armoni</v>
          </cell>
          <cell r="K92" t="str">
            <v>YES</v>
          </cell>
          <cell r="L92" t="str">
            <v>TE</v>
          </cell>
          <cell r="M92">
            <v>0.02</v>
          </cell>
        </row>
        <row r="93">
          <cell r="A93" t="str">
            <v>MULTHEM</v>
          </cell>
          <cell r="B93" t="str">
            <v>From Risk - Models master - Sheet 1</v>
          </cell>
          <cell r="C93" t="str">
            <v>Yes</v>
          </cell>
          <cell r="D93" t="str">
            <v>Unit Linked Multi Thematic Global Eq</v>
          </cell>
          <cell r="E93" t="str">
            <v>AMUNDI Dublin</v>
          </cell>
          <cell r="K93" t="str">
            <v>YES</v>
          </cell>
          <cell r="L93" t="str">
            <v>TE</v>
          </cell>
          <cell r="M93">
            <v>0.06</v>
          </cell>
        </row>
        <row r="94">
          <cell r="A94" t="str">
            <v>BBMEGLC</v>
          </cell>
          <cell r="B94" t="str">
            <v>From Risk - Models master - Sheet 1</v>
          </cell>
          <cell r="C94" t="e">
            <v>#N/A</v>
          </cell>
          <cell r="D94" t="str">
            <v>BB MULTI EQUITY GLOBAL LC</v>
          </cell>
          <cell r="E94" t="str">
            <v>AMUNDI Dublin</v>
          </cell>
          <cell r="F94" t="str">
            <v>Frank Gans</v>
          </cell>
          <cell r="G94"/>
          <cell r="H94"/>
          <cell r="I94" t="str">
            <v>Y</v>
          </cell>
          <cell r="J94" t="str">
            <v>Only funds and cash</v>
          </cell>
          <cell r="K94" t="str">
            <v>NO</v>
          </cell>
          <cell r="L94" t="e">
            <v>#N/A</v>
          </cell>
          <cell r="M94" t="e">
            <v>#N/A</v>
          </cell>
        </row>
        <row r="95">
          <cell r="A95" t="str">
            <v>BBMEJLC</v>
          </cell>
          <cell r="B95" t="str">
            <v>From Risk - Models master - Sheet 1</v>
          </cell>
          <cell r="C95" t="e">
            <v>#N/A</v>
          </cell>
          <cell r="D95" t="str">
            <v>BB MULTI EQUITY JAPAN LC</v>
          </cell>
          <cell r="E95" t="str">
            <v>AMUNDI Dublin</v>
          </cell>
          <cell r="F95" t="str">
            <v>Paul Weber</v>
          </cell>
          <cell r="G95"/>
          <cell r="H95"/>
          <cell r="I95" t="str">
            <v>Y</v>
          </cell>
          <cell r="J95" t="str">
            <v>Only 2 funds</v>
          </cell>
          <cell r="K95" t="str">
            <v>NO</v>
          </cell>
          <cell r="L95" t="e">
            <v>#N/A</v>
          </cell>
          <cell r="M95" t="e">
            <v>#N/A</v>
          </cell>
        </row>
        <row r="96">
          <cell r="A96" t="str">
            <v>BBMEUSLC</v>
          </cell>
          <cell r="B96" t="str">
            <v>From Risk - Models master - Sheet 1</v>
          </cell>
          <cell r="C96" t="e">
            <v>#N/A</v>
          </cell>
          <cell r="D96" t="str">
            <v>BB MULTI EQUITY US LC</v>
          </cell>
          <cell r="E96" t="str">
            <v>AMUNDI Dublin</v>
          </cell>
          <cell r="F96" t="str">
            <v>Gillian Jones</v>
          </cell>
          <cell r="G96"/>
          <cell r="H96"/>
          <cell r="I96" t="str">
            <v>Y</v>
          </cell>
          <cell r="J96" t="str">
            <v>Only funds</v>
          </cell>
          <cell r="K96" t="str">
            <v>NO</v>
          </cell>
          <cell r="L96" t="e">
            <v>#N/A</v>
          </cell>
          <cell r="M96" t="e">
            <v>#N/A</v>
          </cell>
        </row>
        <row r="97">
          <cell r="A97" t="str">
            <v>BBMOEUSLC</v>
          </cell>
          <cell r="B97" t="str">
            <v>From Risk - Models master - Sheet 1</v>
          </cell>
          <cell r="C97" t="e">
            <v>#N/A</v>
          </cell>
          <cell r="D97" t="str">
            <v>BB MONO EQUITY US LC</v>
          </cell>
          <cell r="E97" t="str">
            <v>AMUNDI Dublin</v>
          </cell>
          <cell r="F97" t="str">
            <v>Gillian Jones</v>
          </cell>
          <cell r="G97"/>
          <cell r="H97"/>
          <cell r="I97" t="str">
            <v>Y</v>
          </cell>
          <cell r="J97" t="str">
            <v>Only internal funds</v>
          </cell>
          <cell r="K97" t="str">
            <v>NO</v>
          </cell>
          <cell r="L97" t="e">
            <v>#N/A</v>
          </cell>
          <cell r="M97" t="e">
            <v>#N/A</v>
          </cell>
        </row>
        <row r="98">
          <cell r="A98" t="str">
            <v>BBMOULEUSL</v>
          </cell>
          <cell r="B98" t="str">
            <v>From Risk - Models master - Sheet 1</v>
          </cell>
          <cell r="C98" t="e">
            <v>#N/A</v>
          </cell>
          <cell r="D98" t="str">
            <v>BB MONO UL EQUITY US LC</v>
          </cell>
          <cell r="E98" t="str">
            <v>AMUNDI Dublin</v>
          </cell>
          <cell r="F98" t="str">
            <v>Gillian Jones</v>
          </cell>
          <cell r="G98"/>
          <cell r="H98"/>
          <cell r="I98" t="str">
            <v>Y</v>
          </cell>
          <cell r="J98" t="str">
            <v>One internal fund and cash</v>
          </cell>
          <cell r="K98" t="str">
            <v>NO</v>
          </cell>
          <cell r="L98" t="e">
            <v>#N/A</v>
          </cell>
          <cell r="M98" t="e">
            <v>#N/A</v>
          </cell>
        </row>
        <row r="99">
          <cell r="A99" t="str">
            <v>BBMULEUSLC</v>
          </cell>
          <cell r="B99" t="str">
            <v>From Risk - Models master - Sheet 1</v>
          </cell>
          <cell r="C99" t="e">
            <v>#N/A</v>
          </cell>
          <cell r="D99" t="str">
            <v>BB MULTI UL EQUITY US LC</v>
          </cell>
          <cell r="E99" t="str">
            <v>AMUNDI Dublin</v>
          </cell>
          <cell r="F99" t="str">
            <v>Gillian Jones</v>
          </cell>
          <cell r="G99"/>
          <cell r="H99"/>
          <cell r="I99" t="str">
            <v>Y</v>
          </cell>
          <cell r="J99" t="str">
            <v>Only funds and cash</v>
          </cell>
          <cell r="K99" t="str">
            <v>NO</v>
          </cell>
          <cell r="L99" t="e">
            <v>#N/A</v>
          </cell>
          <cell r="M99" t="e">
            <v>#N/A</v>
          </cell>
        </row>
        <row r="100">
          <cell r="A100" t="str">
            <v>MDIA4UL</v>
          </cell>
          <cell r="B100" t="str">
            <v>From Risk - Models master - Sheet 1</v>
          </cell>
          <cell r="C100" t="e">
            <v>#N/A</v>
          </cell>
          <cell r="D100" t="str">
            <v>DIAMOND 4 UNIT LINKED</v>
          </cell>
          <cell r="E100" t="str">
            <v>AMUNDI Dublin</v>
          </cell>
          <cell r="F100" t="str">
            <v>Gillian Jones</v>
          </cell>
          <cell r="G100"/>
          <cell r="H100"/>
          <cell r="I100"/>
          <cell r="K100" t="str">
            <v>YES</v>
          </cell>
          <cell r="L100" t="str">
            <v>TE</v>
          </cell>
          <cell r="M100">
            <v>0.06</v>
          </cell>
        </row>
        <row r="101">
          <cell r="A101" t="str">
            <v>MUSG</v>
          </cell>
          <cell r="B101" t="str">
            <v>From Risk - Models master - Sheet 1</v>
          </cell>
          <cell r="C101" t="str">
            <v>Yes</v>
          </cell>
          <cell r="D101" t="str">
            <v>UNIVALORE STARS GROWTH</v>
          </cell>
          <cell r="E101" t="str">
            <v>AMUNDI Dublin</v>
          </cell>
          <cell r="F101" t="str">
            <v>Frank Gans</v>
          </cell>
          <cell r="G101"/>
          <cell r="H101"/>
          <cell r="I101"/>
          <cell r="K101" t="str">
            <v>YES</v>
          </cell>
          <cell r="L101" t="str">
            <v>TE</v>
          </cell>
          <cell r="M101">
            <v>0.06</v>
          </cell>
        </row>
        <row r="102">
          <cell r="A102" t="str">
            <v>R2M</v>
          </cell>
          <cell r="B102" t="str">
            <v>From Risk - Models master - Sheet 1</v>
          </cell>
          <cell r="C102" t="str">
            <v>Yes</v>
          </cell>
          <cell r="D102" t="str">
            <v>CAM CNP - LINEA DINAMICA PLUS</v>
          </cell>
          <cell r="E102" t="str">
            <v>AMUNDI Dublin</v>
          </cell>
          <cell r="F102" t="str">
            <v>Bertrand Paquot</v>
          </cell>
          <cell r="G102"/>
          <cell r="H102"/>
          <cell r="I102"/>
          <cell r="K102" t="str">
            <v>YES</v>
          </cell>
          <cell r="L102" t="e">
            <v>#N/A</v>
          </cell>
          <cell r="M102" t="e">
            <v>#N/A</v>
          </cell>
        </row>
        <row r="103">
          <cell r="A103" t="str">
            <v>UDM6</v>
          </cell>
          <cell r="B103" t="str">
            <v>From Risk - Models master - Sheet 1</v>
          </cell>
          <cell r="C103" t="e">
            <v>#N/A</v>
          </cell>
          <cell r="D103" t="str">
            <v>UNIDIAMOND + AZIONARIA AMERICA</v>
          </cell>
          <cell r="E103" t="str">
            <v>AMUNDI Dublin</v>
          </cell>
          <cell r="F103" t="str">
            <v>Gillian Jones</v>
          </cell>
          <cell r="G103"/>
          <cell r="H103"/>
          <cell r="I103"/>
          <cell r="K103" t="str">
            <v>YES</v>
          </cell>
          <cell r="L103" t="str">
            <v>TE</v>
          </cell>
          <cell r="M103">
            <v>0.06</v>
          </cell>
        </row>
        <row r="104">
          <cell r="A104" t="str">
            <v>UDM9</v>
          </cell>
          <cell r="B104" t="str">
            <v>From Risk - Models master - Sheet 1</v>
          </cell>
          <cell r="C104" t="e">
            <v>#N/A</v>
          </cell>
          <cell r="D104" t="str">
            <v>UNIDIAMOND + AZIONARIA INTL</v>
          </cell>
          <cell r="E104" t="str">
            <v>AMUNDI Dublin</v>
          </cell>
          <cell r="F104" t="str">
            <v>Frank Gans</v>
          </cell>
          <cell r="G104"/>
          <cell r="H104"/>
          <cell r="I104"/>
          <cell r="K104" t="str">
            <v>YES</v>
          </cell>
          <cell r="L104" t="str">
            <v>TE</v>
          </cell>
          <cell r="M104">
            <v>0.06</v>
          </cell>
        </row>
        <row r="105">
          <cell r="A105" t="str">
            <v>ULECSTARS</v>
          </cell>
          <cell r="B105" t="str">
            <v>From Risk - Models master - Sheet 1</v>
          </cell>
          <cell r="C105" t="e">
            <v>#N/A</v>
          </cell>
          <cell r="D105" t="str">
            <v>UL GLOBAL EQ DIVIDEND &amp; SUBORDNTD CREDIT</v>
          </cell>
          <cell r="E105" t="str">
            <v>AMUNDI Dublin</v>
          </cell>
          <cell r="F105" t="str">
            <v>Frank Gans</v>
          </cell>
          <cell r="G105"/>
          <cell r="H105"/>
          <cell r="I105"/>
          <cell r="K105" t="str">
            <v>YES</v>
          </cell>
          <cell r="L105" t="str">
            <v>VAR</v>
          </cell>
          <cell r="M105">
            <v>0.13500000000000001</v>
          </cell>
        </row>
        <row r="106">
          <cell r="A106" t="str">
            <v>AAPROT80</v>
          </cell>
          <cell r="B106" t="str">
            <v>From Risk - Models master - Sheet 1</v>
          </cell>
          <cell r="C106" t="str">
            <v>Yes</v>
          </cell>
          <cell r="D106" t="str">
            <v>ASSET ALLOCATION MODEL PROTETTO 80</v>
          </cell>
          <cell r="E106" t="str">
            <v>AMUNDI Dublin</v>
          </cell>
          <cell r="J106" t="str">
            <v>Not in Elio List should be pure models</v>
          </cell>
          <cell r="K106" t="str">
            <v>YES</v>
          </cell>
          <cell r="L106" t="e">
            <v>#N/A</v>
          </cell>
          <cell r="M106" t="e">
            <v>#N/A</v>
          </cell>
        </row>
        <row r="107">
          <cell r="A107" t="str">
            <v>BBTSTPF1</v>
          </cell>
          <cell r="B107" t="str">
            <v>From Risk - Models master - Sheet 1</v>
          </cell>
          <cell r="C107" t="e">
            <v>#N/A</v>
          </cell>
          <cell r="D107" t="str">
            <v>BB TEST PORTFOLIO 1</v>
          </cell>
          <cell r="E107" t="str">
            <v>AMUNDI Dublin</v>
          </cell>
          <cell r="F107"/>
          <cell r="G107"/>
          <cell r="H107"/>
          <cell r="I107"/>
          <cell r="J107" t="str">
            <v>Not longer in use (DEAD)</v>
          </cell>
          <cell r="K107" t="str">
            <v>NO</v>
          </cell>
          <cell r="L107" t="e">
            <v>#N/A</v>
          </cell>
          <cell r="M107" t="e">
            <v>#N/A</v>
          </cell>
        </row>
        <row r="108">
          <cell r="A108" t="str">
            <v>MEUPAMSF3</v>
          </cell>
          <cell r="B108" t="str">
            <v>From Risk - Models master - Sheet 1</v>
          </cell>
          <cell r="C108" t="str">
            <v>Yes</v>
          </cell>
          <cell r="D108" t="str">
            <v>UBP EURO SF 3</v>
          </cell>
          <cell r="E108" t="str">
            <v>AMUNDI Dublin</v>
          </cell>
          <cell r="F108"/>
          <cell r="G108"/>
          <cell r="H108"/>
          <cell r="I108"/>
          <cell r="J108" t="str">
            <v>Not longer in use (DEAD)</v>
          </cell>
          <cell r="K108" t="str">
            <v>NO</v>
          </cell>
          <cell r="L108" t="e">
            <v>#N/A</v>
          </cell>
          <cell r="M108" t="e">
            <v>#N/A</v>
          </cell>
        </row>
      </sheetData>
      <sheetData sheetId="1">
        <row r="1">
          <cell r="C1" t="str">
            <v>On Master List?</v>
          </cell>
        </row>
        <row r="2">
          <cell r="A2" t="str">
            <v>1PM</v>
          </cell>
          <cell r="B2" t="str">
            <v>From Risk - Models Master - Sheet 2</v>
          </cell>
          <cell r="C2" t="str">
            <v>Yes</v>
          </cell>
          <cell r="D2" t="str">
            <v>Diamond 7 Unit Linked</v>
          </cell>
          <cell r="E2">
            <v>0.06</v>
          </cell>
          <cell r="F2" t="str">
            <v>TE</v>
          </cell>
        </row>
        <row r="3">
          <cell r="A3" t="str">
            <v>1QM</v>
          </cell>
          <cell r="B3" t="str">
            <v>From Risk - Models Master - Sheet 2</v>
          </cell>
          <cell r="C3" t="str">
            <v>Yes</v>
          </cell>
          <cell r="D3" t="str">
            <v>Ares Risparmio Bilanciato</v>
          </cell>
          <cell r="E3">
            <v>0.04</v>
          </cell>
          <cell r="F3" t="str">
            <v>TE</v>
          </cell>
        </row>
        <row r="4">
          <cell r="A4" t="str">
            <v>1RM</v>
          </cell>
          <cell r="B4" t="str">
            <v>From Risk - Models Master - Sheet 2</v>
          </cell>
          <cell r="C4" t="str">
            <v>Yes</v>
          </cell>
          <cell r="D4" t="str">
            <v>Ares Risparmio Obbligazionario</v>
          </cell>
          <cell r="E4">
            <v>2.5999999999999999E-2</v>
          </cell>
          <cell r="F4" t="str">
            <v>TE</v>
          </cell>
        </row>
        <row r="5">
          <cell r="A5" t="str">
            <v>CCRESCITA</v>
          </cell>
          <cell r="B5" t="str">
            <v>From Risk - Models Master - Sheet 2</v>
          </cell>
          <cell r="C5" t="str">
            <v>Yes</v>
          </cell>
          <cell r="D5" t="str">
            <v>GPF CRESCITA</v>
          </cell>
          <cell r="E5">
            <v>0.06</v>
          </cell>
          <cell r="F5" t="str">
            <v>TE</v>
          </cell>
        </row>
        <row r="6">
          <cell r="A6" t="str">
            <v>DINAR1TF</v>
          </cell>
          <cell r="B6" t="str">
            <v>From Risk - Models Master - Sheet 2</v>
          </cell>
          <cell r="C6" t="str">
            <v>Yes</v>
          </cell>
          <cell r="D6" t="str">
            <v>Uniflex Active 1</v>
          </cell>
          <cell r="E6">
            <v>2.5000000000000001E-2</v>
          </cell>
          <cell r="F6" t="str">
            <v>TE</v>
          </cell>
        </row>
        <row r="7">
          <cell r="A7" t="str">
            <v>DINAR2TF</v>
          </cell>
          <cell r="B7" t="str">
            <v>From Risk - Models Master - Sheet 2</v>
          </cell>
          <cell r="C7" t="str">
            <v>Yes</v>
          </cell>
          <cell r="D7" t="str">
            <v>Uniflex Active 2</v>
          </cell>
          <cell r="E7">
            <v>3.5999999999999997E-2</v>
          </cell>
          <cell r="F7" t="str">
            <v>TE</v>
          </cell>
        </row>
        <row r="8">
          <cell r="A8" t="str">
            <v>DINAR3TF</v>
          </cell>
          <cell r="B8" t="str">
            <v>From Risk - Models Master - Sheet 2</v>
          </cell>
          <cell r="C8" t="str">
            <v>Yes</v>
          </cell>
          <cell r="D8" t="str">
            <v>Uniflex Active 3</v>
          </cell>
          <cell r="E8">
            <v>4.2999999999999997E-2</v>
          </cell>
          <cell r="F8" t="str">
            <v>TE</v>
          </cell>
        </row>
        <row r="9">
          <cell r="A9" t="str">
            <v>LINPRO</v>
          </cell>
          <cell r="B9" t="str">
            <v>From Risk - Models Master - Sheet 2</v>
          </cell>
          <cell r="C9" t="str">
            <v>Yes</v>
          </cell>
          <cell r="D9" t="str">
            <v>Linea Protetta</v>
          </cell>
          <cell r="E9">
            <v>0.04</v>
          </cell>
          <cell r="F9" t="str">
            <v>VAR</v>
          </cell>
        </row>
        <row r="10">
          <cell r="A10" t="str">
            <v>MAA</v>
          </cell>
          <cell r="B10" t="str">
            <v>From Risk - Models Master - Sheet 2</v>
          </cell>
          <cell r="C10" t="str">
            <v>Yes</v>
          </cell>
          <cell r="D10" t="str">
            <v>Novembre</v>
          </cell>
          <cell r="E10">
            <v>8.0000000000000002E-3</v>
          </cell>
          <cell r="F10" t="str">
            <v>VAR</v>
          </cell>
        </row>
        <row r="11">
          <cell r="A11" t="str">
            <v>MAB</v>
          </cell>
          <cell r="B11" t="str">
            <v>From Risk - Models Master - Sheet 2</v>
          </cell>
          <cell r="C11" t="str">
            <v>Yes</v>
          </cell>
          <cell r="D11" t="str">
            <v>Dicembre</v>
          </cell>
          <cell r="E11">
            <v>8.0000000000000002E-3</v>
          </cell>
          <cell r="F11" t="str">
            <v>VAR</v>
          </cell>
        </row>
        <row r="12">
          <cell r="A12" t="str">
            <v>MAC</v>
          </cell>
          <cell r="B12" t="str">
            <v>From Risk - Models Master - Sheet 2</v>
          </cell>
          <cell r="C12" t="str">
            <v>Yes</v>
          </cell>
          <cell r="D12" t="str">
            <v>Gennaio</v>
          </cell>
          <cell r="E12">
            <v>8.0000000000000002E-3</v>
          </cell>
          <cell r="F12" t="str">
            <v>VAR</v>
          </cell>
        </row>
        <row r="13">
          <cell r="A13" t="str">
            <v>MAD</v>
          </cell>
          <cell r="B13" t="str">
            <v>From Risk - Models Master - Sheet 2</v>
          </cell>
          <cell r="C13" t="str">
            <v>Yes</v>
          </cell>
          <cell r="D13" t="str">
            <v>Febbraio</v>
          </cell>
          <cell r="E13">
            <v>8.0000000000000002E-3</v>
          </cell>
          <cell r="F13" t="str">
            <v>VAR</v>
          </cell>
        </row>
        <row r="14">
          <cell r="A14" t="str">
            <v>MAE</v>
          </cell>
          <cell r="B14" t="str">
            <v>From Risk - Models Master - Sheet 2</v>
          </cell>
          <cell r="C14" t="str">
            <v>Yes</v>
          </cell>
          <cell r="D14" t="str">
            <v>Marzo</v>
          </cell>
          <cell r="E14">
            <v>8.0000000000000002E-3</v>
          </cell>
          <cell r="F14" t="str">
            <v>VAR</v>
          </cell>
        </row>
        <row r="15">
          <cell r="A15" t="str">
            <v>MAF</v>
          </cell>
          <cell r="B15" t="str">
            <v>From Risk - Models Master - Sheet 2</v>
          </cell>
          <cell r="C15" t="str">
            <v>Yes</v>
          </cell>
          <cell r="D15" t="str">
            <v>Aprile</v>
          </cell>
          <cell r="E15">
            <v>8.0000000000000002E-3</v>
          </cell>
          <cell r="F15" t="str">
            <v>VAR</v>
          </cell>
        </row>
        <row r="16">
          <cell r="A16" t="str">
            <v>MAG</v>
          </cell>
          <cell r="B16" t="str">
            <v>From Risk - Models Master - Sheet 2</v>
          </cell>
          <cell r="C16" t="str">
            <v>Yes</v>
          </cell>
          <cell r="D16" t="str">
            <v>Maggio</v>
          </cell>
          <cell r="E16">
            <v>8.0000000000000002E-3</v>
          </cell>
          <cell r="F16" t="str">
            <v>VAR</v>
          </cell>
        </row>
        <row r="17">
          <cell r="A17" t="str">
            <v>MAH</v>
          </cell>
          <cell r="B17" t="str">
            <v>From Risk - Models Master - Sheet 2</v>
          </cell>
          <cell r="C17" t="str">
            <v>Yes</v>
          </cell>
          <cell r="D17" t="str">
            <v>Giugno</v>
          </cell>
          <cell r="E17">
            <v>8.0000000000000002E-3</v>
          </cell>
          <cell r="F17" t="str">
            <v>VAR</v>
          </cell>
        </row>
        <row r="18">
          <cell r="A18" t="str">
            <v>MAL</v>
          </cell>
          <cell r="B18" t="str">
            <v>From Risk - Models Master - Sheet 2</v>
          </cell>
          <cell r="C18" t="str">
            <v>Yes</v>
          </cell>
          <cell r="D18" t="str">
            <v>Agosto</v>
          </cell>
          <cell r="E18">
            <v>8.0000000000000002E-3</v>
          </cell>
          <cell r="F18" t="str">
            <v>VAR</v>
          </cell>
        </row>
        <row r="19">
          <cell r="A19" t="str">
            <v>MAM</v>
          </cell>
          <cell r="B19" t="str">
            <v>From Risk - Models Master - Sheet 2</v>
          </cell>
          <cell r="C19" t="str">
            <v>Yes</v>
          </cell>
          <cell r="D19" t="str">
            <v>Settembre</v>
          </cell>
          <cell r="E19">
            <v>8.0000000000000002E-3</v>
          </cell>
          <cell r="F19" t="str">
            <v>VAR</v>
          </cell>
        </row>
        <row r="20">
          <cell r="A20" t="str">
            <v>MAN</v>
          </cell>
          <cell r="B20" t="str">
            <v>From Risk - Models Master - Sheet 2</v>
          </cell>
          <cell r="C20" t="str">
            <v>Yes</v>
          </cell>
          <cell r="D20" t="str">
            <v>Ottobre</v>
          </cell>
          <cell r="E20">
            <v>8.0000000000000002E-3</v>
          </cell>
          <cell r="F20" t="str">
            <v>VAR</v>
          </cell>
        </row>
        <row r="21">
          <cell r="A21" t="str">
            <v>MATRUNIP</v>
          </cell>
          <cell r="B21" t="str">
            <v>From Risk - Models Master - Sheet 2</v>
          </cell>
          <cell r="C21" t="str">
            <v>Yes</v>
          </cell>
          <cell r="D21" t="str">
            <v>Unit Linked A TR UNIPLAN</v>
          </cell>
          <cell r="E21">
            <v>0.04</v>
          </cell>
          <cell r="F21" t="str">
            <v>VAR</v>
          </cell>
        </row>
        <row r="22">
          <cell r="A22" t="str">
            <v>MEP</v>
          </cell>
          <cell r="B22" t="str">
            <v>From Risk - Models Master - Sheet 2</v>
          </cell>
          <cell r="C22" t="e">
            <v>#N/A</v>
          </cell>
          <cell r="D22" t="str">
            <v>PIP_Equity</v>
          </cell>
          <cell r="E22">
            <v>0.06</v>
          </cell>
          <cell r="F22" t="str">
            <v>TE</v>
          </cell>
        </row>
        <row r="23">
          <cell r="A23" t="str">
            <v>MEPF10</v>
          </cell>
          <cell r="B23" t="str">
            <v>From Risk - Models Master - Sheet 2</v>
          </cell>
          <cell r="C23" t="str">
            <v>Yes</v>
          </cell>
          <cell r="D23" t="str">
            <v>Unit Linked G5 New</v>
          </cell>
          <cell r="E23">
            <v>5.3999999999999999E-2</v>
          </cell>
          <cell r="F23" t="str">
            <v>TE</v>
          </cell>
        </row>
        <row r="24">
          <cell r="A24" t="str">
            <v>MEPF2N</v>
          </cell>
          <cell r="B24" t="str">
            <v>From Risk - Models Master - Sheet 2</v>
          </cell>
          <cell r="C24" t="str">
            <v>Yes</v>
          </cell>
          <cell r="D24" t="str">
            <v>Unit Linked E2 New</v>
          </cell>
          <cell r="E24">
            <v>2.1999999999999999E-2</v>
          </cell>
          <cell r="F24" t="str">
            <v>TE</v>
          </cell>
        </row>
        <row r="25">
          <cell r="A25" t="str">
            <v>MEPF4</v>
          </cell>
          <cell r="B25" t="str">
            <v>From Risk - Models Master - Sheet 2</v>
          </cell>
          <cell r="C25" t="str">
            <v>Yes</v>
          </cell>
          <cell r="D25" t="str">
            <v>Unit Linked OLD 4</v>
          </cell>
          <cell r="E25">
            <v>2.5000000000000001E-2</v>
          </cell>
          <cell r="F25" t="str">
            <v>TE</v>
          </cell>
        </row>
        <row r="26">
          <cell r="A26" t="str">
            <v>MEPF5</v>
          </cell>
          <cell r="B26" t="str">
            <v>From Risk - Models Master - Sheet 2</v>
          </cell>
          <cell r="C26" t="str">
            <v>Yes</v>
          </cell>
          <cell r="D26" t="str">
            <v>Unit Linked E3 new</v>
          </cell>
          <cell r="E26">
            <v>3.1E-2</v>
          </cell>
          <cell r="F26" t="str">
            <v>TE</v>
          </cell>
        </row>
        <row r="27">
          <cell r="A27" t="str">
            <v>MEPF6</v>
          </cell>
          <cell r="B27" t="str">
            <v>From Risk - Models Master - Sheet 2</v>
          </cell>
          <cell r="C27" t="str">
            <v>Yes</v>
          </cell>
          <cell r="D27" t="str">
            <v>Unit Linked E4 new</v>
          </cell>
          <cell r="E27">
            <v>0.04</v>
          </cell>
          <cell r="F27" t="str">
            <v>TE</v>
          </cell>
        </row>
        <row r="28">
          <cell r="A28" t="str">
            <v>MEPF8</v>
          </cell>
          <cell r="B28" t="str">
            <v>From Risk - Models Master - Sheet 2</v>
          </cell>
          <cell r="C28" t="str">
            <v>Yes</v>
          </cell>
          <cell r="D28" t="str">
            <v>Unit Linked E6 New</v>
          </cell>
          <cell r="E28">
            <v>5.3999999999999999E-2</v>
          </cell>
          <cell r="F28" t="str">
            <v>TE</v>
          </cell>
        </row>
        <row r="29">
          <cell r="A29" t="str">
            <v>MGUPAMSF1</v>
          </cell>
          <cell r="B29" t="str">
            <v>From Risk - Models Master - Sheet 2</v>
          </cell>
          <cell r="C29" t="str">
            <v>Yes</v>
          </cell>
          <cell r="D29" t="str">
            <v>UBP GLOBAL SF 1</v>
          </cell>
          <cell r="E29">
            <v>3.1E-2</v>
          </cell>
          <cell r="F29" t="str">
            <v>TE</v>
          </cell>
        </row>
        <row r="30">
          <cell r="A30" t="str">
            <v>MGUPAMSF2</v>
          </cell>
          <cell r="B30" t="str">
            <v>From Risk - Models Master - Sheet 2</v>
          </cell>
          <cell r="C30" t="str">
            <v>Yes</v>
          </cell>
          <cell r="D30" t="str">
            <v>UBP GLOBAL SF 2</v>
          </cell>
          <cell r="E30">
            <v>3.5999999999999997E-2</v>
          </cell>
          <cell r="F30" t="str">
            <v>TE</v>
          </cell>
        </row>
        <row r="31">
          <cell r="A31" t="str">
            <v>MGUPAMSF3</v>
          </cell>
          <cell r="B31" t="str">
            <v>From Risk - Models Master - Sheet 2</v>
          </cell>
          <cell r="C31" t="str">
            <v>Yes</v>
          </cell>
          <cell r="D31" t="str">
            <v>UBP GLOBAL SF 3</v>
          </cell>
          <cell r="E31">
            <v>4.2000000000000003E-2</v>
          </cell>
          <cell r="F31" t="str">
            <v>TE</v>
          </cell>
        </row>
        <row r="32">
          <cell r="A32" t="str">
            <v>MGUPAMSF4</v>
          </cell>
          <cell r="B32" t="str">
            <v>From Risk - Models Master - Sheet 2</v>
          </cell>
          <cell r="C32" t="str">
            <v>Yes</v>
          </cell>
          <cell r="D32" t="str">
            <v>UBP GLOBAL SF 4</v>
          </cell>
          <cell r="E32">
            <v>4.5999999999999999E-2</v>
          </cell>
          <cell r="F32" t="str">
            <v>TE</v>
          </cell>
        </row>
        <row r="33">
          <cell r="A33" t="str">
            <v>MGUPAMSF5</v>
          </cell>
          <cell r="B33" t="str">
            <v>From Risk - Models Master - Sheet 2</v>
          </cell>
          <cell r="C33" t="str">
            <v>Yes</v>
          </cell>
          <cell r="D33" t="str">
            <v>UBP GLOBAL SF 5</v>
          </cell>
          <cell r="E33">
            <v>5.3999999999999999E-2</v>
          </cell>
          <cell r="F33" t="str">
            <v>TE</v>
          </cell>
        </row>
        <row r="34">
          <cell r="A34" t="str">
            <v>MLIFEBND</v>
          </cell>
          <cell r="B34" t="str">
            <v>From Risk - Models Master - Sheet 2</v>
          </cell>
          <cell r="C34" t="str">
            <v>Yes</v>
          </cell>
          <cell r="D34" t="str">
            <v>Life Program Bond</v>
          </cell>
          <cell r="E34">
            <v>0.02</v>
          </cell>
          <cell r="F34" t="str">
            <v>TE</v>
          </cell>
        </row>
        <row r="35">
          <cell r="A35" t="str">
            <v>MLINC</v>
          </cell>
          <cell r="B35" t="str">
            <v>From Risk - Models Master - Sheet 2</v>
          </cell>
          <cell r="C35" t="str">
            <v>Yes</v>
          </cell>
          <cell r="D35" t="str">
            <v>Unit Linked Life Income</v>
          </cell>
          <cell r="E35">
            <v>7.0000000000000007E-2</v>
          </cell>
          <cell r="F35" t="str">
            <v>VAR</v>
          </cell>
        </row>
        <row r="36">
          <cell r="A36" t="str">
            <v>MLPFLEX</v>
          </cell>
          <cell r="B36" t="str">
            <v>From Risk - Models Master - Sheet 2</v>
          </cell>
          <cell r="C36" t="str">
            <v>Yes</v>
          </cell>
          <cell r="D36" t="str">
            <v>PL Total Return</v>
          </cell>
          <cell r="E36">
            <v>0.04</v>
          </cell>
          <cell r="F36" t="str">
            <v>VAR</v>
          </cell>
        </row>
        <row r="37">
          <cell r="A37" t="str">
            <v>MULLI360</v>
          </cell>
          <cell r="B37" t="str">
            <v>From Risk - Models Master - Sheet 2</v>
          </cell>
          <cell r="C37" t="str">
            <v>Yes</v>
          </cell>
          <cell r="D37" t="str">
            <v>Unit Linked Life Income 360</v>
          </cell>
          <cell r="E37">
            <v>7.0000000000000007E-2</v>
          </cell>
          <cell r="F37" t="str">
            <v>VAR</v>
          </cell>
        </row>
        <row r="38">
          <cell r="A38" t="str">
            <v>MUNIP</v>
          </cell>
          <cell r="B38" t="str">
            <v>From Risk - Models Master - Sheet 2</v>
          </cell>
          <cell r="C38" t="str">
            <v>Yes</v>
          </cell>
          <cell r="D38" t="str">
            <v>Unit Linked AMix UNIPLAN</v>
          </cell>
          <cell r="E38">
            <v>3.5999999999999997E-2</v>
          </cell>
          <cell r="F38" t="str">
            <v>TE</v>
          </cell>
        </row>
        <row r="39">
          <cell r="A39" t="str">
            <v>MUSI</v>
          </cell>
          <cell r="B39" t="str">
            <v>From Risk - Models Master - Sheet 2</v>
          </cell>
          <cell r="C39" t="str">
            <v>Yes</v>
          </cell>
          <cell r="D39" t="str">
            <v>Univalore Stars Income</v>
          </cell>
          <cell r="E39">
            <v>0.06</v>
          </cell>
          <cell r="F39" t="str">
            <v>VAR</v>
          </cell>
        </row>
        <row r="40">
          <cell r="A40" t="str">
            <v>PP1-3Y</v>
          </cell>
          <cell r="B40" t="str">
            <v>From Risk - Models Master - Sheet 2</v>
          </cell>
          <cell r="C40" t="str">
            <v>Yes</v>
          </cell>
          <cell r="D40" t="str">
            <v>PL Euro Bond 1-3years</v>
          </cell>
          <cell r="E40">
            <v>0.02</v>
          </cell>
          <cell r="F40" t="str">
            <v>TE</v>
          </cell>
        </row>
        <row r="41">
          <cell r="A41" t="str">
            <v>PP3Y</v>
          </cell>
          <cell r="B41" t="str">
            <v>From Risk - Models Master - Sheet 2</v>
          </cell>
          <cell r="C41" t="str">
            <v>Yes</v>
          </cell>
          <cell r="D41" t="str">
            <v>PL Euro Bond over 3 years</v>
          </cell>
          <cell r="E41">
            <v>0.02</v>
          </cell>
          <cell r="F41" t="str">
            <v>TE</v>
          </cell>
        </row>
        <row r="42">
          <cell r="A42" t="str">
            <v>SFI-MONE</v>
          </cell>
          <cell r="B42" t="str">
            <v>From Risk - Models Master - Sheet 2</v>
          </cell>
          <cell r="C42" t="e">
            <v>#N/A</v>
          </cell>
          <cell r="D42" t="str">
            <v>SFI+ Linea Monetaria</v>
          </cell>
          <cell r="E42">
            <v>1.4999999999999999E-2</v>
          </cell>
          <cell r="F42" t="str">
            <v>TE</v>
          </cell>
        </row>
        <row r="43">
          <cell r="A43" t="str">
            <v>SFI-PRUD</v>
          </cell>
          <cell r="B43" t="str">
            <v>From Risk - Models Master - Sheet 2</v>
          </cell>
          <cell r="C43" t="e">
            <v>#N/A</v>
          </cell>
          <cell r="D43" t="str">
            <v>SFI+ Linea Prudente</v>
          </cell>
          <cell r="E43">
            <v>0.03</v>
          </cell>
          <cell r="F43" t="str">
            <v>TE</v>
          </cell>
        </row>
        <row r="44">
          <cell r="A44" t="str">
            <v>SFI-PRUD-</v>
          </cell>
          <cell r="B44" t="str">
            <v>From Risk - Models Master - Sheet 2</v>
          </cell>
          <cell r="C44" t="e">
            <v>#N/A</v>
          </cell>
          <cell r="D44" t="str">
            <v>SFI+ Linea Prudente Piu</v>
          </cell>
          <cell r="E44">
            <v>3.4000000000000002E-2</v>
          </cell>
          <cell r="F44" t="str">
            <v>TE</v>
          </cell>
        </row>
        <row r="45">
          <cell r="A45" t="str">
            <v>SFI-TR</v>
          </cell>
          <cell r="B45" t="str">
            <v>From Risk - Models Master - Sheet 2</v>
          </cell>
          <cell r="C45" t="e">
            <v>#N/A</v>
          </cell>
          <cell r="D45" t="str">
            <v>SFI+ Linea Total Return</v>
          </cell>
          <cell r="E45">
            <v>0.04</v>
          </cell>
          <cell r="F45" t="str">
            <v>VAR</v>
          </cell>
        </row>
        <row r="46">
          <cell r="A46" t="str">
            <v>UES20</v>
          </cell>
          <cell r="B46" t="str">
            <v>From Risk - Models Master - Sheet 2</v>
          </cell>
          <cell r="C46" t="str">
            <v>Yes</v>
          </cell>
          <cell r="D46" t="str">
            <v>Univalore E Strategia 20</v>
          </cell>
          <cell r="E46">
            <v>3.5000000000000003E-2</v>
          </cell>
          <cell r="F46" t="str">
            <v>VAR</v>
          </cell>
        </row>
        <row r="47">
          <cell r="A47" t="str">
            <v>UES30</v>
          </cell>
          <cell r="B47" t="str">
            <v>From Risk - Models Master - Sheet 2</v>
          </cell>
          <cell r="C47" t="str">
            <v>Yes</v>
          </cell>
          <cell r="D47" t="str">
            <v>Univalore E Strategia 30</v>
          </cell>
          <cell r="E47">
            <v>4.4999999999999998E-2</v>
          </cell>
          <cell r="F47" t="str">
            <v>VAR</v>
          </cell>
        </row>
        <row r="48">
          <cell r="A48" t="str">
            <v>UES40</v>
          </cell>
          <cell r="B48" t="str">
            <v>From Risk - Models Master - Sheet 2</v>
          </cell>
          <cell r="C48" t="str">
            <v>Yes</v>
          </cell>
          <cell r="D48" t="str">
            <v>Univalore E Strategia 40</v>
          </cell>
          <cell r="E48">
            <v>7.0000000000000007E-2</v>
          </cell>
          <cell r="F48" t="str">
            <v>VAR</v>
          </cell>
        </row>
        <row r="49">
          <cell r="A49" t="str">
            <v>UES50</v>
          </cell>
          <cell r="B49" t="str">
            <v>From Risk - Models Master - Sheet 2</v>
          </cell>
          <cell r="C49" t="str">
            <v>Yes</v>
          </cell>
          <cell r="D49" t="str">
            <v>Univalore E Strategia 50</v>
          </cell>
          <cell r="E49">
            <v>0.08</v>
          </cell>
          <cell r="F49" t="str">
            <v>VAR</v>
          </cell>
        </row>
        <row r="50">
          <cell r="A50" t="str">
            <v>ULACCO</v>
          </cell>
          <cell r="B50" t="str">
            <v>From Risk - Models Master - Sheet 2</v>
          </cell>
          <cell r="C50" t="str">
            <v>Yes</v>
          </cell>
          <cell r="D50" t="str">
            <v>Unit Linked Multi Equity Accumulation</v>
          </cell>
          <cell r="E50">
            <v>7.0000000000000007E-2</v>
          </cell>
          <cell r="F50" t="str">
            <v>VAR</v>
          </cell>
        </row>
        <row r="51">
          <cell r="A51" t="str">
            <v>ULBIL</v>
          </cell>
          <cell r="B51" t="str">
            <v>From Risk - Models Master - Sheet 2</v>
          </cell>
          <cell r="C51" t="str">
            <v>Yes</v>
          </cell>
          <cell r="D51" t="str">
            <v>UL Bilanciata</v>
          </cell>
          <cell r="E51">
            <v>3.6999999999999998E-2</v>
          </cell>
          <cell r="F51" t="str">
            <v>TE</v>
          </cell>
        </row>
        <row r="52">
          <cell r="A52" t="str">
            <v>ULBILPIU</v>
          </cell>
          <cell r="B52" t="str">
            <v>From Risk - Models Master - Sheet 2</v>
          </cell>
          <cell r="C52" t="str">
            <v>Yes</v>
          </cell>
          <cell r="D52" t="str">
            <v>UL Bilanciata Piu</v>
          </cell>
          <cell r="E52">
            <v>0.04</v>
          </cell>
          <cell r="F52" t="str">
            <v>TE</v>
          </cell>
        </row>
        <row r="53">
          <cell r="A53" t="str">
            <v>ULDIN</v>
          </cell>
          <cell r="B53" t="str">
            <v>From Risk - Models Master - Sheet 2</v>
          </cell>
          <cell r="C53" t="str">
            <v>Yes</v>
          </cell>
          <cell r="D53" t="str">
            <v>UL Dinamica</v>
          </cell>
          <cell r="E53">
            <v>4.8000000000000001E-2</v>
          </cell>
          <cell r="F53" t="str">
            <v>TE</v>
          </cell>
        </row>
        <row r="54">
          <cell r="A54" t="str">
            <v>ULG4NEW</v>
          </cell>
          <cell r="B54" t="str">
            <v>From Risk - Models Master - Sheet 2</v>
          </cell>
          <cell r="C54" t="str">
            <v>Yes</v>
          </cell>
          <cell r="D54" t="str">
            <v>Unit Linked G4 new</v>
          </cell>
          <cell r="E54">
            <v>4.4999999999999998E-2</v>
          </cell>
          <cell r="F54" t="str">
            <v>TE</v>
          </cell>
        </row>
        <row r="55">
          <cell r="A55" t="str">
            <v>ULP</v>
          </cell>
          <cell r="B55" t="str">
            <v>From Risk - Models Master - Sheet 2</v>
          </cell>
          <cell r="C55" t="str">
            <v>Yes</v>
          </cell>
          <cell r="D55" t="str">
            <v>UL Prudente</v>
          </cell>
          <cell r="E55">
            <v>2.7E-2</v>
          </cell>
          <cell r="F55" t="str">
            <v>TE</v>
          </cell>
        </row>
        <row r="56">
          <cell r="A56" t="str">
            <v>ULPRUD</v>
          </cell>
          <cell r="B56" t="str">
            <v>From Risk - Models Master - Sheet 2</v>
          </cell>
          <cell r="C56" t="str">
            <v>Yes</v>
          </cell>
          <cell r="D56" t="str">
            <v>UL Prudente Piu</v>
          </cell>
          <cell r="E56">
            <v>3.2000000000000001E-2</v>
          </cell>
          <cell r="F56" t="str">
            <v>TE</v>
          </cell>
        </row>
        <row r="57">
          <cell r="A57" t="str">
            <v>ULC</v>
          </cell>
          <cell r="B57" t="str">
            <v>From Risk - Models Master - Sheet 2</v>
          </cell>
          <cell r="C57" t="str">
            <v>Yes</v>
          </cell>
          <cell r="D57" t="str">
            <v>Diamond 1 Unit Linked</v>
          </cell>
          <cell r="E57">
            <v>0.02</v>
          </cell>
          <cell r="F57" t="str">
            <v>TE</v>
          </cell>
        </row>
        <row r="58">
          <cell r="A58" t="str">
            <v>LINBIL</v>
          </cell>
          <cell r="B58" t="str">
            <v>From Risk - Models Master - Sheet 2</v>
          </cell>
          <cell r="C58" t="e">
            <v>#N/A</v>
          </cell>
          <cell r="D58" t="str">
            <v>Linea Bilanciata 86000003</v>
          </cell>
          <cell r="E58">
            <v>3.6999999999999998E-2</v>
          </cell>
          <cell r="F58" t="str">
            <v>TE</v>
          </cell>
        </row>
        <row r="59">
          <cell r="A59" t="str">
            <v>LINBILPIU</v>
          </cell>
          <cell r="B59" t="str">
            <v>From Risk - Models Master - Sheet 2</v>
          </cell>
          <cell r="C59" t="e">
            <v>#N/A</v>
          </cell>
          <cell r="D59" t="str">
            <v>Linea Bilanciata Piu 86000006</v>
          </cell>
          <cell r="E59">
            <v>0.04</v>
          </cell>
          <cell r="F59" t="str">
            <v>TE</v>
          </cell>
        </row>
        <row r="60">
          <cell r="A60" t="str">
            <v>LINCAUTA</v>
          </cell>
          <cell r="B60" t="str">
            <v>From Risk - Models Master - Sheet 2</v>
          </cell>
          <cell r="C60" t="e">
            <v>#N/A</v>
          </cell>
          <cell r="D60" t="str">
            <v>Linea Cauta 86000001</v>
          </cell>
          <cell r="E60">
            <v>0.02</v>
          </cell>
          <cell r="F60" t="str">
            <v>TE</v>
          </cell>
        </row>
        <row r="61">
          <cell r="A61" t="str">
            <v>LINDIN</v>
          </cell>
          <cell r="B61" t="str">
            <v>From Risk - Models Master - Sheet 2</v>
          </cell>
          <cell r="C61" t="e">
            <v>#N/A</v>
          </cell>
          <cell r="D61" t="str">
            <v>Linea Dinamica 86000004</v>
          </cell>
          <cell r="E61">
            <v>4.8000000000000001E-2</v>
          </cell>
          <cell r="F61" t="str">
            <v>TE</v>
          </cell>
        </row>
        <row r="62">
          <cell r="A62" t="str">
            <v>LINPRUD</v>
          </cell>
          <cell r="B62" t="str">
            <v>From Risk - Models Master - Sheet 2</v>
          </cell>
          <cell r="C62" t="e">
            <v>#N/A</v>
          </cell>
          <cell r="D62" t="str">
            <v>Linea Prudente 86000002</v>
          </cell>
          <cell r="E62">
            <v>2.7E-2</v>
          </cell>
          <cell r="F62" t="str">
            <v>TE</v>
          </cell>
        </row>
        <row r="63">
          <cell r="A63" t="str">
            <v>LINPRUPIU</v>
          </cell>
          <cell r="B63" t="str">
            <v>From Risk - Models Master - Sheet 2</v>
          </cell>
          <cell r="C63" t="e">
            <v>#N/A</v>
          </cell>
          <cell r="D63" t="str">
            <v>Linea Prudente Piu 86000005</v>
          </cell>
          <cell r="E63">
            <v>3.2000000000000001E-2</v>
          </cell>
          <cell r="F63" t="str">
            <v>TE</v>
          </cell>
        </row>
        <row r="64">
          <cell r="A64" t="str">
            <v>MEBM</v>
          </cell>
          <cell r="B64" t="str">
            <v>From Risk - Models Master - Sheet 2</v>
          </cell>
          <cell r="C64" t="e">
            <v>#N/A</v>
          </cell>
          <cell r="D64" t="str">
            <v>PIP_Bond</v>
          </cell>
          <cell r="E64">
            <v>0.02</v>
          </cell>
          <cell r="F64" t="str">
            <v>TE</v>
          </cell>
        </row>
        <row r="65">
          <cell r="A65" t="str">
            <v>PUPORTF20</v>
          </cell>
          <cell r="B65" t="str">
            <v>From Risk - Models Master - Sheet 2</v>
          </cell>
          <cell r="C65" t="e">
            <v>#N/A</v>
          </cell>
          <cell r="D65" t="str">
            <v>PU PORTFOLIO 20</v>
          </cell>
          <cell r="E65">
            <v>3.5000000000000003E-2</v>
          </cell>
          <cell r="F65" t="str">
            <v>VAR</v>
          </cell>
        </row>
        <row r="66">
          <cell r="A66" t="str">
            <v>PUPORTF30</v>
          </cell>
          <cell r="B66" t="str">
            <v>From Risk - Models Master - Sheet 2</v>
          </cell>
          <cell r="C66" t="e">
            <v>#N/A</v>
          </cell>
          <cell r="D66" t="str">
            <v>PU PORTFOLIO 30</v>
          </cell>
          <cell r="E66">
            <v>4.4999999999999998E-2</v>
          </cell>
          <cell r="F66" t="str">
            <v>VAR</v>
          </cell>
        </row>
        <row r="67">
          <cell r="A67" t="str">
            <v>PUPORTF40</v>
          </cell>
          <cell r="B67" t="str">
            <v>From Risk - Models Master - Sheet 2</v>
          </cell>
          <cell r="C67" t="e">
            <v>#N/A</v>
          </cell>
          <cell r="D67" t="str">
            <v>PU PORTFOLIO 40</v>
          </cell>
          <cell r="E67">
            <v>7.0000000000000007E-2</v>
          </cell>
          <cell r="F67" t="str">
            <v>VAR</v>
          </cell>
        </row>
        <row r="68">
          <cell r="A68" t="str">
            <v>PUPORTF50</v>
          </cell>
          <cell r="B68" t="str">
            <v>From Risk - Models Master - Sheet 2</v>
          </cell>
          <cell r="C68" t="e">
            <v>#N/A</v>
          </cell>
          <cell r="D68" t="str">
            <v>PU PORTFOLIO 50</v>
          </cell>
          <cell r="E68">
            <v>0.08</v>
          </cell>
          <cell r="F68" t="str">
            <v>VAR</v>
          </cell>
        </row>
        <row r="69">
          <cell r="A69" t="str">
            <v>PUPORTF70</v>
          </cell>
          <cell r="B69" t="str">
            <v>From Risk - Models Master - Sheet 2</v>
          </cell>
          <cell r="C69" t="e">
            <v>#N/A</v>
          </cell>
          <cell r="D69" t="str">
            <v>PU PORTFOLIO 70</v>
          </cell>
          <cell r="E69">
            <v>0.13500000000000001</v>
          </cell>
          <cell r="F69" t="str">
            <v>VAR</v>
          </cell>
        </row>
        <row r="70">
          <cell r="A70" t="str">
            <v>UES70</v>
          </cell>
          <cell r="B70" t="str">
            <v>From Risk - Models Master - Sheet 2</v>
          </cell>
          <cell r="C70" t="str">
            <v>Yes</v>
          </cell>
          <cell r="D70" t="str">
            <v>Univalore E Strategia 70</v>
          </cell>
          <cell r="E70">
            <v>0.13500000000000001</v>
          </cell>
          <cell r="F70" t="str">
            <v>VAR</v>
          </cell>
          <cell r="G70" t="str">
            <v>UES70</v>
          </cell>
          <cell r="H70" t="str">
            <v>MUBM13</v>
          </cell>
        </row>
        <row r="71">
          <cell r="A71" t="str">
            <v>2RDIN</v>
          </cell>
          <cell r="B71" t="str">
            <v>From Risk - Models Master - Sheet 2</v>
          </cell>
          <cell r="C71" t="e">
            <v>#N/A</v>
          </cell>
          <cell r="D71" t="str">
            <v>Credit Ras 2R Dinamica - 66413</v>
          </cell>
          <cell r="E71">
            <v>0.06</v>
          </cell>
          <cell r="F71" t="str">
            <v>TE</v>
          </cell>
        </row>
        <row r="72">
          <cell r="A72" t="str">
            <v>2RSIC</v>
          </cell>
          <cell r="B72" t="str">
            <v>From Risk - Models Master - Sheet 2</v>
          </cell>
          <cell r="C72" t="e">
            <v>#N/A</v>
          </cell>
          <cell r="D72" t="str">
            <v>Credit Ras 2R Sicura - 66411</v>
          </cell>
          <cell r="E72">
            <v>1.7000000000000001E-2</v>
          </cell>
          <cell r="F72" t="str">
            <v>TE</v>
          </cell>
        </row>
        <row r="73">
          <cell r="A73" t="str">
            <v>2RTRAN</v>
          </cell>
          <cell r="B73" t="str">
            <v>From Risk - Models Master - Sheet 2</v>
          </cell>
          <cell r="C73" t="e">
            <v>#N/A</v>
          </cell>
          <cell r="D73" t="str">
            <v>Credit Ras 2R Tranquilla - 66412</v>
          </cell>
          <cell r="E73">
            <v>2.8000000000000001E-2</v>
          </cell>
          <cell r="F73" t="str">
            <v>TE</v>
          </cell>
        </row>
        <row r="74">
          <cell r="A74" t="str">
            <v>BBMEGEM</v>
          </cell>
          <cell r="B74" t="str">
            <v>From Risk - Models Master - Sheet 2</v>
          </cell>
          <cell r="C74" t="e">
            <v>#N/A</v>
          </cell>
          <cell r="D74" t="str">
            <v>SFI+ Emerging Market</v>
          </cell>
          <cell r="E74">
            <v>0.08</v>
          </cell>
          <cell r="F74" t="str">
            <v>TE</v>
          </cell>
        </row>
        <row r="75">
          <cell r="A75" t="str">
            <v>MAI</v>
          </cell>
          <cell r="B75" t="str">
            <v>From Risk - Models Master - Sheet 2</v>
          </cell>
          <cell r="C75" t="str">
            <v>Yes</v>
          </cell>
          <cell r="D75" t="str">
            <v>Luglio</v>
          </cell>
          <cell r="E75">
            <v>8.0000000000000002E-3</v>
          </cell>
          <cell r="F75" t="str">
            <v>VAR</v>
          </cell>
        </row>
        <row r="76">
          <cell r="A76" t="str">
            <v>MDIA2UL</v>
          </cell>
          <cell r="B76" t="str">
            <v>From Risk - Models Master - Sheet 2</v>
          </cell>
          <cell r="C76" t="e">
            <v>#N/A</v>
          </cell>
          <cell r="D76" t="str">
            <v>Diamond 2 Unit Linked</v>
          </cell>
          <cell r="E76">
            <v>3.4000000000000002E-2</v>
          </cell>
          <cell r="F76" t="str">
            <v>TE</v>
          </cell>
        </row>
        <row r="77">
          <cell r="A77" t="str">
            <v>MDIA3UL</v>
          </cell>
          <cell r="B77" t="str">
            <v>From Risk - Models Master - Sheet 2</v>
          </cell>
          <cell r="C77" t="e">
            <v>#N/A</v>
          </cell>
          <cell r="D77" t="str">
            <v>Diamond 3 Unit Linked</v>
          </cell>
          <cell r="E77">
            <v>0.06</v>
          </cell>
          <cell r="F77" t="str">
            <v>TE</v>
          </cell>
        </row>
        <row r="78">
          <cell r="A78" t="str">
            <v>MDIA4UL</v>
          </cell>
          <cell r="B78" t="str">
            <v>From Risk - Models Master - Sheet 2</v>
          </cell>
          <cell r="C78" t="e">
            <v>#N/A</v>
          </cell>
          <cell r="D78" t="str">
            <v>Diamond 4 Unit Linked</v>
          </cell>
          <cell r="E78">
            <v>0.06</v>
          </cell>
          <cell r="F78" t="str">
            <v>TE</v>
          </cell>
        </row>
        <row r="79">
          <cell r="A79" t="str">
            <v>MDINPIR</v>
          </cell>
          <cell r="B79" t="str">
            <v>From Risk - Models Master - Sheet 2</v>
          </cell>
          <cell r="C79" t="e">
            <v>#N/A</v>
          </cell>
          <cell r="D79" t="str">
            <v>Dinamico PIR</v>
          </cell>
          <cell r="E79">
            <v>4.8000000000000001E-2</v>
          </cell>
          <cell r="F79" t="str">
            <v>TE</v>
          </cell>
        </row>
        <row r="80">
          <cell r="A80" t="str">
            <v>MEUROC</v>
          </cell>
          <cell r="B80" t="str">
            <v>From Risk - Models Master - Sheet 2</v>
          </cell>
          <cell r="C80" t="e">
            <v>#N/A</v>
          </cell>
          <cell r="D80" t="str">
            <v>Univalore A Monetaria</v>
          </cell>
          <cell r="E80">
            <v>1.2500000000000001E-2</v>
          </cell>
          <cell r="F80" t="str">
            <v>TE</v>
          </cell>
        </row>
        <row r="81">
          <cell r="A81" t="str">
            <v>MPRBABIL</v>
          </cell>
          <cell r="B81" t="str">
            <v>From Risk - Models Master - Sheet 2</v>
          </cell>
          <cell r="C81" t="e">
            <v>#N/A</v>
          </cell>
          <cell r="D81" t="str">
            <v>PREMIERE BASE BILANCIATA</v>
          </cell>
          <cell r="E81">
            <v>7.4999999999999997E-2</v>
          </cell>
          <cell r="F81" t="str">
            <v>VAR</v>
          </cell>
        </row>
        <row r="82">
          <cell r="A82" t="str">
            <v>MPRBADIN</v>
          </cell>
          <cell r="B82" t="str">
            <v>From Risk - Models Master - Sheet 2</v>
          </cell>
          <cell r="C82" t="e">
            <v>#N/A</v>
          </cell>
          <cell r="D82" t="str">
            <v>PREMIERE BASE DINAMICA</v>
          </cell>
          <cell r="E82">
            <v>0.115</v>
          </cell>
          <cell r="F82" t="str">
            <v>VAR</v>
          </cell>
        </row>
        <row r="83">
          <cell r="A83" t="str">
            <v>MPRBAPRU</v>
          </cell>
          <cell r="B83" t="str">
            <v>From Risk - Models Master - Sheet 2</v>
          </cell>
          <cell r="C83" t="e">
            <v>#N/A</v>
          </cell>
          <cell r="D83" t="str">
            <v>PREMIERE BASE PRUDENTE</v>
          </cell>
          <cell r="E83">
            <v>0.04</v>
          </cell>
          <cell r="F83" t="str">
            <v>VAR</v>
          </cell>
        </row>
        <row r="84">
          <cell r="A84" t="str">
            <v>MPRMGDIN</v>
          </cell>
          <cell r="B84" t="str">
            <v>From Risk - Models Master - Sheet 2</v>
          </cell>
          <cell r="C84" t="e">
            <v>#N/A</v>
          </cell>
          <cell r="D84" t="str">
            <v>PREMIERE TEMA MEGATREND DINAM</v>
          </cell>
          <cell r="E84">
            <v>0.115</v>
          </cell>
          <cell r="F84" t="str">
            <v>VAR</v>
          </cell>
        </row>
        <row r="85">
          <cell r="A85" t="str">
            <v>MPRRABIL</v>
          </cell>
          <cell r="B85" t="str">
            <v>From Risk - Models Master - Sheet 2</v>
          </cell>
          <cell r="C85" t="e">
            <v>#N/A</v>
          </cell>
          <cell r="D85" t="str">
            <v>PREMIERE TEMA REAL ASSET BIL</v>
          </cell>
          <cell r="E85">
            <v>7.4999999999999997E-2</v>
          </cell>
          <cell r="F85" t="str">
            <v>VAR</v>
          </cell>
        </row>
        <row r="86">
          <cell r="A86" t="str">
            <v>MPRTEBIL</v>
          </cell>
          <cell r="B86" t="str">
            <v>From Risk - Models Master - Sheet 2</v>
          </cell>
          <cell r="C86" t="e">
            <v>#N/A</v>
          </cell>
          <cell r="D86" t="str">
            <v>PREMIERE TEMA SOST BILANCIATA</v>
          </cell>
          <cell r="E86">
            <v>7.4999999999999997E-2</v>
          </cell>
          <cell r="F86" t="str">
            <v>VAR</v>
          </cell>
        </row>
        <row r="87">
          <cell r="A87" t="str">
            <v>MPRTEDIN</v>
          </cell>
          <cell r="B87" t="str">
            <v>From Risk - Models Master - Sheet 2</v>
          </cell>
          <cell r="C87" t="e">
            <v>#N/A</v>
          </cell>
          <cell r="D87" t="str">
            <v>PREMIERE TEMA SOST DINAMICA</v>
          </cell>
          <cell r="E87">
            <v>0.115</v>
          </cell>
          <cell r="F87" t="str">
            <v>VAR</v>
          </cell>
        </row>
        <row r="88">
          <cell r="A88" t="str">
            <v>MPRTEPRU</v>
          </cell>
          <cell r="B88" t="str">
            <v>From Risk - Models Master - Sheet 2</v>
          </cell>
          <cell r="C88" t="e">
            <v>#N/A</v>
          </cell>
          <cell r="D88" t="str">
            <v>PREMIERE  TEMA SOST PRUDENTE</v>
          </cell>
          <cell r="E88">
            <v>0.04</v>
          </cell>
          <cell r="F88" t="str">
            <v>VAR</v>
          </cell>
        </row>
        <row r="89">
          <cell r="A89" t="str">
            <v>MPRUPIR</v>
          </cell>
          <cell r="B89" t="str">
            <v>From Risk - Models Master - Sheet 2</v>
          </cell>
          <cell r="C89" t="e">
            <v>#N/A</v>
          </cell>
          <cell r="D89" t="str">
            <v>Prudente PIR</v>
          </cell>
          <cell r="E89">
            <v>3.5000000000000003E-2</v>
          </cell>
          <cell r="F89" t="str">
            <v>TE</v>
          </cell>
        </row>
        <row r="90">
          <cell r="A90" t="str">
            <v>MUSE</v>
          </cell>
          <cell r="B90" t="str">
            <v>From Risk - Models Master - Sheet 2</v>
          </cell>
          <cell r="C90" t="e">
            <v>#N/A</v>
          </cell>
          <cell r="D90" t="str">
            <v>Univalore Stars Euro</v>
          </cell>
          <cell r="E90">
            <v>0.02</v>
          </cell>
          <cell r="F90" t="str">
            <v>TE</v>
          </cell>
        </row>
        <row r="91">
          <cell r="A91" t="str">
            <v>MUSEST</v>
          </cell>
          <cell r="B91" t="str">
            <v>From Risk - Models Master - Sheet 2</v>
          </cell>
          <cell r="C91" t="e">
            <v>#N/A</v>
          </cell>
          <cell r="D91" t="str">
            <v>Univalore Stars Euro Short Term</v>
          </cell>
          <cell r="E91">
            <v>0.02</v>
          </cell>
          <cell r="F91" t="str">
            <v>TE</v>
          </cell>
        </row>
        <row r="92">
          <cell r="A92" t="str">
            <v>MUSG</v>
          </cell>
          <cell r="B92" t="str">
            <v>From Risk - Models Master - Sheet 2</v>
          </cell>
          <cell r="C92" t="str">
            <v>Yes</v>
          </cell>
          <cell r="D92" t="str">
            <v>Univalore Stars Growth</v>
          </cell>
          <cell r="E92">
            <v>0.06</v>
          </cell>
          <cell r="F92" t="str">
            <v>TE</v>
          </cell>
          <cell r="G92" t="str">
            <v xml:space="preserve">Include only half of the AUM figure as we only manage 50% of the assets. </v>
          </cell>
        </row>
        <row r="93">
          <cell r="A93" t="str">
            <v>PLAP</v>
          </cell>
          <cell r="B93" t="str">
            <v>From Risk - Models Master - Sheet 2</v>
          </cell>
          <cell r="C93" t="e">
            <v>#N/A</v>
          </cell>
          <cell r="D93" t="str">
            <v>PL Azionaria Pacifico</v>
          </cell>
          <cell r="E93">
            <v>0.08</v>
          </cell>
          <cell r="F93" t="str">
            <v>TE</v>
          </cell>
        </row>
        <row r="94">
          <cell r="A94" t="str">
            <v>PLEBE</v>
          </cell>
          <cell r="B94" t="str">
            <v>From Risk - Models Master - Sheet 2</v>
          </cell>
          <cell r="C94" t="e">
            <v>#N/A</v>
          </cell>
          <cell r="D94" t="str">
            <v>PL Euro Bond Enhanced</v>
          </cell>
          <cell r="E94">
            <v>0.04</v>
          </cell>
          <cell r="F94" t="str">
            <v>TE</v>
          </cell>
        </row>
        <row r="95">
          <cell r="A95" t="str">
            <v>PLUSB</v>
          </cell>
          <cell r="B95" t="str">
            <v>From Risk - Models Master - Sheet 2</v>
          </cell>
          <cell r="C95" t="e">
            <v>#N/A</v>
          </cell>
          <cell r="D95" t="str">
            <v>PL Bond US</v>
          </cell>
          <cell r="E95">
            <v>0.04</v>
          </cell>
          <cell r="F95" t="str">
            <v>TE</v>
          </cell>
        </row>
        <row r="96">
          <cell r="A96" t="str">
            <v>PLUSB</v>
          </cell>
          <cell r="B96" t="str">
            <v>From Risk - Models Master - Sheet 2</v>
          </cell>
          <cell r="C96" t="e">
            <v>#N/A</v>
          </cell>
          <cell r="D96" t="str">
            <v>Univalore Stars Obbligazionario US</v>
          </cell>
          <cell r="E96">
            <v>0.03</v>
          </cell>
          <cell r="F96" t="str">
            <v>TE</v>
          </cell>
        </row>
        <row r="97">
          <cell r="A97" t="str">
            <v>UDM1</v>
          </cell>
          <cell r="B97" t="str">
            <v>From Risk - Models Master - Sheet 2</v>
          </cell>
          <cell r="C97" t="e">
            <v>#N/A</v>
          </cell>
          <cell r="D97" t="str">
            <v>UDM1 Liquidity</v>
          </cell>
          <cell r="E97">
            <v>1.2500000000000001E-2</v>
          </cell>
          <cell r="F97" t="str">
            <v>TE</v>
          </cell>
        </row>
        <row r="98">
          <cell r="A98" t="str">
            <v>UDM10</v>
          </cell>
          <cell r="B98" t="str">
            <v>From Risk - Models Master - Sheet 2</v>
          </cell>
          <cell r="C98" t="e">
            <v>#N/A</v>
          </cell>
          <cell r="D98" t="str">
            <v>UDM10 European Small Cap</v>
          </cell>
          <cell r="E98">
            <v>0.08</v>
          </cell>
          <cell r="F98" t="str">
            <v>TE</v>
          </cell>
        </row>
        <row r="99">
          <cell r="A99" t="str">
            <v>UDM2</v>
          </cell>
          <cell r="B99" t="str">
            <v>From Risk - Models Master - Sheet 2</v>
          </cell>
          <cell r="C99" t="e">
            <v>#N/A</v>
          </cell>
          <cell r="D99" t="str">
            <v>UDM2 Euro Bonds</v>
          </cell>
          <cell r="E99">
            <v>0.02</v>
          </cell>
          <cell r="F99" t="str">
            <v>TE</v>
          </cell>
        </row>
        <row r="100">
          <cell r="A100" t="str">
            <v>UDM3</v>
          </cell>
          <cell r="B100" t="str">
            <v>From Risk - Models Master - Sheet 2</v>
          </cell>
          <cell r="C100" t="e">
            <v>#N/A</v>
          </cell>
          <cell r="D100" t="str">
            <v>UDM3 Global Bonds</v>
          </cell>
          <cell r="E100">
            <v>0.04</v>
          </cell>
          <cell r="F100" t="str">
            <v>TE</v>
          </cell>
        </row>
        <row r="101">
          <cell r="A101" t="str">
            <v>UDM5</v>
          </cell>
          <cell r="B101" t="str">
            <v>From Risk - Models Master - Sheet 2</v>
          </cell>
          <cell r="C101" t="e">
            <v>#N/A</v>
          </cell>
          <cell r="D101" t="str">
            <v>UDM5 Europe Equity</v>
          </cell>
          <cell r="E101">
            <v>0.06</v>
          </cell>
          <cell r="F101" t="str">
            <v>TE</v>
          </cell>
        </row>
        <row r="102">
          <cell r="A102" t="str">
            <v>UDM6</v>
          </cell>
          <cell r="B102" t="str">
            <v>From Risk - Models Master - Sheet 2</v>
          </cell>
          <cell r="C102" t="e">
            <v>#N/A</v>
          </cell>
          <cell r="D102" t="str">
            <v>UDM6 N. America</v>
          </cell>
          <cell r="E102">
            <v>0.06</v>
          </cell>
          <cell r="F102" t="str">
            <v>TE</v>
          </cell>
        </row>
        <row r="103">
          <cell r="A103" t="str">
            <v>UDM7</v>
          </cell>
          <cell r="B103" t="str">
            <v>From Risk - Models Master - Sheet 2</v>
          </cell>
          <cell r="C103" t="e">
            <v>#N/A</v>
          </cell>
          <cell r="D103" t="str">
            <v>Diamond 5 Unit Linked</v>
          </cell>
          <cell r="E103">
            <v>0.08</v>
          </cell>
          <cell r="F103" t="str">
            <v>TE</v>
          </cell>
        </row>
        <row r="104">
          <cell r="A104" t="str">
            <v>UDM9</v>
          </cell>
          <cell r="B104" t="str">
            <v>From Risk - Models Master - Sheet 2</v>
          </cell>
          <cell r="C104" t="e">
            <v>#N/A</v>
          </cell>
          <cell r="D104" t="str">
            <v>UL Opportunita Azionario</v>
          </cell>
          <cell r="E104">
            <v>0.06</v>
          </cell>
          <cell r="F104" t="str">
            <v>TE</v>
          </cell>
        </row>
        <row r="105">
          <cell r="A105" t="str">
            <v>UEAAL</v>
          </cell>
          <cell r="B105" t="str">
            <v>From Risk - Models Master - Sheet 2</v>
          </cell>
          <cell r="C105" t="e">
            <v>#N/A</v>
          </cell>
          <cell r="D105" t="str">
            <v>Univalore E Azionario America Latina</v>
          </cell>
          <cell r="E105">
            <v>0.08</v>
          </cell>
          <cell r="F105" t="str">
            <v>TE</v>
          </cell>
        </row>
        <row r="106">
          <cell r="A106" t="str">
            <v>UEAC</v>
          </cell>
          <cell r="B106" t="str">
            <v>From Risk - Models Master - Sheet 2</v>
          </cell>
          <cell r="C106" t="e">
            <v>#N/A</v>
          </cell>
          <cell r="D106" t="str">
            <v>Univalore E Azionario Cina</v>
          </cell>
          <cell r="E106">
            <v>0.08</v>
          </cell>
          <cell r="F106" t="str">
            <v>TE</v>
          </cell>
        </row>
        <row r="107">
          <cell r="A107" t="str">
            <v>UEAIN</v>
          </cell>
          <cell r="B107" t="str">
            <v>From Risk - Models Master - Sheet 2</v>
          </cell>
          <cell r="C107" t="e">
            <v>#N/A</v>
          </cell>
          <cell r="D107" t="str">
            <v>Univalore E Azionario India</v>
          </cell>
          <cell r="E107">
            <v>0.08</v>
          </cell>
          <cell r="F107" t="str">
            <v>TE</v>
          </cell>
        </row>
        <row r="108">
          <cell r="A108" t="str">
            <v>UEEEM</v>
          </cell>
          <cell r="B108" t="str">
            <v>From Risk - Models Master - Sheet 2</v>
          </cell>
          <cell r="C108" t="e">
            <v>#N/A</v>
          </cell>
          <cell r="D108" t="str">
            <v>Univalore E Azionario Emerg Eu E Meditteraneo</v>
          </cell>
          <cell r="E108">
            <v>0.08</v>
          </cell>
          <cell r="F108" t="str">
            <v>TE</v>
          </cell>
        </row>
        <row r="109">
          <cell r="A109" t="str">
            <v>UES60</v>
          </cell>
          <cell r="B109" t="str">
            <v>From Risk - Models Master - Sheet 2</v>
          </cell>
          <cell r="C109" t="e">
            <v>#N/A</v>
          </cell>
          <cell r="D109" t="str">
            <v xml:space="preserve">Univalore Stars Balanced </v>
          </cell>
          <cell r="E109">
            <v>0.09</v>
          </cell>
          <cell r="F109" t="str">
            <v>VAR</v>
          </cell>
          <cell r="G109" t="str">
            <v>UES50</v>
          </cell>
        </row>
        <row r="110">
          <cell r="A110" t="str">
            <v>ULECSTARS</v>
          </cell>
          <cell r="B110" t="str">
            <v>From Risk - Models Master - Sheet 2</v>
          </cell>
          <cell r="C110" t="e">
            <v>#N/A</v>
          </cell>
          <cell r="D110" t="str">
            <v>UL Global Equity Dividend &amp; Subordinated Credit</v>
          </cell>
          <cell r="E110">
            <v>0.13500000000000001</v>
          </cell>
          <cell r="F110" t="str">
            <v>VAR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+</v>
          </cell>
          <cell r="B1"/>
          <cell r="C1" t="str">
            <v>AUM</v>
          </cell>
          <cell r="D1" t="str">
            <v>In Master List?</v>
          </cell>
        </row>
        <row r="2">
          <cell r="A2"/>
          <cell r="B2"/>
          <cell r="C2"/>
        </row>
        <row r="3">
          <cell r="A3" t="str">
            <v>MUSG</v>
          </cell>
          <cell r="B3" t="str">
            <v>AUM from Alto end of Sep 19 - Sheet 1</v>
          </cell>
          <cell r="C3">
            <v>2400855963</v>
          </cell>
          <cell r="D3" t="str">
            <v>Yes</v>
          </cell>
        </row>
        <row r="4">
          <cell r="A4" t="str">
            <v>UES50</v>
          </cell>
          <cell r="B4" t="str">
            <v>AUM from Alto end of Sep 19 - Sheet 2</v>
          </cell>
          <cell r="C4">
            <v>1825704243</v>
          </cell>
          <cell r="D4" t="str">
            <v>Yes</v>
          </cell>
        </row>
        <row r="5">
          <cell r="A5" t="str">
            <v>MUSI</v>
          </cell>
          <cell r="B5" t="str">
            <v>AUM from Alto end of Sep 19 - Sheet 3</v>
          </cell>
          <cell r="C5">
            <v>1703203594</v>
          </cell>
          <cell r="D5" t="str">
            <v>Yes</v>
          </cell>
        </row>
        <row r="6">
          <cell r="A6" t="str">
            <v>MULLI360</v>
          </cell>
          <cell r="B6" t="str">
            <v>AUM from Alto end of Sep 19 - Sheet 4</v>
          </cell>
          <cell r="C6">
            <v>1649363670</v>
          </cell>
          <cell r="D6" t="str">
            <v>Yes</v>
          </cell>
        </row>
        <row r="7">
          <cell r="A7" t="str">
            <v>CRVDYNPR80</v>
          </cell>
          <cell r="B7" t="str">
            <v>AUM from Alto end of Sep 19 - Sheet 5</v>
          </cell>
          <cell r="C7">
            <v>1511648038</v>
          </cell>
          <cell r="D7" t="str">
            <v>Yes</v>
          </cell>
        </row>
        <row r="8">
          <cell r="A8" t="str">
            <v>MLINC</v>
          </cell>
          <cell r="B8" t="str">
            <v>AUM from Alto end of Sep 19 - Sheet 6</v>
          </cell>
          <cell r="C8">
            <v>1117623468</v>
          </cell>
          <cell r="D8" t="str">
            <v>Yes</v>
          </cell>
        </row>
        <row r="9">
          <cell r="A9" t="str">
            <v>MULTHEM</v>
          </cell>
          <cell r="B9" t="str">
            <v>AUM from Alto end of Sep 19 - Sheet 7</v>
          </cell>
          <cell r="C9">
            <v>862762410</v>
          </cell>
          <cell r="D9" t="str">
            <v>Yes</v>
          </cell>
        </row>
        <row r="10">
          <cell r="A10" t="str">
            <v>UES70</v>
          </cell>
          <cell r="B10" t="str">
            <v>AUM from Alto end of Sep 19 - Sheet 8</v>
          </cell>
          <cell r="C10">
            <v>772892147</v>
          </cell>
          <cell r="D10" t="str">
            <v>Yes</v>
          </cell>
        </row>
        <row r="11">
          <cell r="A11" t="str">
            <v>U13</v>
          </cell>
          <cell r="B11" t="str">
            <v>AUM from Alto end of Sep 19 - Sheet 9</v>
          </cell>
          <cell r="C11">
            <v>753110833.27999997</v>
          </cell>
          <cell r="D11" t="str">
            <v>Yes</v>
          </cell>
        </row>
        <row r="12">
          <cell r="A12" t="str">
            <v>UES30</v>
          </cell>
          <cell r="B12" t="str">
            <v>AUM from Alto end of Sep 19 - Sheet 10</v>
          </cell>
          <cell r="C12">
            <v>618205631</v>
          </cell>
          <cell r="D12" t="str">
            <v>Yes</v>
          </cell>
        </row>
        <row r="13">
          <cell r="A13" t="str">
            <v>E209</v>
          </cell>
          <cell r="B13" t="str">
            <v>AUM from Alto end of Sep 19 - Sheet 11</v>
          </cell>
          <cell r="C13">
            <v>611275519.91999996</v>
          </cell>
          <cell r="D13" t="str">
            <v>Yes</v>
          </cell>
        </row>
        <row r="14">
          <cell r="A14" t="str">
            <v>CNPDYNPR80</v>
          </cell>
          <cell r="B14" t="str">
            <v>AUM from Alto end of Sep 19 - Sheet 12</v>
          </cell>
          <cell r="C14">
            <v>579073409</v>
          </cell>
          <cell r="D14" t="str">
            <v>Yes</v>
          </cell>
        </row>
        <row r="15">
          <cell r="A15" t="str">
            <v>PF71664</v>
          </cell>
          <cell r="B15" t="str">
            <v>AUM from Alto end of Sep 19 - Sheet 13</v>
          </cell>
          <cell r="C15">
            <v>492568757.26999998</v>
          </cell>
          <cell r="D15" t="str">
            <v>Yes</v>
          </cell>
        </row>
        <row r="16">
          <cell r="A16" t="str">
            <v>1PM</v>
          </cell>
          <cell r="B16" t="str">
            <v>AUM from Alto end of Sep 19 - Sheet 14</v>
          </cell>
          <cell r="C16">
            <v>365057746</v>
          </cell>
          <cell r="D16" t="str">
            <v>Yes</v>
          </cell>
        </row>
        <row r="17">
          <cell r="A17" t="str">
            <v>PF78195</v>
          </cell>
          <cell r="B17" t="str">
            <v>AUM from Alto end of Sep 19 - Sheet 15</v>
          </cell>
          <cell r="C17">
            <v>336291906.66000003</v>
          </cell>
          <cell r="D17" t="str">
            <v>Yes</v>
          </cell>
        </row>
        <row r="18">
          <cell r="A18" t="str">
            <v>E224</v>
          </cell>
          <cell r="B18" t="str">
            <v>AUM from Alto end of Sep 19 - Sheet 16</v>
          </cell>
          <cell r="C18">
            <v>331860075.80000001</v>
          </cell>
          <cell r="D18" t="str">
            <v>Yes</v>
          </cell>
        </row>
        <row r="19">
          <cell r="A19" t="str">
            <v>E193</v>
          </cell>
          <cell r="B19" t="str">
            <v>AUM from Alto end of Sep 19 - Sheet 17</v>
          </cell>
          <cell r="C19">
            <v>303304295.19</v>
          </cell>
          <cell r="D19" t="str">
            <v>Yes</v>
          </cell>
        </row>
        <row r="20">
          <cell r="A20" t="str">
            <v>PF76580</v>
          </cell>
          <cell r="B20" t="str">
            <v>AUM from Alto end of Sep 19 - Sheet 18</v>
          </cell>
          <cell r="C20">
            <v>290738323.06999999</v>
          </cell>
          <cell r="D20" t="str">
            <v>Yes</v>
          </cell>
        </row>
        <row r="21">
          <cell r="A21" t="str">
            <v>E120</v>
          </cell>
          <cell r="B21" t="str">
            <v>AUM from Alto end of Sep 19 - Sheet 19</v>
          </cell>
          <cell r="C21">
            <v>280191937.93000001</v>
          </cell>
          <cell r="D21" t="str">
            <v>Yes</v>
          </cell>
        </row>
        <row r="22">
          <cell r="A22" t="str">
            <v>PF79139</v>
          </cell>
          <cell r="B22" t="str">
            <v>AUM from Alto end of Sep 19 - Sheet 20</v>
          </cell>
          <cell r="C22">
            <v>228673489.05000001</v>
          </cell>
          <cell r="D22" t="str">
            <v>Yes</v>
          </cell>
        </row>
        <row r="23">
          <cell r="A23" t="str">
            <v>PP1-3Y</v>
          </cell>
          <cell r="B23" t="str">
            <v>AUM from Alto end of Sep 19 - Sheet 21</v>
          </cell>
          <cell r="C23">
            <v>214832897</v>
          </cell>
          <cell r="D23" t="str">
            <v>Yes</v>
          </cell>
        </row>
        <row r="24">
          <cell r="A24" t="str">
            <v>E208</v>
          </cell>
          <cell r="B24" t="str">
            <v>AUM from Alto end of Sep 19 - Sheet 22</v>
          </cell>
          <cell r="C24">
            <v>213838720.47999999</v>
          </cell>
          <cell r="D24" t="str">
            <v>Yes</v>
          </cell>
        </row>
        <row r="25">
          <cell r="A25" t="str">
            <v>PP3Y</v>
          </cell>
          <cell r="B25" t="str">
            <v>AUM from Alto end of Sep 19 - Sheet 23</v>
          </cell>
          <cell r="C25">
            <v>207935921</v>
          </cell>
          <cell r="D25" t="str">
            <v>Yes</v>
          </cell>
        </row>
        <row r="26">
          <cell r="A26" t="str">
            <v>MLIFEBND</v>
          </cell>
          <cell r="B26" t="str">
            <v>AUM from Alto end of Sep 19 - Sheet 24</v>
          </cell>
          <cell r="C26">
            <v>204744109</v>
          </cell>
          <cell r="D26" t="str">
            <v>Yes</v>
          </cell>
        </row>
        <row r="27">
          <cell r="A27" t="str">
            <v>E143</v>
          </cell>
          <cell r="B27" t="str">
            <v>AUM from Alto end of Sep 19 - Sheet 25</v>
          </cell>
          <cell r="C27">
            <v>204734959.59</v>
          </cell>
          <cell r="D27" t="str">
            <v>Yes</v>
          </cell>
        </row>
        <row r="28">
          <cell r="A28" t="str">
            <v>E142</v>
          </cell>
          <cell r="B28" t="str">
            <v>AUM from Alto end of Sep 19 - Sheet 26</v>
          </cell>
          <cell r="C28">
            <v>180160367.58999997</v>
          </cell>
          <cell r="D28" t="str">
            <v>Yes</v>
          </cell>
        </row>
        <row r="29">
          <cell r="A29" t="str">
            <v>UES20</v>
          </cell>
          <cell r="B29" t="str">
            <v>AUM from Alto end of Sep 19 - Sheet 27</v>
          </cell>
          <cell r="C29">
            <v>152820391</v>
          </cell>
          <cell r="D29" t="str">
            <v>Yes</v>
          </cell>
        </row>
        <row r="30">
          <cell r="A30" t="str">
            <v>MEPF8</v>
          </cell>
          <cell r="B30" t="str">
            <v>AUM from Alto end of Sep 19 - Sheet 28</v>
          </cell>
          <cell r="C30">
            <v>148631469</v>
          </cell>
          <cell r="D30" t="str">
            <v>Yes</v>
          </cell>
        </row>
        <row r="31">
          <cell r="A31" t="str">
            <v>UES40</v>
          </cell>
          <cell r="B31" t="str">
            <v>AUM from Alto end of Sep 19 - Sheet 29</v>
          </cell>
          <cell r="C31">
            <v>136083401</v>
          </cell>
          <cell r="D31" t="str">
            <v>Yes</v>
          </cell>
        </row>
        <row r="32">
          <cell r="A32" t="str">
            <v>AAPROT80</v>
          </cell>
          <cell r="B32" t="str">
            <v>AUM from Alto end of Sep 19 - Sheet 30</v>
          </cell>
          <cell r="C32">
            <v>119676701</v>
          </cell>
          <cell r="D32" t="str">
            <v>Yes</v>
          </cell>
        </row>
        <row r="33">
          <cell r="A33" t="str">
            <v>U2</v>
          </cell>
          <cell r="B33" t="str">
            <v>AUM from Alto end of Sep 19 - Sheet 31</v>
          </cell>
          <cell r="C33">
            <v>115938304.55000001</v>
          </cell>
          <cell r="D33" t="str">
            <v>Yes</v>
          </cell>
        </row>
        <row r="34">
          <cell r="A34" t="str">
            <v>MEPF5</v>
          </cell>
          <cell r="B34" t="str">
            <v>AUM from Alto end of Sep 19 - Sheet 32</v>
          </cell>
          <cell r="C34">
            <v>113220931</v>
          </cell>
          <cell r="D34" t="str">
            <v>Yes</v>
          </cell>
        </row>
        <row r="35">
          <cell r="A35" t="str">
            <v>E207</v>
          </cell>
          <cell r="B35" t="str">
            <v>AUM from Alto end of Sep 19 - Sheet 33</v>
          </cell>
          <cell r="C35">
            <v>103061286.8</v>
          </cell>
          <cell r="D35" t="str">
            <v>Yes</v>
          </cell>
        </row>
        <row r="36">
          <cell r="A36" t="str">
            <v>MLPFLEX</v>
          </cell>
          <cell r="B36" t="str">
            <v>AUM from Alto end of Sep 19 - Sheet 34</v>
          </cell>
          <cell r="C36">
            <v>102097327</v>
          </cell>
          <cell r="D36" t="str">
            <v>Yes</v>
          </cell>
        </row>
        <row r="37">
          <cell r="A37" t="str">
            <v>E119</v>
          </cell>
          <cell r="B37" t="str">
            <v>AUM from Alto end of Sep 19 - Sheet 35</v>
          </cell>
          <cell r="C37">
            <v>96751805.280000001</v>
          </cell>
          <cell r="D37" t="str">
            <v>Yes</v>
          </cell>
        </row>
        <row r="38">
          <cell r="A38" t="str">
            <v>MEPF6</v>
          </cell>
          <cell r="B38" t="str">
            <v>AUM from Alto end of Sep 19 - Sheet 36</v>
          </cell>
          <cell r="C38">
            <v>81926812</v>
          </cell>
          <cell r="D38" t="str">
            <v>Yes</v>
          </cell>
        </row>
        <row r="39">
          <cell r="A39" t="str">
            <v>1QM</v>
          </cell>
          <cell r="B39" t="str">
            <v>AUM from Alto end of Sep 19 - Sheet 37</v>
          </cell>
          <cell r="C39">
            <v>78803238</v>
          </cell>
          <cell r="D39" t="str">
            <v>Yes</v>
          </cell>
        </row>
        <row r="40">
          <cell r="A40" t="str">
            <v>U15</v>
          </cell>
          <cell r="B40" t="str">
            <v>AUM from Alto end of Sep 19 - Sheet 38</v>
          </cell>
          <cell r="C40">
            <v>72194946.140000001</v>
          </cell>
          <cell r="D40" t="str">
            <v>Yes</v>
          </cell>
        </row>
        <row r="41">
          <cell r="A41" t="str">
            <v>E144</v>
          </cell>
          <cell r="B41" t="str">
            <v>AUM from Alto end of Sep 19 - Sheet 39</v>
          </cell>
          <cell r="C41">
            <v>69579183.039999992</v>
          </cell>
          <cell r="D41" t="str">
            <v>Yes</v>
          </cell>
        </row>
        <row r="42">
          <cell r="A42" t="str">
            <v>PLIC</v>
          </cell>
          <cell r="B42" t="str">
            <v>AUM from Alto end of Sep 19 - Sheet 40</v>
          </cell>
          <cell r="C42">
            <v>67050530</v>
          </cell>
          <cell r="D42" t="str">
            <v>Yes</v>
          </cell>
        </row>
        <row r="43">
          <cell r="A43" t="str">
            <v>MATRUNIP</v>
          </cell>
          <cell r="B43" t="str">
            <v>AUM from Alto end of Sep 19 - Sheet 41</v>
          </cell>
          <cell r="C43">
            <v>61873487</v>
          </cell>
          <cell r="D43" t="str">
            <v>Yes</v>
          </cell>
        </row>
        <row r="44">
          <cell r="A44" t="str">
            <v>PU3</v>
          </cell>
          <cell r="B44" t="str">
            <v>AUM from Alto end of Sep 19 - Sheet 42</v>
          </cell>
          <cell r="C44">
            <v>53302816.240000002</v>
          </cell>
          <cell r="D44" t="str">
            <v>Yes</v>
          </cell>
        </row>
        <row r="45">
          <cell r="A45" t="str">
            <v>U1</v>
          </cell>
          <cell r="B45" t="str">
            <v>AUM from Alto end of Sep 19 - Sheet 43</v>
          </cell>
          <cell r="C45">
            <v>53289302.059999995</v>
          </cell>
          <cell r="D45" t="str">
            <v>Yes</v>
          </cell>
        </row>
        <row r="46">
          <cell r="A46" t="str">
            <v>ULC</v>
          </cell>
          <cell r="B46" t="str">
            <v>AUM from Alto end of Sep 19 - Sheet 44</v>
          </cell>
          <cell r="C46">
            <v>52177578</v>
          </cell>
          <cell r="D46" t="str">
            <v>Yes</v>
          </cell>
        </row>
        <row r="47">
          <cell r="A47" t="str">
            <v>1RM</v>
          </cell>
          <cell r="B47" t="str">
            <v>AUM from Alto end of Sep 19 - Sheet 45</v>
          </cell>
          <cell r="C47">
            <v>47145590</v>
          </cell>
          <cell r="D47" t="str">
            <v>Yes</v>
          </cell>
        </row>
        <row r="48">
          <cell r="A48" t="str">
            <v>ULACCO</v>
          </cell>
          <cell r="B48" t="str">
            <v>AUM from Alto end of Sep 19 - Sheet 46</v>
          </cell>
          <cell r="C48">
            <v>41064173</v>
          </cell>
          <cell r="D48" t="str">
            <v>Yes</v>
          </cell>
        </row>
        <row r="49">
          <cell r="A49" t="str">
            <v>U14</v>
          </cell>
          <cell r="B49" t="str">
            <v>AUM from Alto end of Sep 19 - Sheet 47</v>
          </cell>
          <cell r="C49">
            <v>40703008.519999996</v>
          </cell>
          <cell r="D49" t="str">
            <v>Yes</v>
          </cell>
        </row>
        <row r="50">
          <cell r="A50" t="str">
            <v>ULPRUD</v>
          </cell>
          <cell r="B50" t="str">
            <v>AUM from Alto end of Sep 19 - Sheet 48</v>
          </cell>
          <cell r="C50">
            <v>40595474</v>
          </cell>
          <cell r="D50" t="str">
            <v>Yes</v>
          </cell>
        </row>
        <row r="51">
          <cell r="A51" t="str">
            <v>ULDIN</v>
          </cell>
          <cell r="B51" t="str">
            <v>AUM from Alto end of Sep 19 - Sheet 49</v>
          </cell>
          <cell r="C51">
            <v>38387451</v>
          </cell>
          <cell r="D51" t="str">
            <v>Yes</v>
          </cell>
        </row>
        <row r="52">
          <cell r="A52" t="str">
            <v>ULBILPIU</v>
          </cell>
          <cell r="B52" t="str">
            <v>AUM from Alto end of Sep 19 - Sheet 50</v>
          </cell>
          <cell r="C52">
            <v>37840641</v>
          </cell>
          <cell r="D52" t="str">
            <v>Yes</v>
          </cell>
        </row>
        <row r="53">
          <cell r="A53" t="str">
            <v>ULP</v>
          </cell>
          <cell r="B53" t="str">
            <v>AUM from Alto end of Sep 19 - Sheet 51</v>
          </cell>
          <cell r="C53">
            <v>37659257</v>
          </cell>
          <cell r="D53" t="str">
            <v>Yes</v>
          </cell>
        </row>
        <row r="54">
          <cell r="A54" t="str">
            <v>R1M</v>
          </cell>
          <cell r="B54" t="str">
            <v>AUM from Alto end of Sep 19 - Sheet 52</v>
          </cell>
          <cell r="C54">
            <v>30169569</v>
          </cell>
          <cell r="D54" t="str">
            <v>Yes</v>
          </cell>
        </row>
        <row r="55">
          <cell r="A55" t="str">
            <v>E118</v>
          </cell>
          <cell r="B55" t="str">
            <v>AUM from Alto end of Sep 19 - Sheet 53</v>
          </cell>
          <cell r="C55">
            <v>29054500.720000003</v>
          </cell>
          <cell r="D55" t="str">
            <v>Yes</v>
          </cell>
        </row>
        <row r="56">
          <cell r="A56" t="str">
            <v>ULBIL</v>
          </cell>
          <cell r="B56" t="str">
            <v>AUM from Alto end of Sep 19 - Sheet 54</v>
          </cell>
          <cell r="C56">
            <v>28400980</v>
          </cell>
          <cell r="D56" t="str">
            <v>Yes</v>
          </cell>
        </row>
        <row r="57">
          <cell r="A57" t="str">
            <v>DINAR2TF</v>
          </cell>
          <cell r="B57" t="str">
            <v>AUM from Alto end of Sep 19 - Sheet 55</v>
          </cell>
          <cell r="C57">
            <v>23789759</v>
          </cell>
          <cell r="D57" t="str">
            <v>Yes</v>
          </cell>
        </row>
        <row r="58">
          <cell r="A58" t="str">
            <v>PUPORTF20</v>
          </cell>
          <cell r="B58" t="str">
            <v>AUM from Alto end of Sep 19 - Sheet 56</v>
          </cell>
          <cell r="C58">
            <v>18929851</v>
          </cell>
          <cell r="D58" t="e">
            <v>#N/A</v>
          </cell>
        </row>
        <row r="59">
          <cell r="A59" t="str">
            <v>LINBIL</v>
          </cell>
          <cell r="B59" t="str">
            <v>AUM from Alto end of Sep 19 - Sheet 57</v>
          </cell>
          <cell r="C59">
            <v>18844010</v>
          </cell>
          <cell r="D59" t="e">
            <v>#N/A</v>
          </cell>
        </row>
        <row r="60">
          <cell r="A60" t="str">
            <v>LINPRUD</v>
          </cell>
          <cell r="B60" t="str">
            <v>AUM from Alto end of Sep 19 - Sheet 58</v>
          </cell>
          <cell r="C60">
            <v>17925557</v>
          </cell>
          <cell r="D60" t="e">
            <v>#N/A</v>
          </cell>
        </row>
        <row r="61">
          <cell r="A61" t="str">
            <v>MEPF2N</v>
          </cell>
          <cell r="B61" t="str">
            <v>AUM from Alto end of Sep 19 - Sheet 59</v>
          </cell>
          <cell r="C61">
            <v>17625507</v>
          </cell>
          <cell r="D61" t="str">
            <v>Yes</v>
          </cell>
        </row>
        <row r="62">
          <cell r="A62" t="str">
            <v>PUPORTF50</v>
          </cell>
          <cell r="B62" t="str">
            <v>AUM from Alto end of Sep 19 - Sheet 60</v>
          </cell>
          <cell r="C62">
            <v>14724654</v>
          </cell>
          <cell r="D62" t="e">
            <v>#N/A</v>
          </cell>
        </row>
        <row r="63">
          <cell r="A63" t="str">
            <v>PUPORTF70</v>
          </cell>
          <cell r="B63" t="str">
            <v>AUM from Alto end of Sep 19 - Sheet 61</v>
          </cell>
          <cell r="C63">
            <v>14222430</v>
          </cell>
          <cell r="D63" t="e">
            <v>#N/A</v>
          </cell>
        </row>
        <row r="64">
          <cell r="A64" t="str">
            <v>LINPRUPIU</v>
          </cell>
          <cell r="B64" t="str">
            <v>AUM from Alto end of Sep 19 - Sheet 62</v>
          </cell>
          <cell r="C64">
            <v>12431493</v>
          </cell>
          <cell r="D64" t="e">
            <v>#N/A</v>
          </cell>
        </row>
        <row r="65">
          <cell r="A65" t="str">
            <v>E169</v>
          </cell>
          <cell r="B65" t="str">
            <v>AUM from Alto end of Sep 19 - Sheet 63</v>
          </cell>
          <cell r="C65">
            <v>11007976.199999999</v>
          </cell>
          <cell r="D65" t="str">
            <v>Yes</v>
          </cell>
        </row>
        <row r="66">
          <cell r="A66" t="str">
            <v>LINDIN</v>
          </cell>
          <cell r="B66" t="str">
            <v>AUM from Alto end of Sep 19 - Sheet 64</v>
          </cell>
          <cell r="C66">
            <v>10805829</v>
          </cell>
          <cell r="D66" t="e">
            <v>#N/A</v>
          </cell>
        </row>
        <row r="67">
          <cell r="A67" t="str">
            <v>PUPORTF40</v>
          </cell>
          <cell r="B67" t="str">
            <v>AUM from Alto end of Sep 19 - Sheet 65</v>
          </cell>
          <cell r="C67">
            <v>10191419</v>
          </cell>
          <cell r="D67" t="e">
            <v>#N/A</v>
          </cell>
        </row>
        <row r="68">
          <cell r="A68" t="str">
            <v>PUPORTF30</v>
          </cell>
          <cell r="B68" t="str">
            <v>AUM from Alto end of Sep 19 - Sheet 66</v>
          </cell>
          <cell r="C68">
            <v>9950230</v>
          </cell>
          <cell r="D68" t="e">
            <v>#N/A</v>
          </cell>
        </row>
        <row r="69">
          <cell r="A69" t="str">
            <v>MULSTEP</v>
          </cell>
          <cell r="B69" t="str">
            <v>AUM from Alto end of Sep 19 - Sheet 67</v>
          </cell>
          <cell r="C69">
            <v>9442570</v>
          </cell>
          <cell r="D69" t="str">
            <v>Yes</v>
          </cell>
        </row>
        <row r="70">
          <cell r="A70" t="str">
            <v>U17</v>
          </cell>
          <cell r="B70" t="str">
            <v>AUM from Alto end of Sep 19 - Sheet 68</v>
          </cell>
          <cell r="C70">
            <v>8278144.4800000004</v>
          </cell>
          <cell r="D70" t="str">
            <v>Yes</v>
          </cell>
        </row>
        <row r="71">
          <cell r="A71" t="str">
            <v>MAB</v>
          </cell>
          <cell r="B71" t="str">
            <v>AUM from Alto end of Sep 19 - Sheet 69</v>
          </cell>
          <cell r="C71">
            <v>6664440</v>
          </cell>
          <cell r="D71" t="str">
            <v>Yes</v>
          </cell>
        </row>
        <row r="72">
          <cell r="A72" t="str">
            <v>U6</v>
          </cell>
          <cell r="B72" t="str">
            <v>AUM from Alto end of Sep 19 - Sheet 70</v>
          </cell>
          <cell r="C72">
            <v>5875568.6200000001</v>
          </cell>
          <cell r="D72" t="str">
            <v>Yes</v>
          </cell>
        </row>
        <row r="73">
          <cell r="A73" t="str">
            <v>LINBILPIU</v>
          </cell>
          <cell r="B73" t="str">
            <v>AUM from Alto end of Sep 19 - Sheet 71</v>
          </cell>
          <cell r="C73">
            <v>5246820</v>
          </cell>
          <cell r="D73" t="e">
            <v>#N/A</v>
          </cell>
        </row>
        <row r="74">
          <cell r="A74" t="str">
            <v>LINPRO</v>
          </cell>
          <cell r="B74" t="str">
            <v>AUM from Alto end of Sep 19 - Sheet 72</v>
          </cell>
          <cell r="C74">
            <v>4698215</v>
          </cell>
          <cell r="D74" t="e">
            <v>#N/A</v>
          </cell>
        </row>
        <row r="75">
          <cell r="A75" t="str">
            <v>R2M</v>
          </cell>
          <cell r="B75" t="str">
            <v>AUM from Alto end of Sep 19 - Sheet 73</v>
          </cell>
          <cell r="C75">
            <v>4514294</v>
          </cell>
          <cell r="D75" t="str">
            <v>Yes</v>
          </cell>
        </row>
        <row r="76">
          <cell r="A76" t="str">
            <v>DINAR1TF</v>
          </cell>
          <cell r="B76" t="str">
            <v>AUM from Alto end of Sep 19 - Sheet 74</v>
          </cell>
          <cell r="C76">
            <v>4433409</v>
          </cell>
          <cell r="D76" t="str">
            <v>Yes</v>
          </cell>
        </row>
        <row r="77">
          <cell r="A77" t="str">
            <v>LINCAUTA</v>
          </cell>
          <cell r="B77" t="str">
            <v>AUM from Alto end of Sep 19 - Sheet 75</v>
          </cell>
          <cell r="C77">
            <v>4126458</v>
          </cell>
          <cell r="D77" t="e">
            <v>#N/A</v>
          </cell>
        </row>
        <row r="78">
          <cell r="A78" t="str">
            <v>MEPF4</v>
          </cell>
          <cell r="B78" t="str">
            <v>AUM from Alto end of Sep 19 - Sheet 76</v>
          </cell>
          <cell r="C78">
            <v>2317273</v>
          </cell>
          <cell r="D78" t="str">
            <v>Yes</v>
          </cell>
        </row>
        <row r="79">
          <cell r="A79" t="str">
            <v>SFI-MONE</v>
          </cell>
          <cell r="B79" t="str">
            <v>AUM from Alto end of Sep 19 - Sheet 77</v>
          </cell>
          <cell r="C79">
            <v>2109111</v>
          </cell>
          <cell r="D79" t="e">
            <v>#N/A</v>
          </cell>
        </row>
        <row r="80">
          <cell r="A80" t="str">
            <v>CCRESCITA</v>
          </cell>
          <cell r="B80" t="str">
            <v>AUM from Alto end of Sep 19 - Sheet 78</v>
          </cell>
          <cell r="C80">
            <v>2004082</v>
          </cell>
          <cell r="D80" t="str">
            <v>Yes</v>
          </cell>
        </row>
        <row r="81">
          <cell r="A81" t="str">
            <v>DINAR3TF</v>
          </cell>
          <cell r="B81" t="str">
            <v>AUM from Alto end of Sep 19 - Sheet 79</v>
          </cell>
          <cell r="C81">
            <v>1294713</v>
          </cell>
          <cell r="D81" t="str">
            <v>Yes</v>
          </cell>
        </row>
        <row r="82">
          <cell r="A82" t="str">
            <v>MAH</v>
          </cell>
          <cell r="B82" t="str">
            <v>AUM from Alto end of Sep 19 - Sheet 80</v>
          </cell>
          <cell r="C82">
            <v>668282</v>
          </cell>
          <cell r="D82" t="str">
            <v>Yes</v>
          </cell>
        </row>
        <row r="83">
          <cell r="A83" t="str">
            <v>MAD</v>
          </cell>
          <cell r="B83" t="str">
            <v>AUM from Alto end of Sep 19 - Sheet 81</v>
          </cell>
          <cell r="C83">
            <v>572066</v>
          </cell>
          <cell r="D83" t="str">
            <v>Yes</v>
          </cell>
        </row>
        <row r="84">
          <cell r="A84" t="str">
            <v>MEPF10</v>
          </cell>
          <cell r="B84" t="str">
            <v>AUM from Alto end of Sep 19 - Sheet 82</v>
          </cell>
          <cell r="C84">
            <v>476385</v>
          </cell>
          <cell r="D84" t="str">
            <v>Yes</v>
          </cell>
        </row>
        <row r="85">
          <cell r="A85" t="str">
            <v>MUNIP</v>
          </cell>
          <cell r="B85" t="str">
            <v>AUM from Alto end of Sep 19 - Sheet 83</v>
          </cell>
          <cell r="C85">
            <v>473846</v>
          </cell>
          <cell r="D85" t="str">
            <v>Yes</v>
          </cell>
        </row>
        <row r="86">
          <cell r="A86" t="str">
            <v>MAE</v>
          </cell>
          <cell r="B86" t="str">
            <v>AUM from Alto end of Sep 19 - Sheet 84</v>
          </cell>
          <cell r="C86">
            <v>424383</v>
          </cell>
          <cell r="D86" t="str">
            <v>Yes</v>
          </cell>
        </row>
        <row r="87">
          <cell r="A87" t="str">
            <v>MAA</v>
          </cell>
          <cell r="B87" t="str">
            <v>AUM from Alto end of Sep 19 - Sheet 85</v>
          </cell>
          <cell r="C87">
            <v>398343</v>
          </cell>
          <cell r="D87" t="str">
            <v>Yes</v>
          </cell>
        </row>
        <row r="88">
          <cell r="A88" t="str">
            <v>MAL</v>
          </cell>
          <cell r="B88" t="str">
            <v>AUM from Alto end of Sep 19 - Sheet 86</v>
          </cell>
          <cell r="C88">
            <v>306679</v>
          </cell>
          <cell r="D88" t="str">
            <v>Yes</v>
          </cell>
        </row>
        <row r="89">
          <cell r="A89" t="str">
            <v>CSVILUPPO</v>
          </cell>
          <cell r="B89" t="str">
            <v>AUM from Alto end of Sep 19 - Sheet 87</v>
          </cell>
          <cell r="C89">
            <v>289906</v>
          </cell>
          <cell r="D89" t="str">
            <v>Yes</v>
          </cell>
        </row>
        <row r="90">
          <cell r="A90" t="str">
            <v>MAF</v>
          </cell>
          <cell r="B90" t="str">
            <v>AUM from Alto end of Sep 19 - Sheet 88</v>
          </cell>
          <cell r="C90">
            <v>277264</v>
          </cell>
          <cell r="D90" t="str">
            <v>Yes</v>
          </cell>
        </row>
        <row r="91">
          <cell r="A91" t="str">
            <v>CREDDITO</v>
          </cell>
          <cell r="B91" t="str">
            <v>AUM from Alto end of Sep 19 - Sheet 89</v>
          </cell>
          <cell r="C91">
            <v>272728</v>
          </cell>
          <cell r="D91" t="str">
            <v>Yes</v>
          </cell>
        </row>
        <row r="92">
          <cell r="A92" t="str">
            <v>MAC</v>
          </cell>
          <cell r="B92" t="str">
            <v>AUM from Alto end of Sep 19 - Sheet 90</v>
          </cell>
          <cell r="C92">
            <v>265086</v>
          </cell>
          <cell r="D92" t="str">
            <v>Yes</v>
          </cell>
        </row>
        <row r="93">
          <cell r="A93" t="str">
            <v>MAG</v>
          </cell>
          <cell r="B93" t="str">
            <v>AUM from Alto end of Sep 19 - Sheet 91</v>
          </cell>
          <cell r="C93">
            <v>226044</v>
          </cell>
          <cell r="D93" t="str">
            <v>Yes</v>
          </cell>
        </row>
        <row r="94">
          <cell r="A94" t="str">
            <v>CMEDIUM</v>
          </cell>
          <cell r="B94" t="str">
            <v>AUM from Alto end of Sep 19 - Sheet 92</v>
          </cell>
          <cell r="C94">
            <v>205891</v>
          </cell>
          <cell r="D94" t="str">
            <v>Yes</v>
          </cell>
        </row>
        <row r="95">
          <cell r="A95" t="str">
            <v>ULG4NEW</v>
          </cell>
          <cell r="B95" t="str">
            <v>AUM from Alto end of Sep 19 - Sheet 93</v>
          </cell>
          <cell r="C95">
            <v>173709</v>
          </cell>
          <cell r="D95" t="str">
            <v>Yes</v>
          </cell>
        </row>
        <row r="96">
          <cell r="A96" t="str">
            <v>PMAI</v>
          </cell>
          <cell r="B96" t="str">
            <v>AUM from Alto end of Sep 19 - Sheet 94</v>
          </cell>
          <cell r="C96">
            <v>156210</v>
          </cell>
          <cell r="D96" t="str">
            <v>Yes</v>
          </cell>
        </row>
        <row r="97">
          <cell r="A97" t="str">
            <v>STEPONE</v>
          </cell>
          <cell r="B97" t="str">
            <v>AUM from Alto end of Sep 19 - Sheet 95</v>
          </cell>
          <cell r="C97">
            <v>81442</v>
          </cell>
          <cell r="D97" t="str">
            <v>Yes</v>
          </cell>
        </row>
        <row r="98">
          <cell r="A98" t="str">
            <v>SFI-TR</v>
          </cell>
          <cell r="B98" t="str">
            <v>AUM from Alto end of Sep 19 - Sheet 96</v>
          </cell>
          <cell r="C98">
            <v>75268</v>
          </cell>
          <cell r="D98" t="e">
            <v>#N/A</v>
          </cell>
        </row>
        <row r="99">
          <cell r="A99" t="str">
            <v>MAN</v>
          </cell>
          <cell r="B99" t="str">
            <v>AUM from Alto end of Sep 19 - Sheet 97</v>
          </cell>
          <cell r="C99">
            <v>68982</v>
          </cell>
          <cell r="D99" t="str">
            <v>Yes</v>
          </cell>
        </row>
        <row r="100">
          <cell r="A100" t="str">
            <v>CTREND_20</v>
          </cell>
          <cell r="B100" t="str">
            <v>AUM from Alto end of Sep 19 - Sheet 98</v>
          </cell>
          <cell r="C100">
            <v>23686</v>
          </cell>
          <cell r="D100" t="str">
            <v>Yes</v>
          </cell>
        </row>
        <row r="101">
          <cell r="A101" t="str">
            <v>MAM</v>
          </cell>
          <cell r="B101" t="str">
            <v>AUM from Alto end of Sep 19 - Sheet 99</v>
          </cell>
          <cell r="C101">
            <v>14699</v>
          </cell>
          <cell r="D101" t="str">
            <v>Yes</v>
          </cell>
        </row>
        <row r="102">
          <cell r="A102" t="str">
            <v>COBBLEURO</v>
          </cell>
          <cell r="B102" t="str">
            <v>AUM from Alto end of Sep 19 - Sheet 100</v>
          </cell>
          <cell r="C102">
            <v>2800</v>
          </cell>
          <cell r="D102" t="str">
            <v>Yes</v>
          </cell>
        </row>
        <row r="103">
          <cell r="A103" t="str">
            <v>SFI-PRUD</v>
          </cell>
          <cell r="B103" t="str">
            <v>AUM from Alto end of Sep 19 - Sheet 101</v>
          </cell>
          <cell r="C103">
            <v>1</v>
          </cell>
          <cell r="D103" t="e">
            <v>#N/A</v>
          </cell>
        </row>
        <row r="104">
          <cell r="A104" t="str">
            <v>SFI-PRUD-</v>
          </cell>
          <cell r="B104" t="str">
            <v>AUM from Alto end of Sep 19 - Sheet 102</v>
          </cell>
          <cell r="C104">
            <v>1</v>
          </cell>
          <cell r="D104" t="e">
            <v>#N/A</v>
          </cell>
        </row>
        <row r="105">
          <cell r="A105" t="str">
            <v>MGUPAMSF1</v>
          </cell>
          <cell r="B105" t="str">
            <v>AUM from Alto end of Sep 19 - Sheet 103</v>
          </cell>
          <cell r="C105"/>
          <cell r="D105" t="str">
            <v>Yes</v>
          </cell>
        </row>
        <row r="106">
          <cell r="A106" t="str">
            <v>MGUPAMTF1</v>
          </cell>
          <cell r="B106" t="str">
            <v>AUM from Alto end of Sep 19 - Sheet 104</v>
          </cell>
          <cell r="C106"/>
          <cell r="D106" t="str">
            <v>Yes</v>
          </cell>
        </row>
        <row r="107">
          <cell r="A107" t="str">
            <v>MGUPAMTF2</v>
          </cell>
          <cell r="B107" t="str">
            <v>AUM from Alto end of Sep 19 - Sheet 105</v>
          </cell>
          <cell r="C107"/>
          <cell r="D107" t="str">
            <v>Yes</v>
          </cell>
        </row>
        <row r="108">
          <cell r="A108" t="str">
            <v>ULP-ER</v>
          </cell>
          <cell r="B108" t="str">
            <v>AUM from Alto end of Sep 19 - Sheet 106</v>
          </cell>
          <cell r="C108"/>
          <cell r="D108" t="str">
            <v>Yes</v>
          </cell>
        </row>
        <row r="109">
          <cell r="A109" t="str">
            <v>PSUKLD1</v>
          </cell>
          <cell r="B109" t="str">
            <v>AUM from Alto end of Sep 19 - Sheet 107</v>
          </cell>
          <cell r="C109"/>
          <cell r="D109" t="str">
            <v>Yes</v>
          </cell>
        </row>
        <row r="110">
          <cell r="A110" t="str">
            <v>APMA1</v>
          </cell>
          <cell r="B110" t="str">
            <v>AUM from Alto end of Sep 19 - Sheet 108</v>
          </cell>
          <cell r="C110"/>
          <cell r="D110" t="str">
            <v>Yes</v>
          </cell>
        </row>
        <row r="111">
          <cell r="A111" t="str">
            <v>ULPER</v>
          </cell>
          <cell r="B111" t="str">
            <v>AUM from Alto end of Sep 19 - Sheet 109</v>
          </cell>
          <cell r="C111"/>
          <cell r="D111" t="str">
            <v>Yes</v>
          </cell>
        </row>
        <row r="112">
          <cell r="A112" t="str">
            <v>APMA3</v>
          </cell>
          <cell r="B112" t="str">
            <v>AUM from Alto end of Sep 19 - Sheet 110</v>
          </cell>
          <cell r="C112"/>
          <cell r="D112" t="str">
            <v>Yes</v>
          </cell>
        </row>
        <row r="113">
          <cell r="A113" t="str">
            <v>ULDIAM1-M</v>
          </cell>
          <cell r="B113" t="str">
            <v>AUM from Alto end of Sep 19 - Sheet 111</v>
          </cell>
          <cell r="C113"/>
          <cell r="D113" t="str">
            <v>Yes</v>
          </cell>
        </row>
        <row r="114">
          <cell r="A114" t="str">
            <v>ULBER-</v>
          </cell>
          <cell r="B114" t="str">
            <v>AUM from Alto end of Sep 19 - Sheet 112</v>
          </cell>
          <cell r="C114"/>
          <cell r="D114" t="str">
            <v>Yes</v>
          </cell>
        </row>
        <row r="115">
          <cell r="A115" t="str">
            <v>MEUPAMSF3</v>
          </cell>
          <cell r="B115" t="str">
            <v>AUM from Alto end of Sep 19 - Sheet 113</v>
          </cell>
          <cell r="C115"/>
          <cell r="D115" t="str">
            <v>Yes</v>
          </cell>
        </row>
        <row r="116">
          <cell r="A116" t="str">
            <v>MGUPAMSF4</v>
          </cell>
          <cell r="B116" t="str">
            <v>AUM from Alto end of Sep 19 - Sheet 114</v>
          </cell>
          <cell r="C116"/>
          <cell r="D116" t="str">
            <v>Yes</v>
          </cell>
        </row>
        <row r="117">
          <cell r="A117" t="str">
            <v>MGUPAMTF5</v>
          </cell>
          <cell r="B117" t="str">
            <v>AUM from Alto end of Sep 19 - Sheet 115</v>
          </cell>
          <cell r="C117"/>
          <cell r="D117" t="str">
            <v>Yes</v>
          </cell>
        </row>
        <row r="118">
          <cell r="A118" t="str">
            <v>APMA2</v>
          </cell>
          <cell r="B118" t="str">
            <v>AUM from Alto end of Sep 19 - Sheet 116</v>
          </cell>
          <cell r="C118"/>
          <cell r="D118" t="str">
            <v>Yes</v>
          </cell>
        </row>
        <row r="119">
          <cell r="A119" t="str">
            <v>ULDER</v>
          </cell>
          <cell r="B119" t="str">
            <v>AUM from Alto end of Sep 19 - Sheet 117</v>
          </cell>
          <cell r="C119"/>
          <cell r="D119" t="str">
            <v>Yes</v>
          </cell>
        </row>
        <row r="120">
          <cell r="A120" t="str">
            <v>MGUPAMSF5</v>
          </cell>
          <cell r="B120" t="str">
            <v>AUM from Alto end of Sep 19 - Sheet 118</v>
          </cell>
          <cell r="C120"/>
          <cell r="D120" t="str">
            <v>Yes</v>
          </cell>
        </row>
        <row r="121">
          <cell r="A121" t="str">
            <v>MGUPAMSF2</v>
          </cell>
          <cell r="B121" t="str">
            <v>AUM from Alto end of Sep 19 - Sheet 119</v>
          </cell>
          <cell r="C121"/>
          <cell r="D121" t="str">
            <v>Yes</v>
          </cell>
        </row>
        <row r="122">
          <cell r="A122" t="str">
            <v>MGUPAMTF3</v>
          </cell>
          <cell r="B122" t="str">
            <v>AUM from Alto end of Sep 19 - Sheet 120</v>
          </cell>
          <cell r="C122"/>
          <cell r="D122" t="str">
            <v>Yes</v>
          </cell>
        </row>
        <row r="123">
          <cell r="A123" t="str">
            <v>APMA4</v>
          </cell>
          <cell r="B123" t="str">
            <v>AUM from Alto end of Sep 19 - Sheet 121</v>
          </cell>
          <cell r="C123"/>
          <cell r="D123" t="str">
            <v>Yes</v>
          </cell>
        </row>
        <row r="124">
          <cell r="A124" t="str">
            <v>MGUPAMSF3</v>
          </cell>
          <cell r="B124" t="str">
            <v>AUM from Alto end of Sep 19 - Sheet 122</v>
          </cell>
          <cell r="C124"/>
          <cell r="D124" t="str">
            <v>Yes</v>
          </cell>
        </row>
        <row r="125">
          <cell r="A125" t="str">
            <v>MGUPAMTF4</v>
          </cell>
          <cell r="B125" t="str">
            <v>AUM from Alto end of Sep 19 - Sheet 123</v>
          </cell>
          <cell r="C125"/>
          <cell r="D125" t="str">
            <v>Yes</v>
          </cell>
        </row>
        <row r="126">
          <cell r="A126" t="str">
            <v>BBSECUSTBOND</v>
          </cell>
        </row>
        <row r="127">
          <cell r="A127" t="str">
            <v>BBSECEURIG</v>
          </cell>
        </row>
        <row r="128">
          <cell r="A128" t="str">
            <v>BBSECPERIPH</v>
          </cell>
        </row>
        <row r="129">
          <cell r="A129" t="str">
            <v>BBSECCORE</v>
          </cell>
        </row>
        <row r="130">
          <cell r="A130" t="str">
            <v>ULP-ER</v>
          </cell>
        </row>
        <row r="131">
          <cell r="A131" t="str">
            <v>ULPER</v>
          </cell>
        </row>
        <row r="132">
          <cell r="A132" t="str">
            <v>PSUKLD1</v>
          </cell>
          <cell r="C132">
            <v>122000000</v>
          </cell>
        </row>
        <row r="133">
          <cell r="A133" t="str">
            <v>PACIFAI</v>
          </cell>
          <cell r="C133">
            <v>162000000</v>
          </cell>
        </row>
        <row r="134">
          <cell r="A134" t="str">
            <v>HF11</v>
          </cell>
          <cell r="C134">
            <v>50000000</v>
          </cell>
        </row>
        <row r="135">
          <cell r="A135" t="str">
            <v>DIOP 2</v>
          </cell>
          <cell r="C135">
            <v>7461468.7216681782</v>
          </cell>
        </row>
        <row r="136">
          <cell r="A136" t="str">
            <v>DIOP 1</v>
          </cell>
          <cell r="C136">
            <v>15339981.867633726</v>
          </cell>
        </row>
        <row r="137">
          <cell r="A137" t="str">
            <v>DIOP3</v>
          </cell>
          <cell r="C137">
            <v>11650045.330915684</v>
          </cell>
        </row>
        <row r="138">
          <cell r="A138" t="str">
            <v>DIOP4</v>
          </cell>
          <cell r="C138">
            <v>58875793.291024476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63773145" createdVersion="6" refreshedVersion="7" minRefreshableVersion="3" recordCount="134" xr:uid="{00000000-000A-0000-FFFF-FFFF21000000}">
  <cacheSource type="worksheet">
    <worksheetSource ref="A2:AD1048576" sheet="AUM Data Sheet Dublin"/>
  </cacheSource>
  <cacheFields count="31">
    <cacheField name="Decalog ID" numFmtId="0">
      <sharedItems containsBlank="1" containsMixedTypes="1" containsNumber="1" containsInteger="1" minValue="1" maxValue="1"/>
    </cacheField>
    <cacheField name="Yes or No" numFmtId="0">
      <sharedItems containsBlank="1" containsMixedTypes="1" containsNumber="1" containsInteger="1" minValue="2" maxValue="2"/>
    </cacheField>
    <cacheField name="Portfolios name" numFmtId="0">
      <sharedItems containsBlank="1" containsMixedTypes="1" containsNumber="1" containsInteger="1" minValue="3" maxValue="3" count="121">
        <s v="AMUNDI FUND SOLUTIONS - BALANCED"/>
        <s v="AMUNDI FUND SOLUTIONS - CONSERVATIVE"/>
        <s v="AMUNDI FUND SOLUTIONS - DIVERSIFIED GROWTH - A"/>
        <s v="AFS ICAV Planet ESG Balanced"/>
        <s v="AFS ICAV Planet ESG Conservative "/>
        <s v="AFS ICAV Planet ESG Dynamic "/>
        <s v="AMUNDI SOLUZIONI ITALIA - PROGETTO AZIONE CAMBIAMENTO CLIMATICO - E"/>
        <s v="ASI - PROGETTO AZIONE FUTURO GREEN"/>
        <s v="AMUNDI UNICREDIT PREM PORT- PRUDENTIAL"/>
        <s v="AMUNDI UNICREDIT PREMIUM PORT - DYNAMIC"/>
        <s v="AMUNDI UNICREDIT PREM PORT- MULTI ASSET"/>
        <s v="THE TRUSTHOUSE FDN CPI+4% MULTI-AST PTF"/>
        <s v="AMUNDI-FUNDACION CAJA NAVARRA DYNAMIC"/>
        <s v="AMUNDI ELITE THEMATIC MULTI ASSET"/>
        <s v="PI INVESTMENT FUNDS - DYNAMIC ALLOCATION FUND - E"/>
        <s v="AMUNDI FUND SOLUTIONS - SABADELL URQUIJO ACUMULACION"/>
        <s v="AMUNDI FUND SOLUTIONS - SABADELL URQUIJO CRECIMIENTO"/>
        <s v="AMUNDI SOLUZIONI ITALIA - PROGETTO AZIONE INFRASTRUTTURE SOSTENIBILI"/>
        <s v="AMUNDI SOLUZIONI ITALIA - PROGETTO AZIONE INFRASTRUTTURE SOSTENIBILI (II)"/>
        <s v="AMUNDI SENTIERO SOSTENIBILE"/>
        <s v="SAXO EUROPE"/>
        <m/>
        <s v="Amundi Invensys Broad Bond Portfolio"/>
        <s v="AMUNDI SOLUZIONI ITALIA - PROGETTO AZIONE CAMBIAMENTO CLIMATICO (II) - E"/>
        <s v="AMUNDI SOLUZIONI ITALIA - PROGETTO AZIONE MEGATREND - E"/>
        <s v="AMUNDI SOLUZIONI ITALIA - PROGETTO AZIONE MEGATREND (II) - E"/>
        <s v="ASI - PROGETTO AZIONE ENERGY TRANSITION"/>
        <s v="ASI - PROGETTO AZIONE ENERGY TRANSITION (II)"/>
        <s v="PI INVESTMENT FUNDS - TACTICAL ALLOCATION PILLAR - E"/>
        <s v="PI INVESTMENT FUNDS - TACTICAL ALLOCATION BOND FUND - H"/>
        <s v="UL Global Equity Dividend &amp; Subordinated"/>
        <s v="Amundi Env and Climate Change Sol Fund"/>
        <s v="Unidiamond + Azionaria America"/>
        <s v="Life Program Azionario Pacifico"/>
        <s v="Unidiamond + Azionaria Intl"/>
        <s v="PI INVESTMENT FUNDS - TACTICAL ALLOCATION FUND - H"/>
        <s v="Amundi Fund Solutions - Diversified Income Best Select 2022"/>
        <s v="CAM ARES RISPARMIO ATTIVO M"/>
        <s v="CAM ARES RISPARMIO BILANCIATO M"/>
        <s v="CAM ARES RISPARMIO OBBLIGAZ. M"/>
        <s v="CAM CNP - LINEA  DINAMICA"/>
        <s v="CAM CRESCITA"/>
        <s v="CAM MEDIUM"/>
        <s v="CAM OBBLIGAZIONARIA EURO"/>
        <s v="CAM REDDITO"/>
        <s v="CAM STEP ONE"/>
        <s v="CAM SVILUPPO"/>
        <s v="CAM TREND 20"/>
        <s v="Life Program Bond"/>
        <s v="Life Program Flessibile"/>
        <s v="PL Euro Bond 1 to 3 years"/>
        <s v="PL Income Clock"/>
        <s v="UL BILANCIATA"/>
        <s v="UL BILANCIATA PIU"/>
        <s v="UL DINAMICA"/>
        <s v="UL PRUDENTE"/>
        <s v="UL PRUDENTE PIU"/>
        <s v="UNIFLEX ACTIVE 1"/>
        <s v="UNIFLEX ACTIVE 2"/>
        <s v="UNIFLEX ACTIVE 3"/>
        <s v="Unit Linked A TR UNIPLAN"/>
        <s v="Unit Linked AMix UNIPLAN"/>
        <s v="UNIT LINKED E2 NEW"/>
        <s v="UNIT LINKED E3 NEW"/>
        <s v="UNIT LINKED E4 NEW"/>
        <s v="UNIT LINKED E6 NEW"/>
        <s v="UNIT LINKED G4 NEW"/>
        <s v="UNIT LINKED G5 NEW"/>
        <s v="Unit Linked OLD 4"/>
        <s v="Univalore E Strategia 20"/>
        <s v="Univalore E Strategia 30"/>
        <s v="Univalore E Strategia 40"/>
        <s v="Univalore E Strategia 70"/>
        <s v="Univalore Stars Balanced"/>
        <s v="PL Euro Bond over 3 years"/>
        <s v="CAM Agosto"/>
        <s v="CAM Aprile"/>
        <s v="CAM Dicembre"/>
        <s v="CAM Febbraio"/>
        <s v="CAM Gennaio"/>
        <s v="CAM Giugno"/>
        <s v="CAM Maggio"/>
        <s v="CAM Marzo"/>
        <s v="CAM Novembre"/>
        <s v="CAM Ottobre"/>
        <s v="CAM Settembre"/>
        <s v="CNP THEMATIC PROTECTION 80"/>
        <s v="CRV THEMATIC PROTECTION 80"/>
        <s v="CNP Dynamic Protection 80"/>
        <s v="CRV Dynamic Protection 80"/>
        <s v="CNP Protection 80"/>
        <s v="CRV Protection 80"/>
        <s v="UL Life Income"/>
        <s v="UL Life Income 360"/>
        <s v="Unit Linked Multi Equity Accumulation"/>
        <s v="Univalore Stars Income"/>
        <s v="CAM Luglio"/>
        <s v="UL_Bilanciata_+ERGO"/>
        <s v="UL_Dinamica ERGO"/>
        <s v="UL_Prudente ERGO"/>
        <s v="UL_Prudente_+ ERGO"/>
        <s v="CNP Linea Protetta Dinamica Plus"/>
        <s v="UL CAUTA"/>
        <s v="Unit Linked UN GOALS"/>
        <s v="Unit Linked Multi Asset Trend"/>
        <s v="Unit Linked Future Trend"/>
        <s v="Unit Linked Multi Thematic Global Eq"/>
        <s v="ASSET ALLOCATION MODEL PROTETTO 80"/>
        <s v="STEP CRESCITA"/>
        <s v="DISCRETIONARY INCOME ORIENTED PRODUCTS 3"/>
        <s v="DISCRETIONARY INCOME ORIENTED PRODUCTS 4"/>
        <s v="BB SECURITIES EURO GOVT CORE"/>
        <s v="BB SECURITIES EURO GOVT PERIPHERAL"/>
        <s v="BB SECURITIES EURO IG CREDIT"/>
        <s v="BB SECURITIES US TREASURY BOND"/>
        <s v="DISCRETIONARY INCOME ORIENTED PRODUCTS 1"/>
        <s v="DISCRETIONARY INCOME ORIENTED PRODUCTS 2"/>
        <s v="ASI - PROGETTO AZION MILLENNIALS II"/>
        <s v="ASI - PROGETTO AZION MILLENNIALS"/>
        <s v="Univalore Stars Growth - Comanaged with Fund Selection -"/>
        <n v="3"/>
      </sharedItems>
    </cacheField>
    <cacheField name="Fund or Model" numFmtId="0">
      <sharedItems containsBlank="1" containsMixedTypes="1" containsNumber="1" containsInteger="1" minValue="4" maxValue="4" count="4">
        <s v="Fund"/>
        <s v="Model"/>
        <m/>
        <n v="4"/>
      </sharedItems>
    </cacheField>
    <cacheField name="On Original Risk List or Added by Ronan?" numFmtId="0">
      <sharedItems containsBlank="1" containsMixedTypes="1" containsNumber="1" containsInteger="1" minValue="5" maxValue="5"/>
    </cacheField>
    <cacheField name="On a List?" numFmtId="0">
      <sharedItems containsBlank="1" containsMixedTypes="1" containsNumber="1" containsInteger="1" minValue="6" maxValue="6"/>
    </cacheField>
    <cacheField name="Strategy Type" numFmtId="0">
      <sharedItems containsBlank="1" containsMixedTypes="1" containsNumber="1" containsInteger="1" minValue="7" maxValue="7"/>
    </cacheField>
    <cacheField name="Strategy Detail" numFmtId="0">
      <sharedItems containsBlank="1" containsMixedTypes="1" containsNumber="1" containsInteger="1" minValue="8" maxValue="8" count="13">
        <s v="Moderate"/>
        <s v="Conservative"/>
        <s v="Growth"/>
        <s v="Risk Accumulation"/>
        <s v="Income"/>
        <s v="Thematic"/>
        <s v="Flexible"/>
        <m/>
        <s v="Bond"/>
        <s v="Equity"/>
        <s v="Capital Protection"/>
        <s v="Capital Guaranteed"/>
        <n v="8"/>
      </sharedItems>
    </cacheField>
    <cacheField name="Macro Process" numFmtId="0">
      <sharedItems containsBlank="1" containsMixedTypes="1" containsNumber="1" containsInteger="1" minValue="0" maxValue="9"/>
    </cacheField>
    <cacheField name="Micro Process" numFmtId="0">
      <sharedItems containsBlank="1" containsMixedTypes="1" containsNumber="1" containsInteger="1" minValue="0" maxValue="10"/>
    </cacheField>
    <cacheField name="Investment team " numFmtId="0">
      <sharedItems containsBlank="1" containsMixedTypes="1" containsNumber="1" containsInteger="1" minValue="11" maxValue="11"/>
    </cacheField>
    <cacheField name="Portfolio Manager" numFmtId="0">
      <sharedItems containsBlank="1" containsMixedTypes="1" containsNumber="1" containsInteger="1" minValue="12" maxValue="12"/>
    </cacheField>
    <cacheField name="Family of Investment strategy" numFmtId="0">
      <sharedItems containsBlank="1" containsMixedTypes="1" containsNumber="1" containsInteger="1" minValue="13" maxValue="13"/>
    </cacheField>
    <cacheField name="Micro risk process name" numFmtId="0">
      <sharedItems containsBlank="1" containsMixedTypes="1" containsNumber="1" containsInteger="1" minValue="14" maxValue="14"/>
    </cacheField>
    <cacheField name="AuM in Audit File" numFmtId="0">
      <sharedItems containsString="0" containsBlank="1" containsNumber="1" minValue="0" maxValue="1639044963.34446"/>
    </cacheField>
    <cacheField name="AUM from our AUM 30 April 2020 file" numFmtId="0">
      <sharedItems containsBlank="1" containsMixedTypes="1" containsNumber="1" minValue="0" maxValue="12904733148.691843"/>
    </cacheField>
    <cacheField name="Ronan Comment" numFmtId="0">
      <sharedItems containsBlank="1" containsMixedTypes="1" containsNumber="1" containsInteger="1" minValue="17" maxValue="17"/>
    </cacheField>
    <cacheField name="Aum from Jun file Old" numFmtId="0">
      <sharedItems containsBlank="1" containsMixedTypes="1" containsNumber="1" containsInteger="1" minValue="0" maxValue="18"/>
    </cacheField>
    <cacheField name="Aum from Jun file" numFmtId="0">
      <sharedItems containsString="0" containsBlank="1" containsNumber="1" minValue="0" maxValue="493807009.17000002"/>
    </cacheField>
    <cacheField name="Flows April" numFmtId="0">
      <sharedItems containsString="0" containsBlank="1" containsNumber="1" minValue="-826696136.93261468" maxValue="27952778.120000001"/>
    </cacheField>
    <cacheField name="AUM from our AUM 31st March 2020 file" numFmtId="0">
      <sharedItems containsBlank="1" containsMixedTypes="1" containsNumber="1" minValue="-0.13050427746567456" maxValue="13343668606.855078"/>
    </cacheField>
    <cacheField name="AUM from our AUM Feb 2020 file in mln *" numFmtId="0">
      <sharedItems containsBlank="1" containsMixedTypes="1" containsNumber="1" minValue="0" maxValue="13343.668606855081"/>
    </cacheField>
    <cacheField name="Difference" numFmtId="0">
      <sharedItems containsBlank="1" containsMixedTypes="1" containsNumber="1" minValue="-438935458.16323656" maxValue="118681217.80999994"/>
    </cacheField>
    <cacheField name="Difference final" numFmtId="0">
      <sharedItems containsBlank="1" containsMixedTypes="1" containsNumber="1" minValue="-438935458.16323656" maxValue="118681217.80999994"/>
    </cacheField>
    <cacheField name="AUM from our AUM April 2020 file  in mln*" numFmtId="0">
      <sharedItems containsBlank="1" containsMixedTypes="1" containsNumber="1" minValue="0" maxValue="12904.733148691845"/>
    </cacheField>
    <cacheField name="Difference In AUM" numFmtId="0">
      <sharedItems containsBlank="1" containsMixedTypes="1" containsNumber="1" minValue="-438.93545816323638" maxValue="118.68121780999994"/>
    </cacheField>
    <cacheField name="Flows April mln" numFmtId="0">
      <sharedItems containsString="0" containsBlank="1" containsNumber="1" minValue="-826.69613693261454" maxValue="27.952778120000001"/>
    </cacheField>
    <cacheField name="AUM from our AUM April 2020 file Test" numFmtId="0">
      <sharedItems containsString="0" containsBlank="1" containsNumber="1" minValue="0" maxValue="10775.273010999999"/>
    </cacheField>
    <cacheField name="AUM from our AUM Feb 2019 file Test" numFmtId="0">
      <sharedItems containsBlank="1" containsMixedTypes="1" containsNumber="1" minValue="0" maxValue="13134.605716"/>
    </cacheField>
    <cacheField name="Difference Between Feb 2019 - April 2020" numFmtId="0">
      <sharedItems containsBlank="1" containsMixedTypes="1" containsNumber="1" minValue="-2359.3327050000007" maxValue="307.505809"/>
    </cacheField>
    <cacheField name="% Change Flows" numFmtId="0" formula="'Flows April mln'/'AUM from our AUM April 2020 file  in mln*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67129631" createdVersion="7" refreshedVersion="7" minRefreshableVersion="3" recordCount="114" xr:uid="{00000000-000A-0000-FFFF-FFFF05000000}">
  <cacheSource type="worksheet">
    <worksheetSource ref="A1:H115" sheet="List of Portfolios and AUM"/>
  </cacheSource>
  <cacheFields count="8">
    <cacheField name="Code" numFmtId="0">
      <sharedItems/>
    </cacheField>
    <cacheField name="Portfolios name" numFmtId="0">
      <sharedItems count="114">
        <s v="CAM ARES RISPARMIO ATTIVO M"/>
        <s v="CAM ARES RISPARMIO BILANCIATO M"/>
        <s v="CAM ARES RISPARMIO OBBLIGAZ. M"/>
        <s v="ASSET ALLOCATION MODEL PROTETTO 80"/>
        <s v="BB SECURITIES EURO GOVT CORE"/>
        <s v="BB SECURITIES EURO IG CREDIT"/>
        <s v="BB SECURITIES EURO GOVT PERIPHERAL"/>
        <s v="BB SECURITIES US TREASURY BOND"/>
        <s v="CAM CRESCITA"/>
        <s v="CAM MEDIUM"/>
        <s v="CNP Dynamic Protection 80"/>
        <s v="CNP Protection 80"/>
        <s v="CNP THEMATIC PROTECTION 80"/>
        <s v="CAM OBBLIGAZIONARIA EURO"/>
        <s v="CAM REDDITO"/>
        <s v="CRV Dynamic Protection 80"/>
        <s v="CRV Protection 80"/>
        <s v="CRV THEMATIC PROTECTION 80"/>
        <s v="CAM SVILUPPO"/>
        <s v="CAM TREND 20"/>
        <s v="UNIFLEX ACTIVE 1"/>
        <s v="UNIFLEX ACTIVE 2"/>
        <s v="UNIFLEX ACTIVE 3"/>
        <s v="DISCRETIONARY INCOME ORIENTED PRODUCTS 1"/>
        <s v="DISCRETIONARY INCOME ORIENTED PRODUCTS 2"/>
        <s v="DISCRETIONARY INCOME ORIENTED PRODUCTS 3"/>
        <s v="DISCRETIONARY INCOME ORIENTED PRODUCTS 4"/>
        <s v="AMUNDI UNICREDIT PREM PORT- PRUDENTIAL"/>
        <s v="AMUNDI UNICREDIT PREMIUM PORT - DYNAMIC"/>
        <s v="AMUNDI UNICREDIT PREM PORT- MULTI ASSET"/>
        <s v="AMUNDI FUND SOLUTIONS - BALANCED"/>
        <s v="AMUNDI FUND SOLUTIONS - CONSERVATIVE"/>
        <s v="AMUNDI FUND SOLUTIONS - DIVERSIFIED GROWTH - A"/>
        <s v="Amundi Fund Solutions - Diversified Income Best Select 2022"/>
        <s v="PI INVESTMENT FUNDS - TACTICAL ALLOCATION FUND - H"/>
        <s v="PI INVESTMENT FUNDS - TACTICAL ALLOCATION BOND FUND - H"/>
        <s v="PI INVESTMENT FUNDS - DYNAMIC ALLOCATION FUND - E"/>
        <s v="PI INVESTMENT FUNDS - TACTICAL ALLOCATION PILLAR - E"/>
        <s v="Amundi Env and Climate Change Sol Fund"/>
        <s v="CAM Novembre"/>
        <s v="CAM Dicembre"/>
        <s v="CAM Gennaio"/>
        <s v="CAM Febbraio"/>
        <s v="CAM Marzo"/>
        <s v="CAM Aprile"/>
        <s v="CAM Maggio"/>
        <s v="CAM Giugno"/>
        <s v="CAM Agosto"/>
        <s v="CAM Settembre"/>
        <s v="CAM Ottobre"/>
        <s v="Unit Linked A TR UNIPLAN"/>
        <s v="UNIT LINKED G5 NEW"/>
        <s v="UNIT LINKED E2 NEW"/>
        <s v="Unit Linked OLD 4"/>
        <s v="UNIT LINKED E3 NEW"/>
        <s v="UNIT LINKED E4 NEW"/>
        <s v="UNIT LINKED E6 NEW"/>
        <s v="Life Program Bond"/>
        <s v="UL Life Income"/>
        <s v="Life Program Flessibile"/>
        <s v="UL Life Income 360"/>
        <s v="STEP CRESCITA"/>
        <s v="Unit Linked Multi Thematic Global Eq"/>
        <s v="Unit Linked AMix UNIPLAN"/>
        <s v="Univalore Stars Growth - Comanaged with Fund Selection -"/>
        <s v="Univalore Stars Income"/>
        <s v="AFS ICAV Planet ESG Conservative "/>
        <s v="AFS ICAV Planet ESG Balanced"/>
        <s v="AFS ICAV Planet ESG Dynamic "/>
        <s v="ASI - PROGETTO AZIONE FUTURO GREEN"/>
        <s v="AMUNDI SENTIERO SOSTENIBILE"/>
        <s v="AMUNDI SOLUZIONI ITALIA - PROGETTO AZIONE MEGATREND - E"/>
        <s v="AMUNDI SOLUZIONI ITALIA - PROGETTO AZIONE MEGATREND (II) - E"/>
        <s v="AMUNDI SOLUZIONI ITALIA - PROGETTO AZIONE CAMBIAMENTO CLIMATICO - E"/>
        <s v="AMUNDI SOLUZIONI ITALIA - PROGETTO AZIONE CAMBIAMENTO CLIMATICO (II) - E"/>
        <s v="ASI - PROGETTO AZION MILLENNIALS"/>
        <s v="ASI - PROGETTO AZION MILLENNIALS II"/>
        <s v="AMUNDI FUND SOLUTIONS - SABADELL URQUIJO ACUMULACION"/>
        <s v="AMUNDI FUND SOLUTIONS - SABADELL URQUIJO CRECIMIENTO"/>
        <s v="ASI - PROGETTO AZIONE ENERGY TRANSITION"/>
        <s v="AMUNDI ELITE THEMATIC MULTI ASSET"/>
        <s v="ASI - PROGETTO AZIONE ENERGY TRANSITION (II)"/>
        <s v="AMUNDI SOLUZIONI ITALIA - PROGETTO AZIONE INFRASTRUTTURE SOSTENIBILI"/>
        <s v="AMUNDI SOLUZIONI ITALIA - PROGETTO AZIONE INFRASTRUTTURE SOSTENIBILI (II)"/>
        <s v="PL Income Clock"/>
        <s v="CAM Luglio"/>
        <s v="PL Euro Bond 1 to 3 years"/>
        <s v="PL Euro Bond over 3 years"/>
        <s v="Amundi Invensys Broad Bond Portfolio"/>
        <s v="CAM CNP - LINEA  DINAMICA"/>
        <s v="CNP Linea Protetta Dinamica Plus"/>
        <s v="SAXO EUROPE"/>
        <s v="CAM STEP ONE"/>
        <s v="Univalore E Strategia 20"/>
        <s v="Univalore E Strategia 30"/>
        <s v="Univalore E Strategia 40"/>
        <s v="Univalore Stars Balanced"/>
        <s v="Univalore E Strategia 70"/>
        <s v="Unit Linked Multi Equity Accumulation"/>
        <s v="UL_Bilanciata_+ERGO"/>
        <s v="UL BILANCIATA"/>
        <s v="UL BILANCIATA PIU"/>
        <s v="UL CAUTA"/>
        <s v="UL_Dinamica ERGO"/>
        <s v="UL DINAMICA"/>
        <s v="UL Global Equity Dividend &amp; Subordinated"/>
        <s v="Unit Linked Future Trend"/>
        <s v="UNIT LINKED G4 NEW"/>
        <s v="Unit Linked Multi Asset Trend"/>
        <s v="UL PRUDENTE"/>
        <s v="UL_Prudente ERGO"/>
        <s v="UL_Prudente_+ ERGO"/>
        <s v="UL PRUDENTE PIU"/>
        <s v="Unit Linked UN GOALS"/>
      </sharedItems>
    </cacheField>
    <cacheField name="Fund or Model" numFmtId="0">
      <sharedItems count="2">
        <s v="Model"/>
        <s v="Fund"/>
      </sharedItems>
    </cacheField>
    <cacheField name="Strategy Type" numFmtId="0">
      <sharedItems/>
    </cacheField>
    <cacheField name="Strategy Detail" numFmtId="0">
      <sharedItems count="12">
        <s v="Growth"/>
        <s v="Moderate"/>
        <s v="Conservative"/>
        <s v="Capital Guaranteed"/>
        <s v="Fixed Income"/>
        <s v="Income"/>
        <s v="Thematic"/>
        <s v="Equity"/>
        <s v="Bond"/>
        <s v="Flexible"/>
        <s v="Capital Protection"/>
        <s v="Risk Accumulation"/>
      </sharedItems>
    </cacheField>
    <cacheField name="Lead PM" numFmtId="0">
      <sharedItems/>
    </cacheField>
    <cacheField name="Backup PM" numFmtId="0">
      <sharedItems containsBlank="1"/>
    </cacheField>
    <cacheField name="AUM 31st Jan 2024" numFmtId="44">
      <sharedItems containsMixedTypes="1" containsNumber="1" minValue="0" maxValue="1901251614"/>
    </cacheField>
  </cacheFields>
  <extLst>
    <ext xmlns:x14="http://schemas.microsoft.com/office/spreadsheetml/2009/9/main" uri="{725AE2AE-9491-48be-B2B4-4EB974FC3084}">
      <x14:pivotCacheDefinition pivotCacheId="12576624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67708332" createdVersion="7" refreshedVersion="7" minRefreshableVersion="3" recordCount="128" xr:uid="{00000000-000A-0000-FFFF-FFFF04000000}">
  <cacheSource type="worksheet">
    <worksheetSource ref="A1:H1048576" sheet="List of Portfolios and AUM"/>
  </cacheSource>
  <cacheFields count="8">
    <cacheField name="Code" numFmtId="0">
      <sharedItems containsBlank="1" containsMixedTypes="1" containsNumber="1" containsInteger="1" minValue="1" maxValue="1" count="116">
        <s v="1PM"/>
        <s v="1QM"/>
        <s v="1RM"/>
        <s v="AAPROT80"/>
        <s v="BBSECCORE"/>
        <s v="BBSECEURIG"/>
        <s v="BBSECPERIPH"/>
        <s v="BBSECUSTBOND"/>
        <s v="CCRESCITA"/>
        <s v="CMEDIUM"/>
        <s v="CNPDYNPR80"/>
        <s v="CNPPROT80"/>
        <s v="CNPTHEMPROT"/>
        <s v="COBBLEURO"/>
        <s v="CREDDITO"/>
        <s v="CRVDYNPR80"/>
        <s v="CRVPROT80"/>
        <s v="CRVTHEMPROT"/>
        <s v="CSVILUPPO"/>
        <s v="CTREND_20"/>
        <s v="DINAR1TF"/>
        <s v="DINAR2TF"/>
        <s v="DINAR3TF"/>
        <s v="DIOP 1"/>
        <s v="DIOP 2"/>
        <s v="DIOP3"/>
        <s v="DIOP4"/>
        <s v="E118"/>
        <s v="E119"/>
        <s v="E120"/>
        <s v="E142"/>
        <s v="E143"/>
        <s v="E144"/>
        <s v="E193"/>
        <s v="E207"/>
        <s v="E208"/>
        <s v="E209"/>
        <s v="E224"/>
        <s v="F100123"/>
        <s v="MAA"/>
        <s v="MAB"/>
        <s v="MAC"/>
        <s v="MAD"/>
        <s v="MAE"/>
        <s v="MAF"/>
        <s v="MAG"/>
        <s v="MAH"/>
        <s v="MAL"/>
        <s v="MAM"/>
        <s v="MAN"/>
        <s v="MATRUNIP"/>
        <s v="MEPF10"/>
        <s v="MEPF2N"/>
        <s v="MEPF4"/>
        <s v="MEPF5"/>
        <s v="MEPF6"/>
        <s v="MEPF8"/>
        <s v="MLIFEBND"/>
        <s v="MLINC"/>
        <s v="MLPFLEX"/>
        <s v="MULLI360"/>
        <s v="MULSTEP"/>
        <s v="Multhem"/>
        <s v="MUNIP"/>
        <s v="MUSG"/>
        <s v="MUSI"/>
        <s v="PF101372"/>
        <s v="PF101376"/>
        <s v="PF101380"/>
        <s v="PF103025"/>
        <s v="PF52231"/>
        <s v="PF71664"/>
        <s v="PF76580"/>
        <s v="PF78195"/>
        <s v="PF79139"/>
        <s v="PF80513"/>
        <s v="PF82304"/>
        <s v="PF87100"/>
        <s v="PF87115"/>
        <s v="PF88300"/>
        <s v="PF88524"/>
        <s v="PF89408"/>
        <s v="PF92127"/>
        <s v="PF95239"/>
        <s v="PLIC"/>
        <s v="PMAI"/>
        <s v="PP1-3Y"/>
        <s v="PP3Y"/>
        <s v="PSUKLD1"/>
        <s v="R1M"/>
        <s v="R2M"/>
        <s v="SAXO"/>
        <s v="STEPONE"/>
        <s v="UES20"/>
        <s v="UES30"/>
        <s v="UES40"/>
        <s v="UES50"/>
        <s v="UES70"/>
        <s v="ULACCO"/>
        <s v="ULBER-"/>
        <s v="ULBIL"/>
        <s v="ULBILPIU"/>
        <s v="ULC"/>
        <s v="ULDER"/>
        <s v="ULDIN"/>
        <s v="ULECSTARS"/>
        <s v="ULFTREND "/>
        <s v="ULG4NEW"/>
        <s v="ULMATREND"/>
        <s v="ULP"/>
        <s v="ULPER"/>
        <s v="ULP-ER"/>
        <s v="ULPRUD"/>
        <s v="UNGOALS"/>
        <m/>
        <n v="1" u="1"/>
      </sharedItems>
    </cacheField>
    <cacheField name="Portfolios name" numFmtId="0">
      <sharedItems containsBlank="1"/>
    </cacheField>
    <cacheField name="Fund or Model" numFmtId="0">
      <sharedItems containsBlank="1" containsMixedTypes="1" containsNumber="1" containsInteger="1" minValue="4" maxValue="4" count="4">
        <s v="Model"/>
        <s v="Fund"/>
        <m/>
        <n v="4" u="1"/>
      </sharedItems>
    </cacheField>
    <cacheField name="Strategy Type" numFmtId="0">
      <sharedItems containsBlank="1"/>
    </cacheField>
    <cacheField name="Strategy Detail" numFmtId="0">
      <sharedItems containsBlank="1"/>
    </cacheField>
    <cacheField name="Lead PM" numFmtId="0">
      <sharedItems containsBlank="1"/>
    </cacheField>
    <cacheField name="Backup PM" numFmtId="0">
      <sharedItems containsBlank="1"/>
    </cacheField>
    <cacheField name="AUM 31st Jan 2024" numFmtId="0">
      <sharedItems containsBlank="1" containsMixedTypes="1" containsNumber="1" minValue="0" maxValue="19012516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6828704" createdVersion="6" refreshedVersion="7" minRefreshableVersion="3" recordCount="120" xr:uid="{00000000-000A-0000-FFFF-FFFF03000000}">
  <cacheSource type="worksheet">
    <worksheetSource ref="A2:AD122" sheet="AUM Data Sheet Dublin"/>
  </cacheSource>
  <cacheFields count="30">
    <cacheField name="Decalog ID" numFmtId="0">
      <sharedItems containsBlank="1"/>
    </cacheField>
    <cacheField name="Yes or No" numFmtId="0">
      <sharedItems containsBlank="1"/>
    </cacheField>
    <cacheField name="Portfolios name" numFmtId="0">
      <sharedItems containsBlank="1" count="131">
        <s v="AMUNDI FUND SOLUTIONS - BALANCED"/>
        <s v="AMUNDI FUND SOLUTIONS - CONSERVATIVE"/>
        <s v="AMUNDI FUND SOLUTIONS - DIVERSIFIED GROWTH - A"/>
        <s v="AFS ICAV Planet ESG Balanced"/>
        <s v="AFS ICAV Planet ESG Conservative "/>
        <s v="AFS ICAV Planet ESG Dynamic "/>
        <s v="AMUNDI SOLUZIONI ITALIA - PROGETTO AZIONE CAMBIAMENTO CLIMATICO - E"/>
        <s v="ASI - PROGETTO AZIONE FUTURO GREEN"/>
        <s v="AMUNDI UNICREDIT PREM PORT- PRUDENTIAL"/>
        <s v="AMUNDI UNICREDIT PREMIUM PORT - DYNAMIC"/>
        <s v="AMUNDI UNICREDIT PREM PORT- MULTI ASSET"/>
        <s v="THE TRUSTHOUSE FDN CPI+4% MULTI-AST PTF"/>
        <s v="AMUNDI-FUNDACION CAJA NAVARRA DYNAMIC"/>
        <s v="AMUNDI ELITE THEMATIC MULTI ASSET"/>
        <s v="PI INVESTMENT FUNDS - DYNAMIC ALLOCATION FUND - E"/>
        <s v="AMUNDI FUND SOLUTIONS - SABADELL URQUIJO ACUMULACION"/>
        <s v="AMUNDI FUND SOLUTIONS - SABADELL URQUIJO CRECIMIENTO"/>
        <s v="AMUNDI SOLUZIONI ITALIA - PROGETTO AZIONE INFRASTRUTTURE SOSTENIBILI"/>
        <s v="AMUNDI SOLUZIONI ITALIA - PROGETTO AZIONE INFRASTRUTTURE SOSTENIBILI (II)"/>
        <s v="AMUNDI SENTIERO SOSTENIBILE"/>
        <s v="SAXO EUROPE"/>
        <m/>
        <s v="Amundi Invensys Broad Bond Portfolio"/>
        <s v="AMUNDI SOLUZIONI ITALIA - PROGETTO AZIONE CAMBIAMENTO CLIMATICO (II) - E"/>
        <s v="AMUNDI SOLUZIONI ITALIA - PROGETTO AZIONE MEGATREND - E"/>
        <s v="AMUNDI SOLUZIONI ITALIA - PROGETTO AZIONE MEGATREND (II) - E"/>
        <s v="ASI - PROGETTO AZIONE ENERGY TRANSITION"/>
        <s v="ASI - PROGETTO AZIONE ENERGY TRANSITION (II)"/>
        <s v="PI INVESTMENT FUNDS - TACTICAL ALLOCATION PILLAR - E"/>
        <s v="PI INVESTMENT FUNDS - TACTICAL ALLOCATION BOND FUND - H"/>
        <s v="UL Global Equity Dividend &amp; Subordinated"/>
        <s v="Amundi Env and Climate Change Sol Fund"/>
        <s v="Unidiamond + Azionaria America"/>
        <s v="Life Program Azionario Pacifico"/>
        <s v="Unidiamond + Azionaria Intl"/>
        <s v="PI INVESTMENT FUNDS - TACTICAL ALLOCATION FUND - H"/>
        <s v="Amundi Fund Solutions - Diversified Income Best Select 2022"/>
        <s v="CAM ARES RISPARMIO ATTIVO M"/>
        <s v="CAM ARES RISPARMIO BILANCIATO M"/>
        <s v="CAM ARES RISPARMIO OBBLIGAZ. M"/>
        <s v="CAM CNP - LINEA  DINAMICA"/>
        <s v="CAM CRESCITA"/>
        <s v="CAM MEDIUM"/>
        <s v="CAM OBBLIGAZIONARIA EURO"/>
        <s v="CAM REDDITO"/>
        <s v="CAM STEP ONE"/>
        <s v="CAM SVILUPPO"/>
        <s v="CAM TREND 20"/>
        <s v="Life Program Bond"/>
        <s v="Life Program Flessibile"/>
        <s v="PL Euro Bond 1 to 3 years"/>
        <s v="PL Income Clock"/>
        <s v="UL BILANCIATA"/>
        <s v="UL BILANCIATA PIU"/>
        <s v="UL DINAMICA"/>
        <s v="UL PRUDENTE"/>
        <s v="UL PRUDENTE PIU"/>
        <s v="UNIFLEX ACTIVE 1"/>
        <s v="UNIFLEX ACTIVE 2"/>
        <s v="UNIFLEX ACTIVE 3"/>
        <s v="Unit Linked A TR UNIPLAN"/>
        <s v="Unit Linked AMix UNIPLAN"/>
        <s v="UNIT LINKED E2 NEW"/>
        <s v="UNIT LINKED E3 NEW"/>
        <s v="UNIT LINKED E4 NEW"/>
        <s v="UNIT LINKED E6 NEW"/>
        <s v="UNIT LINKED G4 NEW"/>
        <s v="UNIT LINKED G5 NEW"/>
        <s v="Unit Linked OLD 4"/>
        <s v="Univalore E Strategia 20"/>
        <s v="Univalore E Strategia 30"/>
        <s v="Univalore E Strategia 40"/>
        <s v="Univalore E Strategia 70"/>
        <s v="Univalore Stars Balanced"/>
        <s v="PL Euro Bond over 3 years"/>
        <s v="CAM Agosto"/>
        <s v="CAM Aprile"/>
        <s v="CAM Dicembre"/>
        <s v="CAM Febbraio"/>
        <s v="CAM Gennaio"/>
        <s v="CAM Giugno"/>
        <s v="CAM Maggio"/>
        <s v="CAM Marzo"/>
        <s v="CAM Novembre"/>
        <s v="CAM Ottobre"/>
        <s v="CAM Settembre"/>
        <s v="CNP THEMATIC PROTECTION 80"/>
        <s v="CRV THEMATIC PROTECTION 80"/>
        <s v="CNP Dynamic Protection 80"/>
        <s v="CRV Dynamic Protection 80"/>
        <s v="CNP Protection 80"/>
        <s v="CRV Protection 80"/>
        <s v="UL Life Income"/>
        <s v="UL Life Income 360"/>
        <s v="Unit Linked Multi Equity Accumulation"/>
        <s v="Univalore Stars Income"/>
        <s v="CAM Luglio"/>
        <s v="UL_Bilanciata_+ERGO"/>
        <s v="UL_Dinamica ERGO"/>
        <s v="UL_Prudente ERGO"/>
        <s v="UL_Prudente_+ ERGO"/>
        <s v="CNP Linea Protetta Dinamica Plus"/>
        <s v="UL CAUTA"/>
        <s v="Unit Linked UN GOALS"/>
        <s v="Unit Linked Multi Asset Trend"/>
        <s v="Unit Linked Future Trend"/>
        <s v="Unit Linked Multi Thematic Global Eq"/>
        <s v="ASSET ALLOCATION MODEL PROTETTO 80"/>
        <s v="STEP CRESCITA"/>
        <s v="DISCRETIONARY INCOME ORIENTED PRODUCTS 3"/>
        <s v="DISCRETIONARY INCOME ORIENTED PRODUCTS 4"/>
        <s v="BB SECURITIES EURO GOVT CORE"/>
        <s v="BB SECURITIES EURO GOVT PERIPHERAL"/>
        <s v="BB SECURITIES EURO IG CREDIT"/>
        <s v="BB SECURITIES US TREASURY BOND"/>
        <s v="DISCRETIONARY INCOME ORIENTED PRODUCTS 1"/>
        <s v="DISCRETIONARY INCOME ORIENTED PRODUCTS 2"/>
        <s v="ASI - PROGETTO AZION MILLENNIALS II"/>
        <s v="ASI - PROGETTO AZION MILLENNIALS"/>
        <s v="Univalore Stars Growth - Comanaged with Fund Selection -"/>
        <s v="UNICREDIT SOLUZIONE 70 - A" u="1"/>
        <s v="UNICREDIT SOLUZIONE PAESI EMERGENTI - A" u="1"/>
        <s v="UNICREDIT EVOLUZIONE - TREND - A" u="1"/>
        <s v="UNICREDIT SOLUZIONE 20 - A" u="1"/>
        <s v="UNICREDIT SOLUZIONE 40 - A" u="1"/>
        <s v="ECONOMIA REALE - A" u="1"/>
        <s v="PACIFICA POCHE AI (Poche FRONT)" u="1"/>
        <s v="Green Way Market Neutral Master Fund" u="1"/>
        <s v="Amundi Innovazione Attiva - B" u="1"/>
        <s v="MYNEXT - PLAN - E" u="1"/>
        <s v="UNICREDIT EVOLUZIONE - REDDITO - A" u="1"/>
      </sharedItems>
    </cacheField>
    <cacheField name="Fund or Model" numFmtId="0">
      <sharedItems containsBlank="1"/>
    </cacheField>
    <cacheField name="On Original Risk List or Added by Ronan?" numFmtId="0">
      <sharedItems containsBlank="1"/>
    </cacheField>
    <cacheField name="On a List?" numFmtId="0">
      <sharedItems containsBlank="1"/>
    </cacheField>
    <cacheField name="Strategy Type" numFmtId="0">
      <sharedItems containsBlank="1"/>
    </cacheField>
    <cacheField name="Strategy Detail" numFmtId="0">
      <sharedItems containsBlank="1"/>
    </cacheField>
    <cacheField name="Macro Process" numFmtId="0">
      <sharedItems containsBlank="1" containsMixedTypes="1" containsNumber="1" containsInteger="1" minValue="0" maxValue="0"/>
    </cacheField>
    <cacheField name="Micro Process" numFmtId="0">
      <sharedItems containsBlank="1" containsMixedTypes="1" containsNumber="1" containsInteger="1" minValue="0" maxValue="0"/>
    </cacheField>
    <cacheField name="Investment team " numFmtId="0">
      <sharedItems containsBlank="1"/>
    </cacheField>
    <cacheField name="Portfolio Manager" numFmtId="0">
      <sharedItems containsBlank="1"/>
    </cacheField>
    <cacheField name="Family of Investment strategy" numFmtId="0">
      <sharedItems containsBlank="1"/>
    </cacheField>
    <cacheField name="Micro risk process name" numFmtId="0">
      <sharedItems containsBlank="1"/>
    </cacheField>
    <cacheField name="AuM in Audit File" numFmtId="164">
      <sharedItems containsString="0" containsBlank="1" containsNumber="1" minValue="0" maxValue="1639044963.34446"/>
    </cacheField>
    <cacheField name="AUM from our AUM 30 April 2020 file" numFmtId="164">
      <sharedItems containsBlank="1" containsMixedTypes="1" containsNumber="1" minValue="0" maxValue="1901251614"/>
    </cacheField>
    <cacheField name="Ronan Comment" numFmtId="0">
      <sharedItems containsBlank="1"/>
    </cacheField>
    <cacheField name="Aum from Jun file Old" numFmtId="43">
      <sharedItems containsBlank="1" containsMixedTypes="1" containsNumber="1" containsInteger="1" minValue="0" maxValue="0"/>
    </cacheField>
    <cacheField name="Aum from Jun file" numFmtId="0">
      <sharedItems containsString="0" containsBlank="1" containsNumber="1" minValue="0" maxValue="493807009.17000002"/>
    </cacheField>
    <cacheField name="Flows April" numFmtId="164">
      <sharedItems containsString="0" containsBlank="1" containsNumber="1" minValue="-136912235.76999998" maxValue="27952778.120000001"/>
    </cacheField>
    <cacheField name="AUM from our AUM 31st March 2020 file" numFmtId="164">
      <sharedItems containsBlank="1" containsMixedTypes="1" containsNumber="1" minValue="0" maxValue="1877332566"/>
    </cacheField>
    <cacheField name="AUM from our AUM Feb 2020 file in mln *" numFmtId="43">
      <sharedItems containsBlank="1" containsMixedTypes="1" containsNumber="1" minValue="0" maxValue="1877.332566"/>
    </cacheField>
    <cacheField name="Difference" numFmtId="164">
      <sharedItems containsBlank="1" containsMixedTypes="1" containsNumber="1" minValue="-138673632.38999999" maxValue="118681217.80999994"/>
    </cacheField>
    <cacheField name="Difference final" numFmtId="164">
      <sharedItems containsBlank="1" containsMixedTypes="1" containsNumber="1" minValue="-138673632.38999999" maxValue="118681217.80999994"/>
    </cacheField>
    <cacheField name="AUM from our AUM April 2020 file  in mln*" numFmtId="43">
      <sharedItems containsBlank="1" containsMixedTypes="1" containsNumber="1" minValue="0" maxValue="1901.251614"/>
    </cacheField>
    <cacheField name="Difference In AUM" numFmtId="43">
      <sharedItems containsBlank="1" containsMixedTypes="1" containsNumber="1" minValue="-138.67363238999999" maxValue="118.68121780999994"/>
    </cacheField>
    <cacheField name="Flows April mln" numFmtId="43">
      <sharedItems containsString="0" containsBlank="1" containsNumber="1" minValue="-136.91223576999997" maxValue="27.952778120000001"/>
    </cacheField>
    <cacheField name="AUM from our AUM April 2020 file Test" numFmtId="43">
      <sharedItems containsString="0" containsBlank="1" containsNumber="1" minValue="0" maxValue="10775.273010999999"/>
    </cacheField>
    <cacheField name="AUM from our AUM Feb 2019 file Test" numFmtId="0">
      <sharedItems containsBlank="1" containsMixedTypes="1" containsNumber="1" minValue="0" maxValue="13134.605716"/>
    </cacheField>
    <cacheField name="Difference Between Feb 2019 - April 2020" numFmtId="43">
      <sharedItems containsBlank="1" containsMixedTypes="1" containsNumber="1" minValue="-2359.3327050000007" maxValue="307.505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69560187" createdVersion="6" refreshedVersion="7" minRefreshableVersion="3" recordCount="120" xr:uid="{00000000-000A-0000-FFFF-FFFF02000000}">
  <cacheSource type="worksheet">
    <worksheetSource ref="A2:Z122" sheet="AUM Data Sheet Dublin"/>
  </cacheSource>
  <cacheFields count="26">
    <cacheField name="Decalog ID" numFmtId="0">
      <sharedItems containsBlank="1"/>
    </cacheField>
    <cacheField name="Yes or No" numFmtId="0">
      <sharedItems containsBlank="1"/>
    </cacheField>
    <cacheField name="Portfolios name" numFmtId="0">
      <sharedItems containsBlank="1"/>
    </cacheField>
    <cacheField name="Fund or Model" numFmtId="0">
      <sharedItems containsBlank="1"/>
    </cacheField>
    <cacheField name="On Original Risk List or Added by Ronan?" numFmtId="0">
      <sharedItems containsBlank="1"/>
    </cacheField>
    <cacheField name="On a List?" numFmtId="0">
      <sharedItems containsBlank="1"/>
    </cacheField>
    <cacheField name="Strategy Type" numFmtId="0">
      <sharedItems containsBlank="1" count="6">
        <s v="Allocation Driven Strategies"/>
        <s v="Outcome Oriented Strategies"/>
        <s v="Service Fund"/>
        <m/>
        <s v="Total Bln" u="1"/>
        <s v="Total" u="1"/>
      </sharedItems>
    </cacheField>
    <cacheField name="Strategy Detail" numFmtId="0">
      <sharedItems containsBlank="1" count="15">
        <s v="Moderate"/>
        <s v="Conservative"/>
        <s v="Growth"/>
        <s v="Risk Accumulation"/>
        <s v="Income"/>
        <s v="Thematic"/>
        <s v="Flexible"/>
        <m/>
        <s v="Bond"/>
        <s v="Equity"/>
        <s v="Capital Protection"/>
        <s v="Capital Guaranteed"/>
        <s v="Inflation Aware" u="1"/>
        <s v="Alternative" u="1"/>
        <s v="Total" u="1"/>
      </sharedItems>
    </cacheField>
    <cacheField name="Macro Process" numFmtId="0">
      <sharedItems containsBlank="1" containsMixedTypes="1" containsNumber="1" containsInteger="1" minValue="0" maxValue="0"/>
    </cacheField>
    <cacheField name="Micro Process" numFmtId="0">
      <sharedItems containsBlank="1" containsMixedTypes="1" containsNumber="1" containsInteger="1" minValue="0" maxValue="0"/>
    </cacheField>
    <cacheField name="Investment team " numFmtId="0">
      <sharedItems containsBlank="1"/>
    </cacheField>
    <cacheField name="Portfolio Manager" numFmtId="0">
      <sharedItems containsBlank="1"/>
    </cacheField>
    <cacheField name="Family of Investment strategy" numFmtId="0">
      <sharedItems containsBlank="1"/>
    </cacheField>
    <cacheField name="Micro risk process name" numFmtId="0">
      <sharedItems containsBlank="1"/>
    </cacheField>
    <cacheField name="AuM in Audit File" numFmtId="164">
      <sharedItems containsString="0" containsBlank="1" containsNumber="1" minValue="0" maxValue="1639044963.34446"/>
    </cacheField>
    <cacheField name="AUM from our AUM 30 April 2020 file" numFmtId="164">
      <sharedItems containsBlank="1" containsMixedTypes="1" containsNumber="1" minValue="0" maxValue="1901251614"/>
    </cacheField>
    <cacheField name="Ronan Comment" numFmtId="0">
      <sharedItems containsBlank="1"/>
    </cacheField>
    <cacheField name="Aum from Jun file Old" numFmtId="43">
      <sharedItems containsBlank="1" containsMixedTypes="1" containsNumber="1" containsInteger="1" minValue="0" maxValue="0"/>
    </cacheField>
    <cacheField name="Aum from Jun file" numFmtId="0">
      <sharedItems containsString="0" containsBlank="1" containsNumber="1" minValue="0" maxValue="493807009.17000002"/>
    </cacheField>
    <cacheField name="Flows April" numFmtId="164">
      <sharedItems containsString="0" containsBlank="1" containsNumber="1" minValue="-136912235.76999998" maxValue="27952778.120000001"/>
    </cacheField>
    <cacheField name="AUM from our AUM 31st March 2020 file" numFmtId="164">
      <sharedItems containsBlank="1" containsMixedTypes="1" containsNumber="1" minValue="0" maxValue="1877332566"/>
    </cacheField>
    <cacheField name="AUM from our AUM Feb 2020 file in mln *" numFmtId="43">
      <sharedItems containsBlank="1" containsMixedTypes="1" containsNumber="1" minValue="0" maxValue="1877.332566"/>
    </cacheField>
    <cacheField name="Difference" numFmtId="164">
      <sharedItems containsBlank="1" containsMixedTypes="1" containsNumber="1" minValue="-138673632.38999999" maxValue="118681217.80999994"/>
    </cacheField>
    <cacheField name="Difference final" numFmtId="164">
      <sharedItems containsBlank="1" containsMixedTypes="1" containsNumber="1" minValue="-138673632.38999999" maxValue="118681217.80999994"/>
    </cacheField>
    <cacheField name="AUM from our AUM April 2020 file  in mln*" numFmtId="43">
      <sharedItems containsBlank="1" containsMixedTypes="1" containsNumber="1" minValue="0" maxValue="1901.251614"/>
    </cacheField>
    <cacheField name="Difference In AUM" numFmtId="43">
      <sharedItems containsBlank="1" containsMixedTypes="1" containsNumber="1" minValue="-138.67363238999999" maxValue="118.68121780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70254633" createdVersion="6" refreshedVersion="7" minRefreshableVersion="3" recordCount="120" xr:uid="{00000000-000A-0000-FFFF-FFFF01000000}">
  <cacheSource type="worksheet">
    <worksheetSource ref="A2:Z122" sheet="AUM Data Sheet Dublin"/>
  </cacheSource>
  <cacheFields count="26">
    <cacheField name="Decalog ID" numFmtId="0">
      <sharedItems containsBlank="1"/>
    </cacheField>
    <cacheField name="Yes or No" numFmtId="0">
      <sharedItems containsBlank="1"/>
    </cacheField>
    <cacheField name="Portfolios name" numFmtId="0">
      <sharedItems containsBlank="1" count="134">
        <s v="AMUNDI FUND SOLUTIONS - BALANCED"/>
        <s v="AMUNDI FUND SOLUTIONS - CONSERVATIVE"/>
        <s v="AMUNDI FUND SOLUTIONS - DIVERSIFIED GROWTH - A"/>
        <s v="AFS ICAV Planet ESG Balanced"/>
        <s v="AFS ICAV Planet ESG Conservative "/>
        <s v="AFS ICAV Planet ESG Dynamic "/>
        <s v="AMUNDI SOLUZIONI ITALIA - PROGETTO AZIONE CAMBIAMENTO CLIMATICO - E"/>
        <s v="ASI - PROGETTO AZIONE FUTURO GREEN"/>
        <s v="AMUNDI UNICREDIT PREM PORT- PRUDENTIAL"/>
        <s v="AMUNDI UNICREDIT PREMIUM PORT - DYNAMIC"/>
        <s v="AMUNDI UNICREDIT PREM PORT- MULTI ASSET"/>
        <s v="THE TRUSTHOUSE FDN CPI+4% MULTI-AST PTF"/>
        <s v="AMUNDI-FUNDACION CAJA NAVARRA DYNAMIC"/>
        <s v="AMUNDI ELITE THEMATIC MULTI ASSET"/>
        <s v="PI INVESTMENT FUNDS - DYNAMIC ALLOCATION FUND - E"/>
        <s v="AMUNDI FUND SOLUTIONS - SABADELL URQUIJO ACUMULACION"/>
        <s v="AMUNDI FUND SOLUTIONS - SABADELL URQUIJO CRECIMIENTO"/>
        <s v="AMUNDI SOLUZIONI ITALIA - PROGETTO AZIONE INFRASTRUTTURE SOSTENIBILI"/>
        <s v="AMUNDI SOLUZIONI ITALIA - PROGETTO AZIONE INFRASTRUTTURE SOSTENIBILI (II)"/>
        <s v="AMUNDI SENTIERO SOSTENIBILE"/>
        <s v="SAXO EUROPE"/>
        <m/>
        <s v="Amundi Invensys Broad Bond Portfolio"/>
        <s v="AMUNDI SOLUZIONI ITALIA - PROGETTO AZIONE CAMBIAMENTO CLIMATICO (II) - E"/>
        <s v="AMUNDI SOLUZIONI ITALIA - PROGETTO AZIONE MEGATREND - E"/>
        <s v="AMUNDI SOLUZIONI ITALIA - PROGETTO AZIONE MEGATREND (II) - E"/>
        <s v="ASI - PROGETTO AZIONE ENERGY TRANSITION"/>
        <s v="ASI - PROGETTO AZIONE ENERGY TRANSITION (II)"/>
        <s v="PI INVESTMENT FUNDS - TACTICAL ALLOCATION PILLAR - E"/>
        <s v="PI INVESTMENT FUNDS - TACTICAL ALLOCATION BOND FUND - H"/>
        <s v="UL Global Equity Dividend &amp; Subordinated"/>
        <s v="Amundi Env and Climate Change Sol Fund"/>
        <s v="Unidiamond + Azionaria America"/>
        <s v="Life Program Azionario Pacifico"/>
        <s v="Unidiamond + Azionaria Intl"/>
        <s v="PI INVESTMENT FUNDS - TACTICAL ALLOCATION FUND - H"/>
        <s v="Amundi Fund Solutions - Diversified Income Best Select 2022"/>
        <s v="CAM ARES RISPARMIO ATTIVO M"/>
        <s v="CAM ARES RISPARMIO BILANCIATO M"/>
        <s v="CAM ARES RISPARMIO OBBLIGAZ. M"/>
        <s v="CAM CNP - LINEA  DINAMICA"/>
        <s v="CAM CRESCITA"/>
        <s v="CAM MEDIUM"/>
        <s v="CAM OBBLIGAZIONARIA EURO"/>
        <s v="CAM REDDITO"/>
        <s v="CAM STEP ONE"/>
        <s v="CAM SVILUPPO"/>
        <s v="CAM TREND 20"/>
        <s v="Life Program Bond"/>
        <s v="Life Program Flessibile"/>
        <s v="PL Euro Bond 1 to 3 years"/>
        <s v="PL Income Clock"/>
        <s v="UL BILANCIATA"/>
        <s v="UL BILANCIATA PIU"/>
        <s v="UL DINAMICA"/>
        <s v="UL PRUDENTE"/>
        <s v="UL PRUDENTE PIU"/>
        <s v="UNIFLEX ACTIVE 1"/>
        <s v="UNIFLEX ACTIVE 2"/>
        <s v="UNIFLEX ACTIVE 3"/>
        <s v="Unit Linked A TR UNIPLAN"/>
        <s v="Unit Linked AMix UNIPLAN"/>
        <s v="UNIT LINKED E2 NEW"/>
        <s v="UNIT LINKED E3 NEW"/>
        <s v="UNIT LINKED E4 NEW"/>
        <s v="UNIT LINKED E6 NEW"/>
        <s v="UNIT LINKED G4 NEW"/>
        <s v="UNIT LINKED G5 NEW"/>
        <s v="Unit Linked OLD 4"/>
        <s v="Univalore E Strategia 20"/>
        <s v="Univalore E Strategia 30"/>
        <s v="Univalore E Strategia 40"/>
        <s v="Univalore E Strategia 70"/>
        <s v="Univalore Stars Balanced"/>
        <s v="PL Euro Bond over 3 years"/>
        <s v="CAM Agosto"/>
        <s v="CAM Aprile"/>
        <s v="CAM Dicembre"/>
        <s v="CAM Febbraio"/>
        <s v="CAM Gennaio"/>
        <s v="CAM Giugno"/>
        <s v="CAM Maggio"/>
        <s v="CAM Marzo"/>
        <s v="CAM Novembre"/>
        <s v="CAM Ottobre"/>
        <s v="CAM Settembre"/>
        <s v="CNP THEMATIC PROTECTION 80"/>
        <s v="CRV THEMATIC PROTECTION 80"/>
        <s v="CNP Dynamic Protection 80"/>
        <s v="CRV Dynamic Protection 80"/>
        <s v="CNP Protection 80"/>
        <s v="CRV Protection 80"/>
        <s v="UL Life Income"/>
        <s v="UL Life Income 360"/>
        <s v="Unit Linked Multi Equity Accumulation"/>
        <s v="Univalore Stars Income"/>
        <s v="CAM Luglio"/>
        <s v="UL_Bilanciata_+ERGO"/>
        <s v="UL_Dinamica ERGO"/>
        <s v="UL_Prudente ERGO"/>
        <s v="UL_Prudente_+ ERGO"/>
        <s v="CNP Linea Protetta Dinamica Plus"/>
        <s v="UL CAUTA"/>
        <s v="Unit Linked UN GOALS"/>
        <s v="Unit Linked Multi Asset Trend"/>
        <s v="Unit Linked Future Trend"/>
        <s v="Unit Linked Multi Thematic Global Eq"/>
        <s v="ASSET ALLOCATION MODEL PROTETTO 80"/>
        <s v="STEP CRESCITA"/>
        <s v="DISCRETIONARY INCOME ORIENTED PRODUCTS 3"/>
        <s v="DISCRETIONARY INCOME ORIENTED PRODUCTS 4"/>
        <s v="BB SECURITIES EURO GOVT CORE"/>
        <s v="BB SECURITIES EURO GOVT PERIPHERAL"/>
        <s v="BB SECURITIES EURO IG CREDIT"/>
        <s v="BB SECURITIES US TREASURY BOND"/>
        <s v="DISCRETIONARY INCOME ORIENTED PRODUCTS 1"/>
        <s v="DISCRETIONARY INCOME ORIENTED PRODUCTS 2"/>
        <s v="ASI - PROGETTO AZION MILLENNIALS II"/>
        <s v="ASI - PROGETTO AZION MILLENNIALS"/>
        <s v="Univalore Stars Growth - Comanaged with Fund Selection -"/>
        <s v="UNICREDIT SOLUZIONE 70 - A" u="1"/>
        <s v="UNICREDIT SOLUZIONE PAESI EMERGENTI - A" u="1"/>
        <s v="UNICREDIT EVOLUZIONE - TREND - A" u="1"/>
        <s v="UNICREDIT SOLUZIONE 20 - A" u="1"/>
        <s v="UNICREDIT SOLUZIONE 40 - A" u="1"/>
        <s v="ECONOMIA REALE - A" u="1"/>
        <s v="PACIFICA POCHE AI (Poche FRONT)" u="1"/>
        <s v="Green Way Market Neutral Master Fund" u="1"/>
        <s v="Amundi Innovazione Attiva - B" u="1"/>
        <s v="MYNEXT - PLAN - E" u="1"/>
        <s v="UNICREDIT EVOLUZIONE - REDDITO - A" u="1"/>
        <s v="MYNEXT - EQUITY - A" u="1"/>
        <s v="MYNEXT - BOND - A" u="1"/>
        <s v="MYNEXT - MULTI-ASSET - A" u="1"/>
      </sharedItems>
    </cacheField>
    <cacheField name="Fund or Model" numFmtId="0">
      <sharedItems containsBlank="1"/>
    </cacheField>
    <cacheField name="On Original Risk List or Added by Ronan?" numFmtId="0">
      <sharedItems containsBlank="1"/>
    </cacheField>
    <cacheField name="On a List?" numFmtId="0">
      <sharedItems containsBlank="1"/>
    </cacheField>
    <cacheField name="Strategy Type" numFmtId="0">
      <sharedItems containsBlank="1"/>
    </cacheField>
    <cacheField name="Strategy Detail" numFmtId="0">
      <sharedItems containsBlank="1"/>
    </cacheField>
    <cacheField name="Macro Process" numFmtId="0">
      <sharedItems containsBlank="1" containsMixedTypes="1" containsNumber="1" containsInteger="1" minValue="0" maxValue="0"/>
    </cacheField>
    <cacheField name="Micro Process" numFmtId="0">
      <sharedItems containsBlank="1" containsMixedTypes="1" containsNumber="1" containsInteger="1" minValue="0" maxValue="0"/>
    </cacheField>
    <cacheField name="Investment team " numFmtId="0">
      <sharedItems containsBlank="1"/>
    </cacheField>
    <cacheField name="Portfolio Manager" numFmtId="0">
      <sharedItems containsBlank="1"/>
    </cacheField>
    <cacheField name="Family of Investment strategy" numFmtId="0">
      <sharedItems containsBlank="1"/>
    </cacheField>
    <cacheField name="Micro risk process name" numFmtId="0">
      <sharedItems containsBlank="1"/>
    </cacheField>
    <cacheField name="AuM in Audit File" numFmtId="164">
      <sharedItems containsString="0" containsBlank="1" containsNumber="1" minValue="0" maxValue="1639044963.34446"/>
    </cacheField>
    <cacheField name="AUM from our AUM 30 April 2020 file" numFmtId="164">
      <sharedItems containsBlank="1" containsMixedTypes="1" containsNumber="1" minValue="0" maxValue="1901251614"/>
    </cacheField>
    <cacheField name="Ronan Comment" numFmtId="0">
      <sharedItems containsBlank="1"/>
    </cacheField>
    <cacheField name="Aum from Jun file Old" numFmtId="43">
      <sharedItems containsBlank="1" containsMixedTypes="1" containsNumber="1" containsInteger="1" minValue="0" maxValue="0"/>
    </cacheField>
    <cacheField name="Aum from Jun file" numFmtId="0">
      <sharedItems containsString="0" containsBlank="1" containsNumber="1" minValue="0" maxValue="493807009.17000002"/>
    </cacheField>
    <cacheField name="Flows April" numFmtId="164">
      <sharedItems containsString="0" containsBlank="1" containsNumber="1" minValue="-136912235.76999998" maxValue="27952778.120000001"/>
    </cacheField>
    <cacheField name="AUM from our AUM 31st March 2020 file" numFmtId="164">
      <sharedItems containsBlank="1" containsMixedTypes="1" containsNumber="1" minValue="0" maxValue="1877332566"/>
    </cacheField>
    <cacheField name="AUM from our AUM Feb 2020 file in mln *" numFmtId="43">
      <sharedItems containsBlank="1" containsMixedTypes="1" containsNumber="1" minValue="0" maxValue="1877.332566"/>
    </cacheField>
    <cacheField name="Difference" numFmtId="164">
      <sharedItems containsBlank="1" containsMixedTypes="1" containsNumber="1" minValue="-138673632.38999999" maxValue="118681217.80999994"/>
    </cacheField>
    <cacheField name="Difference final" numFmtId="164">
      <sharedItems containsBlank="1" containsMixedTypes="1" containsNumber="1" minValue="-138673632.38999999" maxValue="118681217.80999994"/>
    </cacheField>
    <cacheField name="AUM from our AUM April 2020 file  in mln*" numFmtId="43">
      <sharedItems containsBlank="1" containsMixedTypes="1" containsNumber="1" minValue="0" maxValue="1901.251614"/>
    </cacheField>
    <cacheField name="Difference In AUM" numFmtId="43">
      <sharedItems containsBlank="1" containsMixedTypes="1" containsNumber="1" minValue="-138.67363238999999" maxValue="118.68121780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71180557" createdVersion="6" refreshedVersion="7" minRefreshableVersion="3" recordCount="120" xr:uid="{00000000-000A-0000-FFFF-FFFF00000000}">
  <cacheSource type="worksheet">
    <worksheetSource ref="A2:X122" sheet="AUM Data Sheet Dublin"/>
  </cacheSource>
  <cacheFields count="24">
    <cacheField name="Decalog ID" numFmtId="0">
      <sharedItems containsBlank="1" count="131">
        <s v="E142"/>
        <s v="E143"/>
        <s v="E144"/>
        <s v="PF101376"/>
        <s v="PF101372"/>
        <s v="PF101380"/>
        <s v="PF78195"/>
        <s v="PF103025"/>
        <s v="E118"/>
        <s v="E119"/>
        <s v="E120"/>
        <s v="PF115036"/>
        <s v="PF204806"/>
        <s v="PF88524"/>
        <s v="E209"/>
        <s v="PF87100"/>
        <s v="PF87115"/>
        <s v="PF92127"/>
        <s v="PF95239"/>
        <s v="PF201311"/>
        <s v="SAXO"/>
        <m/>
        <s v="PSUKLD1"/>
        <s v="PF79139"/>
        <s v="PF71664"/>
        <s v="PF76580"/>
        <s v="PF88300"/>
        <s v="PF89408"/>
        <s v="E224"/>
        <s v="E208"/>
        <s v="ULECSTARS"/>
        <s v="F100123"/>
        <s v="UDM6"/>
        <s v="UDM7"/>
        <s v="UDM9"/>
        <s v="E207"/>
        <s v="E193"/>
        <s v="1PM"/>
        <s v="1QM"/>
        <s v="1RM"/>
        <s v="R1M"/>
        <s v="CCRESCITA"/>
        <s v="CMEDIUM"/>
        <s v="COBBLEURO"/>
        <s v="CREDDITO"/>
        <s v="STEPONE"/>
        <s v="CSVILUPPO"/>
        <s v="CTREND_20"/>
        <s v="MLIFEBND"/>
        <s v="MLPFLEX"/>
        <s v="PP1-3Y"/>
        <s v="PLIC"/>
        <s v="ULBIL"/>
        <s v="ULBILPIU"/>
        <s v="ULDIN"/>
        <s v="ULP"/>
        <s v="ULPRUD"/>
        <s v="DINAR1TF"/>
        <s v="DINAR2TF"/>
        <s v="DINAR3TF"/>
        <s v="MATRUNIP"/>
        <s v="MUNIP"/>
        <s v="MEPF2N"/>
        <s v="MEPF5"/>
        <s v="MEPF6"/>
        <s v="MEPF8"/>
        <s v="ULG4NEW"/>
        <s v="MEPF10"/>
        <s v="MEPF4"/>
        <s v="UES20"/>
        <s v="UES30"/>
        <s v="UES40"/>
        <s v="UES70"/>
        <s v="UES50"/>
        <s v="PP3Y"/>
        <s v="MAL"/>
        <s v="MAF"/>
        <s v="MAB"/>
        <s v="MAD"/>
        <s v="MAC"/>
        <s v="MAH"/>
        <s v="MAG"/>
        <s v="MAE"/>
        <s v="MAA"/>
        <s v="MAN"/>
        <s v="MAM"/>
        <s v="CNPTHEMPROT"/>
        <s v="CRVTHEMPROT"/>
        <s v="CNPDYNPR80"/>
        <s v="CRVDYNPR80"/>
        <s v="CNPPROT80"/>
        <s v="CRVPROT80"/>
        <s v="MLINC"/>
        <s v="MULLI360"/>
        <s v="ULACCO"/>
        <s v="MUSI"/>
        <s v="PMAI"/>
        <s v="ULBER-"/>
        <s v="ULDER"/>
        <s v="ULPER"/>
        <s v="ULP-ER"/>
        <s v="R2M"/>
        <s v="ULC"/>
        <s v="UNGOALS"/>
        <s v="ULMATREND"/>
        <s v="ULFTREND "/>
        <s v="Multhem"/>
        <s v="AAPROT80"/>
        <s v="MULSTEP"/>
        <s v="DIOP3"/>
        <s v="DIOP4"/>
        <s v="BBSECCORE"/>
        <s v="BBSECPERIPH"/>
        <s v="BBSECEURIG"/>
        <s v="BBSECUSTBOND"/>
        <s v="DIOP 1"/>
        <s v="DIOP 2"/>
        <s v="PF82304"/>
        <s v="PF80513"/>
        <s v="MUSG"/>
        <s v="U2" u="1"/>
        <s v="U17" u="1"/>
        <s v="U6" u="1"/>
        <s v="U1" u="1"/>
        <s v="PACIFAI" u="1"/>
        <s v="HF11" u="1"/>
        <s v="PU3" u="1"/>
        <s v="E169" u="1"/>
        <s v="U13" u="1"/>
        <s v="U14" u="1"/>
        <s v="U15" u="1"/>
      </sharedItems>
    </cacheField>
    <cacheField name="Yes or No" numFmtId="0">
      <sharedItems containsBlank="1"/>
    </cacheField>
    <cacheField name="Portfolios name" numFmtId="0">
      <sharedItems containsBlank="1"/>
    </cacheField>
    <cacheField name="Fund or Model" numFmtId="0">
      <sharedItems containsBlank="1"/>
    </cacheField>
    <cacheField name="On Original Risk List or Added by Ronan?" numFmtId="0">
      <sharedItems containsBlank="1"/>
    </cacheField>
    <cacheField name="On a List?" numFmtId="0">
      <sharedItems containsBlank="1"/>
    </cacheField>
    <cacheField name="Strategy Type" numFmtId="0">
      <sharedItems containsBlank="1" count="5">
        <s v="Allocation Driven Strategies"/>
        <s v="Outcome Oriented Strategies"/>
        <s v="Service Fund"/>
        <m/>
        <s v="Allocation Driven Strategy" u="1"/>
      </sharedItems>
    </cacheField>
    <cacheField name="Strategy Detail" numFmtId="0">
      <sharedItems containsBlank="1" count="15">
        <s v="Moderate"/>
        <s v="Conservative"/>
        <s v="Growth"/>
        <s v="Risk Accumulation"/>
        <s v="Income"/>
        <s v="Thematic"/>
        <s v="Flexible"/>
        <m/>
        <s v="Bond"/>
        <s v="Equity"/>
        <s v="Capital Protection"/>
        <s v="Capital Guaranteed"/>
        <s v="Balanced" u="1"/>
        <s v="Inflation Aware" u="1"/>
        <s v="Alternative" u="1"/>
      </sharedItems>
    </cacheField>
    <cacheField name="Macro Process" numFmtId="0">
      <sharedItems containsBlank="1" containsMixedTypes="1" containsNumber="1" containsInteger="1" minValue="0" maxValue="0"/>
    </cacheField>
    <cacheField name="Micro Process" numFmtId="0">
      <sharedItems containsBlank="1" containsMixedTypes="1" containsNumber="1" containsInteger="1" minValue="0" maxValue="0"/>
    </cacheField>
    <cacheField name="Investment team " numFmtId="0">
      <sharedItems containsBlank="1"/>
    </cacheField>
    <cacheField name="Portfolio Manager" numFmtId="0">
      <sharedItems containsBlank="1"/>
    </cacheField>
    <cacheField name="Family of Investment strategy" numFmtId="0">
      <sharedItems containsBlank="1"/>
    </cacheField>
    <cacheField name="Micro risk process name" numFmtId="0">
      <sharedItems containsBlank="1"/>
    </cacheField>
    <cacheField name="AuM in Audit File" numFmtId="164">
      <sharedItems containsString="0" containsBlank="1" containsNumber="1" minValue="0" maxValue="1639044963.34446"/>
    </cacheField>
    <cacheField name="AUM from our AUM 30 April 2020 file" numFmtId="164">
      <sharedItems containsBlank="1" containsMixedTypes="1" containsNumber="1" minValue="0" maxValue="1901251614"/>
    </cacheField>
    <cacheField name="Ronan Comment" numFmtId="0">
      <sharedItems containsBlank="1"/>
    </cacheField>
    <cacheField name="Aum from Jun file Old" numFmtId="43">
      <sharedItems containsBlank="1" containsMixedTypes="1" containsNumber="1" containsInteger="1" minValue="0" maxValue="0"/>
    </cacheField>
    <cacheField name="Aum from Jun file" numFmtId="0">
      <sharedItems containsString="0" containsBlank="1" containsNumber="1" minValue="0" maxValue="493807009.17000002"/>
    </cacheField>
    <cacheField name="Flows April" numFmtId="164">
      <sharedItems containsString="0" containsBlank="1" containsNumber="1" minValue="-136912235.76999998" maxValue="27952778.120000001"/>
    </cacheField>
    <cacheField name="AUM from our AUM 31st March 2020 file" numFmtId="164">
      <sharedItems containsBlank="1" containsMixedTypes="1" containsNumber="1" minValue="0" maxValue="1877332566"/>
    </cacheField>
    <cacheField name="AUM from our AUM Feb 2020 file in mln *" numFmtId="43">
      <sharedItems containsBlank="1" containsMixedTypes="1" containsNumber="1" minValue="0" maxValue="1877.332566"/>
    </cacheField>
    <cacheField name="Difference" numFmtId="164">
      <sharedItems containsBlank="1" containsMixedTypes="1" containsNumber="1" minValue="-138673632.38999999" maxValue="118681217.80999994"/>
    </cacheField>
    <cacheField name="Difference final" numFmtId="164">
      <sharedItems containsBlank="1" containsMixedTypes="1" containsNumber="1" minValue="-138673632.38999999" maxValue="118681217.80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49.702471990742" createdVersion="6" refreshedVersion="7" minRefreshableVersion="3" recordCount="121" xr:uid="{00000000-000A-0000-FFFF-FFFF06000000}">
  <cacheSource type="worksheet">
    <worksheetSource ref="A2:AD123" sheet="AUM Data Sheet Dublin"/>
  </cacheSource>
  <cacheFields count="30">
    <cacheField name="Decalog ID" numFmtId="0">
      <sharedItems containsBlank="1"/>
    </cacheField>
    <cacheField name="Yes or No" numFmtId="0">
      <sharedItems containsBlank="1"/>
    </cacheField>
    <cacheField name="Portfolios name" numFmtId="0">
      <sharedItems containsBlank="1" count="122">
        <s v="AMUNDI FUND SOLUTIONS - BALANCED"/>
        <s v="AMUNDI FUND SOLUTIONS - CONSERVATIVE"/>
        <s v="AMUNDI FUND SOLUTIONS - DIVERSIFIED GROWTH - A"/>
        <s v="AFS ICAV Planet ESG Balanced"/>
        <s v="AFS ICAV Planet ESG Conservative "/>
        <s v="AFS ICAV Planet ESG Dynamic "/>
        <s v="AMUNDI SOLUZIONI ITALIA - PROGETTO AZIONE CAMBIAMENTO CLIMATICO - E"/>
        <s v="ASI - PROGETTO AZIONE FUTURO GREEN"/>
        <s v="AMUNDI UNICREDIT PREM PORT- PRUDENTIAL"/>
        <s v="AMUNDI UNICREDIT PREMIUM PORT - DYNAMIC"/>
        <s v="AMUNDI UNICREDIT PREM PORT- MULTI ASSET"/>
        <s v="THE TRUSTHOUSE FDN CPI+4% MULTI-AST PTF"/>
        <s v="AMUNDI-FUNDACION CAJA NAVARRA DYNAMIC"/>
        <s v="AMUNDI ELITE THEMATIC MULTI ASSET"/>
        <s v="PI INVESTMENT FUNDS - DYNAMIC ALLOCATION FUND - E"/>
        <s v="AMUNDI FUND SOLUTIONS - SABADELL URQUIJO ACUMULACION"/>
        <s v="AMUNDI FUND SOLUTIONS - SABADELL URQUIJO CRECIMIENTO"/>
        <s v="AMUNDI SOLUZIONI ITALIA - PROGETTO AZIONE INFRASTRUTTURE SOSTENIBILI"/>
        <s v="AMUNDI SOLUZIONI ITALIA - PROGETTO AZIONE INFRASTRUTTURE SOSTENIBILI (II)"/>
        <s v="AMUNDI SENTIERO SOSTENIBILE"/>
        <s v="SAXO EUROPE"/>
        <m/>
        <s v="Amundi Invensys Broad Bond Portfolio"/>
        <s v="AMUNDI SOLUZIONI ITALIA - PROGETTO AZIONE CAMBIAMENTO CLIMATICO (II) - E"/>
        <s v="AMUNDI SOLUZIONI ITALIA - PROGETTO AZIONE MEGATREND - E"/>
        <s v="AMUNDI SOLUZIONI ITALIA - PROGETTO AZIONE MEGATREND (II) - E"/>
        <s v="ASI - PROGETTO AZIONE ENERGY TRANSITION"/>
        <s v="ASI - PROGETTO AZIONE ENERGY TRANSITION (II)"/>
        <s v="PI INVESTMENT FUNDS - TACTICAL ALLOCATION PILLAR - E"/>
        <s v="PI INVESTMENT FUNDS - TACTICAL ALLOCATION BOND FUND - H"/>
        <s v="UL Global Equity Dividend &amp; Subordinated"/>
        <s v="Amundi Env and Climate Change Sol Fund"/>
        <s v="Unidiamond + Azionaria America"/>
        <s v="Life Program Azionario Pacifico"/>
        <s v="Unidiamond + Azionaria Intl"/>
        <s v="PI INVESTMENT FUNDS - TACTICAL ALLOCATION FUND - H"/>
        <s v="Amundi Fund Solutions - Diversified Income Best Select 2022"/>
        <s v="CAM ARES RISPARMIO ATTIVO M"/>
        <s v="CAM ARES RISPARMIO BILANCIATO M"/>
        <s v="CAM ARES RISPARMIO OBBLIGAZ. M"/>
        <s v="CAM CNP - LINEA  DINAMICA"/>
        <s v="CAM CRESCITA"/>
        <s v="CAM MEDIUM"/>
        <s v="CAM OBBLIGAZIONARIA EURO"/>
        <s v="CAM REDDITO"/>
        <s v="CAM STEP ONE"/>
        <s v="CAM SVILUPPO"/>
        <s v="CAM TREND 20"/>
        <s v="Life Program Bond"/>
        <s v="Life Program Flessibile"/>
        <s v="PL Euro Bond 1 to 3 years"/>
        <s v="PL Income Clock"/>
        <s v="UL BILANCIATA"/>
        <s v="UL BILANCIATA PIU"/>
        <s v="UL DINAMICA"/>
        <s v="UL PRUDENTE"/>
        <s v="UL PRUDENTE PIU"/>
        <s v="UNIFLEX ACTIVE 1"/>
        <s v="UNIFLEX ACTIVE 2"/>
        <s v="UNIFLEX ACTIVE 3"/>
        <s v="Unit Linked A TR UNIPLAN"/>
        <s v="Unit Linked AMix UNIPLAN"/>
        <s v="UNIT LINKED E2 NEW"/>
        <s v="UNIT LINKED E3 NEW"/>
        <s v="UNIT LINKED E4 NEW"/>
        <s v="UNIT LINKED E6 NEW"/>
        <s v="UNIT LINKED G4 NEW"/>
        <s v="UNIT LINKED G5 NEW"/>
        <s v="Unit Linked OLD 4"/>
        <s v="Univalore E Strategia 20"/>
        <s v="Univalore E Strategia 30"/>
        <s v="Univalore E Strategia 40"/>
        <s v="Univalore E Strategia 70"/>
        <s v="Univalore Stars Balanced"/>
        <s v="PL Euro Bond over 3 years"/>
        <s v="CAM Agosto"/>
        <s v="CAM Aprile"/>
        <s v="CAM Dicembre"/>
        <s v="CAM Febbraio"/>
        <s v="CAM Gennaio"/>
        <s v="CAM Giugno"/>
        <s v="CAM Maggio"/>
        <s v="CAM Marzo"/>
        <s v="CAM Novembre"/>
        <s v="CAM Ottobre"/>
        <s v="CAM Settembre"/>
        <s v="CNP THEMATIC PROTECTION 80"/>
        <s v="CRV THEMATIC PROTECTION 80"/>
        <s v="CNP Dynamic Protection 80"/>
        <s v="CRV Dynamic Protection 80"/>
        <s v="CNP Protection 80"/>
        <s v="CRV Protection 80"/>
        <s v="UL Life Income"/>
        <s v="UL Life Income 360"/>
        <s v="Unit Linked Multi Equity Accumulation"/>
        <s v="Univalore Stars Income"/>
        <s v="CAM Luglio"/>
        <s v="UL_Bilanciata_+ERGO"/>
        <s v="UL_Dinamica ERGO"/>
        <s v="UL_Prudente ERGO"/>
        <s v="UL_Prudente_+ ERGO"/>
        <s v="CNP Linea Protetta Dinamica Plus"/>
        <s v="UL CAUTA"/>
        <s v="Unit Linked UN GOALS"/>
        <s v="Unit Linked Multi Asset Trend"/>
        <s v="Unit Linked Future Trend"/>
        <s v="Unit Linked Multi Thematic Global Eq"/>
        <s v="ASSET ALLOCATION MODEL PROTETTO 80"/>
        <s v="STEP CRESCITA"/>
        <s v="DISCRETIONARY INCOME ORIENTED PRODUCTS 3"/>
        <s v="DISCRETIONARY INCOME ORIENTED PRODUCTS 4"/>
        <s v="BB SECURITIES EURO GOVT CORE"/>
        <s v="BB SECURITIES EURO GOVT PERIPHERAL"/>
        <s v="BB SECURITIES EURO IG CREDIT"/>
        <s v="BB SECURITIES US TREASURY BOND"/>
        <s v="DISCRETIONARY INCOME ORIENTED PRODUCTS 1"/>
        <s v="DISCRETIONARY INCOME ORIENTED PRODUCTS 2"/>
        <s v="ASI - PROGETTO AZION MILLENNIALS II"/>
        <s v="ASI - PROGETTO AZION MILLENNIALS"/>
        <s v="Univalore Stars Growth - Comanaged with Fund Selection -"/>
        <s v="PACIFICA POCHE AI (Poche FRONT)" u="1"/>
        <s v="UNICREDIT EVOLUZIONE - REDDITO - A" u="1"/>
      </sharedItems>
    </cacheField>
    <cacheField name="Fund or Model" numFmtId="0">
      <sharedItems containsBlank="1"/>
    </cacheField>
    <cacheField name="On Original Risk List or Added by Ronan?" numFmtId="0">
      <sharedItems containsBlank="1"/>
    </cacheField>
    <cacheField name="On a List?" numFmtId="0">
      <sharedItems containsBlank="1"/>
    </cacheField>
    <cacheField name="Strategy Type" numFmtId="0">
      <sharedItems containsBlank="1"/>
    </cacheField>
    <cacheField name="Strategy Detail" numFmtId="0">
      <sharedItems containsBlank="1" count="14">
        <s v="Moderate"/>
        <s v="Conservative"/>
        <s v="Growth"/>
        <s v="Risk Accumulation"/>
        <s v="Income"/>
        <s v="Thematic"/>
        <s v="Flexible"/>
        <m/>
        <s v="Bond"/>
        <s v="Equity"/>
        <s v="Capital Protection"/>
        <s v="Capital Guaranteed"/>
        <e v="#N/A" u="1"/>
        <s v="Alternative" u="1"/>
      </sharedItems>
    </cacheField>
    <cacheField name="Macro Process" numFmtId="0">
      <sharedItems containsBlank="1" containsMixedTypes="1" containsNumber="1" containsInteger="1" minValue="0" maxValue="0"/>
    </cacheField>
    <cacheField name="Micro Process" numFmtId="0">
      <sharedItems containsBlank="1" containsMixedTypes="1" containsNumber="1" containsInteger="1" minValue="0" maxValue="0"/>
    </cacheField>
    <cacheField name="Investment team " numFmtId="0">
      <sharedItems containsBlank="1"/>
    </cacheField>
    <cacheField name="Portfolio Manager" numFmtId="0">
      <sharedItems containsBlank="1"/>
    </cacheField>
    <cacheField name="Family of Investment strategy" numFmtId="0">
      <sharedItems containsBlank="1"/>
    </cacheField>
    <cacheField name="Micro risk process name" numFmtId="0">
      <sharedItems containsBlank="1"/>
    </cacheField>
    <cacheField name="AuM in Audit File" numFmtId="164">
      <sharedItems containsString="0" containsBlank="1" containsNumber="1" minValue="0" maxValue="1639044963.34446"/>
    </cacheField>
    <cacheField name="AUM from our AUM 30 April 2020 file" numFmtId="164">
      <sharedItems containsBlank="1" containsMixedTypes="1" containsNumber="1" minValue="0" maxValue="1901251614"/>
    </cacheField>
    <cacheField name="Ronan Comment" numFmtId="0">
      <sharedItems containsBlank="1"/>
    </cacheField>
    <cacheField name="Aum from Jun file Old" numFmtId="43">
      <sharedItems containsBlank="1" containsMixedTypes="1" containsNumber="1" containsInteger="1" minValue="0" maxValue="0"/>
    </cacheField>
    <cacheField name="Aum from Jun file" numFmtId="0">
      <sharedItems containsString="0" containsBlank="1" containsNumber="1" minValue="0" maxValue="493807009.17000002"/>
    </cacheField>
    <cacheField name="Flows April" numFmtId="164">
      <sharedItems containsString="0" containsBlank="1" containsNumber="1" minValue="-136912235.76999998" maxValue="27952778.120000001"/>
    </cacheField>
    <cacheField name="AUM from our AUM 31st March 2020 file" numFmtId="164">
      <sharedItems containsBlank="1" containsMixedTypes="1" containsNumber="1" minValue="0" maxValue="1877332566"/>
    </cacheField>
    <cacheField name="AUM from our AUM Feb 2020 file in mln *" numFmtId="0">
      <sharedItems containsBlank="1" containsMixedTypes="1" containsNumber="1" minValue="0" maxValue="1877.332566"/>
    </cacheField>
    <cacheField name="Difference" numFmtId="0">
      <sharedItems containsBlank="1" containsMixedTypes="1" containsNumber="1" minValue="-138673632.38999999" maxValue="118681217.80999994"/>
    </cacheField>
    <cacheField name="Difference final" numFmtId="0">
      <sharedItems containsBlank="1" containsMixedTypes="1" containsNumber="1" minValue="-138673632.38999999" maxValue="118681217.80999994"/>
    </cacheField>
    <cacheField name="AUM from our AUM April 2020 file  in mln*" numFmtId="43">
      <sharedItems containsBlank="1" containsMixedTypes="1" containsNumber="1" minValue="0" maxValue="1901.251614"/>
    </cacheField>
    <cacheField name="Difference In AUM" numFmtId="0">
      <sharedItems containsBlank="1" containsMixedTypes="1" containsNumber="1" minValue="-138.67363238999999" maxValue="118.68121780999994"/>
    </cacheField>
    <cacheField name="Flows April mln" numFmtId="0">
      <sharedItems containsString="0" containsBlank="1" containsNumber="1" minValue="-136.91223576999997" maxValue="27.952778120000001"/>
    </cacheField>
    <cacheField name="AUM from our AUM April 2020 file Test" numFmtId="0">
      <sharedItems containsString="0" containsBlank="1" containsNumber="1" minValue="0" maxValue="10775.273010999999"/>
    </cacheField>
    <cacheField name="AUM from our AUM Feb 2019 file Test" numFmtId="0">
      <sharedItems containsBlank="1" containsMixedTypes="1" containsNumber="1" minValue="0" maxValue="13134.605716"/>
    </cacheField>
    <cacheField name="Difference Between Feb 2019 - April 2020" numFmtId="0">
      <sharedItems containsBlank="1" containsMixedTypes="1" containsNumber="1" minValue="-2359.3327050000007" maxValue="307.505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E142"/>
    <s v="Yes"/>
    <x v="0"/>
    <x v="0"/>
    <s v="On Original Risk List  "/>
    <s v="From Risk - Fund Responsibility - Dublin Funds"/>
    <s v="Allocation Driven Strategies"/>
    <x v="0"/>
    <s v="BAL Multimanagement"/>
    <s v="DUB BAL Multimanagement SDA Fds de Fds"/>
    <s v="AMUNDI.IRL/INV/MAS"/>
    <s v="O'TOOLE JOHN"/>
    <s v="Global - Global Balanced 50"/>
    <s v="DUB BAL Multimanagement SDA Fds de Fds"/>
    <n v="176126455.22999999"/>
    <n v="324009437.85999995"/>
    <m/>
    <b v="0"/>
    <n v="169346773.31"/>
    <n v="-4401543.419829757"/>
    <n v="323150343.74000001"/>
    <n v="323.15034373999998"/>
    <n v="859094.11999994516"/>
    <n v="859094.11999994516"/>
    <n v="324.00943785999993"/>
    <n v="0.85909411999994512"/>
    <n v="-4.4015434198297569"/>
    <n v="324.00943785999993"/>
    <n v="323.15034373999998"/>
    <n v="0.859094119999952"/>
  </r>
  <r>
    <s v="E143"/>
    <s v="Yes"/>
    <x v="1"/>
    <x v="0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Global - Balanced Global Defensive 20"/>
    <s v="DUB BAL Multimanagement SDA Fds de Fds"/>
    <n v="200569592.62"/>
    <n v="242806300.35000002"/>
    <m/>
    <b v="0"/>
    <n v="191554138.88"/>
    <n v="-6585274.1259017717"/>
    <n v="247147097.27999997"/>
    <n v="247.14709727999997"/>
    <n v="-4340796.9299999475"/>
    <n v="-4340796.9299999475"/>
    <n v="242.80630035000001"/>
    <n v="-4.3407969299999474"/>
    <n v="-6.5852741259017717"/>
    <n v="242.80630035000001"/>
    <n v="247.14709727999997"/>
    <n v="-4.3407969299999536"/>
  </r>
  <r>
    <s v="E144"/>
    <s v="Yes"/>
    <x v="2"/>
    <x v="0"/>
    <s v="On Original Risk List  "/>
    <s v="From Risk - Fund Responsibility - Dublin Funds"/>
    <s v="Allocation Driven Strategies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n v="68345861.700000003"/>
    <n v="83823203.900000006"/>
    <m/>
    <b v="0"/>
    <n v="66139608.709999993"/>
    <n v="-1199812.7503379725"/>
    <n v="85685108.980000004"/>
    <n v="85.68510898000001"/>
    <n v="-1861905.0799999982"/>
    <n v="-1861905.0799999982"/>
    <n v="83.82320390000001"/>
    <n v="-1.8619050799999981"/>
    <n v="-1.1998127503379725"/>
    <n v="83.82320390000001"/>
    <n v="85.68510898000001"/>
    <n v="-1.8619050799999997"/>
  </r>
  <r>
    <s v="PF101376"/>
    <s v="Yes"/>
    <x v="3"/>
    <x v="0"/>
    <s v="On Original Risk List  "/>
    <s v="From Risk - Fund Responsibility - Dublin Funds"/>
    <s v="Allocation Driven Strategies"/>
    <x v="0"/>
    <s v="BAL Multimanagement"/>
    <s v="DUB BAL Multimanagement SDA Fds de Fds"/>
    <s v="AMUNDI.IRL/INV/MAS"/>
    <s v="O'TOOLE JOHN"/>
    <s v="Global - Global Balanced 50"/>
    <s v="DUB BAL Multimanagement SDA Fds de Fds"/>
    <m/>
    <m/>
    <m/>
    <b v="0"/>
    <m/>
    <m/>
    <m/>
    <m/>
    <m/>
    <m/>
    <m/>
    <m/>
    <m/>
    <m/>
    <m/>
    <m/>
  </r>
  <r>
    <s v="PF101372"/>
    <s v="Yes"/>
    <x v="4"/>
    <x v="0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Global - Balanced Global Defensive 20"/>
    <s v="DUB BAL Multimanagement SDA Fds de Fds"/>
    <m/>
    <m/>
    <m/>
    <b v="0"/>
    <m/>
    <m/>
    <m/>
    <m/>
    <m/>
    <m/>
    <m/>
    <m/>
    <m/>
    <m/>
    <m/>
    <m/>
  </r>
  <r>
    <s v="PF101380"/>
    <s v="Yes"/>
    <x v="5"/>
    <x v="0"/>
    <s v="On Original Risk List  "/>
    <s v="From Risk - Fund Responsibility - Dublin Funds"/>
    <s v="Allocation Driven Strategies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m/>
    <m/>
    <b v="0"/>
    <m/>
    <m/>
    <m/>
    <m/>
    <m/>
    <m/>
    <m/>
    <m/>
    <m/>
    <m/>
    <m/>
    <m/>
  </r>
  <r>
    <s v="PF78195"/>
    <s v="Yes"/>
    <x v="6"/>
    <x v="0"/>
    <s v="On Original Risk List  "/>
    <s v="From Risk - Fund Responsibility - Dublin Funds"/>
    <s v="Outcome Oriented Strategies"/>
    <x v="3"/>
    <s v="EFI Absolute Return"/>
    <s v="DUB EFI Absolute Return Aggregate"/>
    <s v="AMUNDI.IRL/INV/MAS"/>
    <s v="O'TOOLE JOHN"/>
    <s v="To be Affected"/>
    <s v="DUB EFI Absolute Return Aggregate"/>
    <n v="336213704.19999999"/>
    <m/>
    <m/>
    <b v="0"/>
    <n v="335037348.60999995"/>
    <m/>
    <m/>
    <m/>
    <m/>
    <m/>
    <m/>
    <m/>
    <m/>
    <m/>
    <m/>
    <m/>
  </r>
  <r>
    <s v="PF103025"/>
    <s v="Yes"/>
    <x v="7"/>
    <x v="0"/>
    <s v="On Original Risk List  "/>
    <s v="From Risk - Fund Responsibility - Dublin Funds"/>
    <s v="Outcome Oriented Strategies"/>
    <x v="3"/>
    <m/>
    <m/>
    <s v="AMUNDI.IRL/INV/MAS/PMG/PMG"/>
    <s v="CASEY RICHARD"/>
    <s v="To be Affected"/>
    <m/>
    <m/>
    <n v="93538758.120000005"/>
    <m/>
    <m/>
    <m/>
    <n v="-18151357.009999994"/>
    <n v="111680002.01000001"/>
    <n v="111.68000201000001"/>
    <n v="-18141243.890000001"/>
    <n v="-18141243.890000001"/>
    <n v="93.538758120000011"/>
    <n v="-18.141243890000002"/>
    <n v="-18.151357009999995"/>
    <n v="93.538758120000011"/>
    <m/>
    <m/>
  </r>
  <r>
    <s v="E118"/>
    <s v="Yes"/>
    <x v="8"/>
    <x v="0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Bond - myNext"/>
    <s v="DUB BAL Multimanagement SDA Fds de Fds"/>
    <n v="31835018.329999998"/>
    <n v="7495265.8199999994"/>
    <m/>
    <b v="0"/>
    <n v="33826169.170000002"/>
    <n v="-798922.5844135189"/>
    <n v="8321680.0100000007"/>
    <n v="8.3216800100000015"/>
    <n v="-826414.19000000134"/>
    <n v="-826414.19000000134"/>
    <n v="7.4952658199999993"/>
    <n v="-0.82641419000000138"/>
    <n v="-0.79892258441351893"/>
    <n v="7.4952658199999993"/>
    <n v="8.3216800100000015"/>
    <n v="-0.82641419000000216"/>
  </r>
  <r>
    <s v="E119"/>
    <s v="Yes"/>
    <x v="9"/>
    <x v="0"/>
    <s v="On Original Risk List  "/>
    <s v="From Risk - Fund Responsibility - Dublin Funds"/>
    <s v="Allocation Driven Strategies"/>
    <x v="2"/>
    <s v="BAL Multimanagement"/>
    <s v="DUB BAL Multimanagement SDA Fds de Fds"/>
    <s v="AMUNDI.IRL/INV/MAS"/>
    <s v="O'TOOLE JOHN"/>
    <s v="Equity - myNext"/>
    <s v="DUB BAL Multimanagement SDA Fds de Fds"/>
    <n v="96972832.489999995"/>
    <n v="58236487.470000006"/>
    <m/>
    <b v="0"/>
    <n v="103255927.2"/>
    <n v="-1656568.0657256469"/>
    <n v="56591525.730000004"/>
    <n v="56.591525730000001"/>
    <n v="1644961.7400000021"/>
    <n v="1644961.7400000021"/>
    <n v="58.236487470000007"/>
    <n v="1.6449617400000021"/>
    <n v="-1.656568065725647"/>
    <n v="58.236487470000007"/>
    <n v="56.591525730000001"/>
    <n v="1.6449617400000065"/>
  </r>
  <r>
    <s v="E120"/>
    <s v="Yes"/>
    <x v="10"/>
    <x v="0"/>
    <s v="On Original Risk List  "/>
    <s v="From Risk - Fund Responsibility - Dublin Funds"/>
    <s v="Allocation Driven Strategies"/>
    <x v="0"/>
    <s v="BAL Multimanagement"/>
    <s v="DUB BAL Multimanagement SDA Fds de Fds"/>
    <s v="AMUNDI.IRL/INV/MAS"/>
    <s v="O'TOOLE JOHN"/>
    <s v="Multi Asset - myNext"/>
    <s v="DUB BAL Multimanagement SDA Fds de Fds"/>
    <n v="288617594.88999999"/>
    <n v="121448782.71000001"/>
    <m/>
    <b v="0"/>
    <n v="312457504.01999998"/>
    <n v="-5424835.5633996008"/>
    <n v="123937506.37"/>
    <n v="123.93750637000001"/>
    <n v="-2488723.6599999964"/>
    <n v="-2488723.6599999964"/>
    <n v="121.44878271"/>
    <n v="-2.4887236599999962"/>
    <n v="-5.4248355633996006"/>
    <n v="121.44878271"/>
    <n v="123.93750637000001"/>
    <n v="-2.4887236600000051"/>
  </r>
  <r>
    <s v="PF115036"/>
    <m/>
    <x v="11"/>
    <x v="0"/>
    <m/>
    <m/>
    <s v="Outcome Oriented Strategies"/>
    <x v="4"/>
    <m/>
    <m/>
    <m/>
    <m/>
    <m/>
    <m/>
    <m/>
    <n v="98145264.699999988"/>
    <m/>
    <m/>
    <m/>
    <n v="0"/>
    <n v="98124607.040000007"/>
    <n v="98.124607040000001"/>
    <n v="20657.659999981523"/>
    <n v="20657.659999981523"/>
    <n v="98.145264699999984"/>
    <n v="2.0657659999981523E-2"/>
    <n v="0"/>
    <n v="98.145264699999984"/>
    <n v="98.124607040000001"/>
    <n v="2.065765999998348E-2"/>
  </r>
  <r>
    <s v="PF204806"/>
    <m/>
    <x v="12"/>
    <x v="0"/>
    <m/>
    <m/>
    <s v="Allocation Driven Strategies"/>
    <x v="2"/>
    <m/>
    <m/>
    <m/>
    <m/>
    <m/>
    <m/>
    <m/>
    <n v="27952778.120000001"/>
    <m/>
    <m/>
    <m/>
    <n v="27952778.120000001"/>
    <m/>
    <n v="0"/>
    <n v="27952778.120000001"/>
    <n v="27952778.120000001"/>
    <n v="27.952778120000001"/>
    <n v="27.952778120000001"/>
    <n v="27.952778120000001"/>
    <n v="27.952778120000001"/>
    <m/>
    <n v="27.952778120000001"/>
  </r>
  <r>
    <s v="PF88524"/>
    <s v="Yes"/>
    <x v="13"/>
    <x v="0"/>
    <s v="On Original Risk List  "/>
    <s v="From Risk - Fund Responsibility - Dublin Funds"/>
    <s v="Outcome Oriented Strategies"/>
    <x v="5"/>
    <s v="BAL Multimanagement"/>
    <s v="AMU BAL SDA Fds de Fds (used absolute limits High risk)"/>
    <s v="AMUNDI.IRL/INV/MAS"/>
    <s v="O'TOOLE JOHN"/>
    <s v="AMUNDI ELITE THEMATIC MULTI ASSET"/>
    <s v="DUB BAL Multimanagement SDA Fds de Fds"/>
    <m/>
    <n v="651526087.88"/>
    <m/>
    <b v="0"/>
    <m/>
    <n v="-136912235.76999998"/>
    <n v="532844870.07000005"/>
    <n v="532.84487007000007"/>
    <n v="118681217.80999994"/>
    <n v="118681217.80999994"/>
    <n v="651.52608787999998"/>
    <n v="118.68121780999994"/>
    <n v="-136.91223576999997"/>
    <n v="651.52608787999998"/>
    <n v="532.84487007000007"/>
    <n v="118.68121780999991"/>
  </r>
  <r>
    <s v="E209"/>
    <s v="Yes"/>
    <x v="14"/>
    <x v="0"/>
    <s v="On Original Risk List  "/>
    <s v="From Risk - Fund Responsibility - Dublin Funds"/>
    <s v="Service Fund"/>
    <x v="6"/>
    <s v="TBD"/>
    <s v="Agreed a light touch with VaR and Leverage limits"/>
    <s v="AMUNDI.IRL/INV/MAS/PMG"/>
    <s v="BUONO SALVATORE"/>
    <s v="To be Affected"/>
    <s v="To Be Determined"/>
    <n v="623642733.23000002"/>
    <n v="198759201.82000002"/>
    <m/>
    <b v="0"/>
    <n v="402542016.44000006"/>
    <n v="-26306785.200000003"/>
    <n v="234214073.76000002"/>
    <n v="234.21407376000002"/>
    <n v="-35454871.939999998"/>
    <n v="-35454871.939999998"/>
    <n v="198.75920182000002"/>
    <n v="-35.454871939999997"/>
    <n v="-26.306785200000004"/>
    <n v="198.75920182000002"/>
    <n v="234.21407376000002"/>
    <n v="-35.454871940000004"/>
  </r>
  <r>
    <s v="PF87100"/>
    <s v="Yes"/>
    <x v="15"/>
    <x v="0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Global - Balanced Global Defensive 20"/>
    <s v="DUB BAL Multimanagement SDA Fds de Fds"/>
    <m/>
    <n v="6970226.1600000001"/>
    <m/>
    <b v="0"/>
    <m/>
    <n v="0"/>
    <n v="6970226.1600000001"/>
    <n v="6.9702261600000002"/>
    <n v="0"/>
    <n v="0"/>
    <n v="6.9702261600000002"/>
    <n v="0"/>
    <n v="0"/>
    <n v="6.9702261600000002"/>
    <n v="6.9702261600000002"/>
    <n v="0"/>
  </r>
  <r>
    <s v="PF87115"/>
    <s v="Yes"/>
    <x v="16"/>
    <x v="0"/>
    <s v="On Original Risk List  "/>
    <s v="From Risk - Fund Responsibility - Dublin Funds"/>
    <s v="Allocation Driven Strategies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n v="3927561.09"/>
    <m/>
    <b v="0"/>
    <m/>
    <n v="0"/>
    <n v="3927561.09"/>
    <n v="3.9275610899999998"/>
    <n v="0"/>
    <n v="0"/>
    <n v="3.9275610899999998"/>
    <n v="0"/>
    <n v="0"/>
    <n v="3.9275610899999998"/>
    <n v="3.9275610899999998"/>
    <n v="0"/>
  </r>
  <r>
    <s v="PF92127"/>
    <s v="Yes"/>
    <x v="17"/>
    <x v="0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m/>
    <n v="335146857.69"/>
    <m/>
    <b v="0"/>
    <m/>
    <n v="-114988408.88000004"/>
    <n v="473820490.07999998"/>
    <n v="473.82049007999996"/>
    <n v="-138673632.38999999"/>
    <n v="-138673632.38999999"/>
    <n v="335.14685768999999"/>
    <n v="-138.67363238999999"/>
    <n v="-114.98840888000004"/>
    <n v="335.14685768999999"/>
    <n v="473.82049007999996"/>
    <n v="-138.67363238999997"/>
  </r>
  <r>
    <s v="PF95239"/>
    <s v="Yes"/>
    <x v="18"/>
    <x v="0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m/>
    <n v="319412485.87"/>
    <m/>
    <b v="0"/>
    <m/>
    <n v="-68314787.599999979"/>
    <n v="408635787.25"/>
    <n v="408.63578725000002"/>
    <n v="-89223301.379999995"/>
    <n v="-89223301.379999995"/>
    <n v="319.41248587000001"/>
    <n v="-89.223301379999995"/>
    <n v="-68.314787599999974"/>
    <n v="319.41248587000001"/>
    <n v="408.63578725000002"/>
    <n v="-89.223301380000009"/>
  </r>
  <r>
    <s v="PF201311"/>
    <s v="Yes"/>
    <x v="19"/>
    <x v="0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m/>
    <n v="290323179.13999999"/>
    <m/>
    <b v="0"/>
    <m/>
    <n v="-10126505.439999999"/>
    <n v="297654635.05000001"/>
    <n v="297.65463505000002"/>
    <n v="-7331455.9100000262"/>
    <n v="-7331455.9100000262"/>
    <n v="290.32317913999998"/>
    <n v="-7.3314559100000265"/>
    <n v="-10.126505439999999"/>
    <n v="290.32317913999998"/>
    <n v="291.99145505000001"/>
    <n v="-1.6682759100000339"/>
  </r>
  <r>
    <s v="SAXO"/>
    <s v="Yes"/>
    <x v="20"/>
    <x v="1"/>
    <s v="On Original Risk List  "/>
    <s v="From Risk - Fund Responsibility - Dublin Funds"/>
    <s v="Allocation Driven Strategies"/>
    <x v="1"/>
    <s v="BAL Multimanagement"/>
    <s v="DUB BAL Multimanagement Alt Greenway"/>
    <s v="AMUNDI.IRL/INV/MAS/PMG/PMG"/>
    <s v="Jen"/>
    <s v="To be Affected"/>
    <s v="DUB BAL Multimanagement Alt Greenway"/>
    <m/>
    <n v="192199661.30000001"/>
    <m/>
    <b v="0"/>
    <n v="0"/>
    <n v="-7061169.119999975"/>
    <n v="199260830.41999999"/>
    <n v="199.26083041999999"/>
    <n v="-7061169.119999975"/>
    <n v="-7061169.119999975"/>
    <n v="192.1996613"/>
    <n v="-7.0611691199999749"/>
    <n v="-7.0611691199999749"/>
    <m/>
    <m/>
    <n v="0"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s v="PSUKLD1"/>
    <s v="Yes"/>
    <x v="22"/>
    <x v="0"/>
    <s v="On Original Risk List  "/>
    <s v="From Risk - Fund Responsibility - Dublin Funds"/>
    <s v="Allocation Driven Strategies"/>
    <x v="6"/>
    <s v="BAL Multimanagement"/>
    <s v="AMU BAL SDA Fds de Fds (used some absolute limits with Low Rik)"/>
    <s v="AMUNDI.IRL/INV/MAS/PMG/PMG"/>
    <s v="CASEY RICHARD"/>
    <s v="To be Affected"/>
    <s v="DUB BAL Multimanagement SDA Fds de Fds"/>
    <n v="0"/>
    <n v="169200994.27920362"/>
    <m/>
    <b v="0"/>
    <m/>
    <n v="0"/>
    <n v="165771172.4394339"/>
    <n v="165.77117243943391"/>
    <n v="3429821.839769721"/>
    <n v="3429821.839769721"/>
    <n v="169.20099427920363"/>
    <n v="3.4298218397697209"/>
    <n v="0"/>
    <n v="141.07978902999997"/>
    <n v="138.22000358"/>
    <n v="2.8597854499999755"/>
  </r>
  <r>
    <s v="PF79139"/>
    <s v="Yes"/>
    <x v="23"/>
    <x v="0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n v="143903806.97"/>
    <m/>
    <s v="Needs a Macro &amp; Micro Process assigned?"/>
    <b v="0"/>
    <n v="59757669.739999995"/>
    <m/>
    <m/>
    <m/>
    <m/>
    <m/>
    <m/>
    <m/>
    <m/>
    <m/>
    <m/>
    <m/>
  </r>
  <r>
    <s v="PF71664"/>
    <s v="Yes"/>
    <x v="24"/>
    <x v="0"/>
    <s v="On Original Risk List  "/>
    <s v="From Risk - Fund Responsibility - Dublin Funds"/>
    <s v="Outcome Oriented Strategies"/>
    <x v="3"/>
    <s v="EFI Absolute Return"/>
    <s v="DUB EFI Absolute Return Aggregate"/>
    <s v="AMUNDI.IRL/INV/MAS/PMG/PMG"/>
    <s v="CASEY RICHARD"/>
    <s v="To be Affected"/>
    <s v="DUB EFI Absolute Return Aggregate"/>
    <n v="493754015.27999997"/>
    <m/>
    <m/>
    <b v="0"/>
    <n v="493807009.17000002"/>
    <m/>
    <m/>
    <m/>
    <m/>
    <m/>
    <m/>
    <m/>
    <m/>
    <m/>
    <m/>
    <m/>
  </r>
  <r>
    <s v="PF76580"/>
    <s v="Yes"/>
    <x v="25"/>
    <x v="0"/>
    <s v="On Original Risk List  "/>
    <s v="From Risk - Fund Responsibility - Dublin Funds"/>
    <s v="Outcome Oriented Strategies"/>
    <x v="3"/>
    <s v="EFI Absolute Return"/>
    <s v="DUB EFI Absolute Return Aggregate"/>
    <s v="AMUNDI.IRL/INV/MAS/PMG/PMG"/>
    <s v="CASEY RICHARD"/>
    <s v="To be Affected"/>
    <s v="DUB EFI Absolute Return Aggregate"/>
    <n v="291181937.61000001"/>
    <m/>
    <m/>
    <b v="0"/>
    <n v="290503113.68999994"/>
    <m/>
    <m/>
    <m/>
    <m/>
    <m/>
    <m/>
    <m/>
    <m/>
    <m/>
    <m/>
    <m/>
  </r>
  <r>
    <s v="PF88300"/>
    <s v="Yes"/>
    <x v="26"/>
    <x v="0"/>
    <s v="On Original Risk List  "/>
    <s v="From Risk - Fund Responsibility - Dublin Funds"/>
    <s v="Outcome Oriented Strategies"/>
    <x v="3"/>
    <s v="EFI Absolute Return"/>
    <m/>
    <s v="AMUNDI.IRL/INV/MAS/PMG/PMG"/>
    <s v="CASEY RICHARD"/>
    <s v="To be Affected"/>
    <s v="DUB EFI Absolute Return Aggregate"/>
    <n v="0"/>
    <n v="451980230.57999998"/>
    <m/>
    <b v="0"/>
    <m/>
    <n v="-75897228.409999982"/>
    <n v="555495066.75999999"/>
    <n v="555.49506675999999"/>
    <n v="-103514836.18000001"/>
    <n v="-103514836.18000001"/>
    <n v="451.98023058000001"/>
    <n v="-103.51483618"/>
    <n v="-75.897228409999983"/>
    <n v="451.98023058000001"/>
    <n v="555.49506675999999"/>
    <n v="-103.51483617999997"/>
  </r>
  <r>
    <s v="PF89408"/>
    <s v="Yes"/>
    <x v="27"/>
    <x v="0"/>
    <s v="On Original Risk List  "/>
    <s v="From Risk - Fund Responsibility - Dublin Funds"/>
    <s v="Outcome Oriented Strategies"/>
    <x v="3"/>
    <s v="EFI Absolute Return"/>
    <m/>
    <s v="AMUNDI.IRL/INV/MAS/PMG/PMG"/>
    <s v="CASEY RICHARD"/>
    <s v="To be Affected"/>
    <s v="DUB EFI Absolute Return Aggregate"/>
    <n v="0"/>
    <n v="277938223.63"/>
    <m/>
    <b v="0"/>
    <m/>
    <n v="-47534278.330000006"/>
    <n v="341822371.30000001"/>
    <n v="341.82237129999999"/>
    <n v="-63884147.670000017"/>
    <n v="-63884147.670000017"/>
    <n v="277.93822362999998"/>
    <n v="-63.884147670000019"/>
    <n v="-47.534278330000006"/>
    <n v="277.93822362999998"/>
    <n v="341.82237129999999"/>
    <n v="-63.884147670000004"/>
  </r>
  <r>
    <s v="E224"/>
    <s v="Yes"/>
    <x v="28"/>
    <x v="0"/>
    <s v="On Original Risk List  "/>
    <s v="From Risk - Fund Responsibility - Dublin Funds"/>
    <s v="Service Fund"/>
    <x v="4"/>
    <s v="TBD"/>
    <s v="Agreed a light touch with VaR and Leverage limits"/>
    <s v="AMUNDI.IRL/INV/MAS/PMG/PMG"/>
    <s v="CASEY RICHARD"/>
    <s v="To be Affected"/>
    <s v="To Be Determined"/>
    <n v="336518902.05000001"/>
    <n v="59556669.140000001"/>
    <m/>
    <b v="0"/>
    <n v="367376593.58999997"/>
    <n v="-6138586.8300000001"/>
    <n v="74824881.549999997"/>
    <n v="74.824881550000001"/>
    <n v="-15268212.409999996"/>
    <n v="-15268212.409999996"/>
    <n v="59.556669140000004"/>
    <n v="-15.268212409999997"/>
    <n v="-6.1385868300000004"/>
    <n v="59.556669140000004"/>
    <n v="74.824881550000001"/>
    <n v="-15.268212409999997"/>
  </r>
  <r>
    <s v="E208"/>
    <s v="Yes"/>
    <x v="29"/>
    <x v="0"/>
    <s v="On Original Risk List  "/>
    <s v="From Risk - Fund Responsibility - Dublin Funds"/>
    <s v="Service Fund"/>
    <x v="8"/>
    <s v="TBD"/>
    <s v="Agreed a light touch with VaR and Leverage limits"/>
    <s v="AMUNDI.IRL/INV/MAS/PMG/PMG"/>
    <s v="PAQUOT BERTRAND"/>
    <s v="To be Affected"/>
    <s v="To Be Determined"/>
    <n v="199913822.47999999"/>
    <n v="74247835.579999998"/>
    <m/>
    <b v="0"/>
    <n v="450365694.73000002"/>
    <n v="-2977460.7300000018"/>
    <n v="77232789.670000002"/>
    <n v="77.232789670000003"/>
    <n v="-2984954.0900000036"/>
    <n v="-2984954.0900000036"/>
    <n v="74.24783558"/>
    <n v="-2.9849540900000036"/>
    <n v="-2.977460730000002"/>
    <n v="74.24783558"/>
    <n v="77.232789670000003"/>
    <n v="-2.9849540900000022"/>
  </r>
  <r>
    <s v="ULECSTARS"/>
    <s v="Yes"/>
    <x v="30"/>
    <x v="1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1901251614"/>
    <m/>
    <b v="0"/>
    <m/>
    <n v="-32352755.369999997"/>
    <n v="1877332566"/>
    <n v="1877.332566"/>
    <n v="23919048"/>
    <n v="23919048"/>
    <n v="1901.251614"/>
    <n v="23.919048"/>
    <n v="-32.352755369999997"/>
    <n v="1901.251614"/>
    <n v="1877.332566"/>
    <n v="23.919047999999975"/>
  </r>
  <r>
    <s v="F100123"/>
    <s v="Yes"/>
    <x v="31"/>
    <x v="0"/>
    <s v="On Original Risk List  "/>
    <s v="From Risk - Fund Responsibility - Dublin Funds"/>
    <s v="Allocation Driven Strategies"/>
    <x v="9"/>
    <s v="TBD"/>
    <m/>
    <s v="AMUNDI.IRL/INV/MAS/PMG/PMG"/>
    <s v="NICHOLAS POTHIER"/>
    <s v="To be Affected"/>
    <s v="To Be Determined"/>
    <m/>
    <n v="66105969.392638035"/>
    <m/>
    <b v="0"/>
    <m/>
    <n v="-14474433.773006134"/>
    <n v="80580403.165644169"/>
    <n v="80.580403165644171"/>
    <n v="-14474433.773006134"/>
    <n v="-14474433.773006134"/>
    <n v="66.105969392638031"/>
    <n v="-14.474433773006133"/>
    <n v="-14.474433773006133"/>
    <n v="10775.273010999999"/>
    <n v="13134.605716"/>
    <n v="-2359.3327050000007"/>
  </r>
  <r>
    <s v="UDM6"/>
    <s v="Yes"/>
    <x v="32"/>
    <x v="1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1100006489"/>
    <m/>
    <b v="0"/>
    <m/>
    <n v="1008111.8999999951"/>
    <n v="1020119648"/>
    <n v="1020.119648"/>
    <n v="79886841"/>
    <n v="79886841"/>
    <n v="1100.0064890000001"/>
    <n v="79.886841000000004"/>
    <n v="1.0081118999999952"/>
    <n v="1100.0064890000001"/>
    <n v="1020.119648"/>
    <n v="79.886841000000118"/>
  </r>
  <r>
    <s v="UDM7"/>
    <s v="Yes"/>
    <x v="33"/>
    <x v="1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46360523"/>
    <m/>
    <b v="0"/>
    <m/>
    <n v="-74993.419999999984"/>
    <n v="49761394"/>
    <n v="49.761394000000003"/>
    <n v="-3400871"/>
    <n v="-3400871"/>
    <n v="46.360523000000001"/>
    <n v="-3.400871"/>
    <n v="-7.4993419999999977E-2"/>
    <n v="46.360523000000001"/>
    <n v="49.761394000000003"/>
    <n v="-3.4008710000000022"/>
  </r>
  <r>
    <s v="UDM9"/>
    <s v="Yes"/>
    <x v="34"/>
    <x v="1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173792904"/>
    <m/>
    <b v="0"/>
    <m/>
    <n v="-4429190.5399999972"/>
    <n v="173466024"/>
    <n v="173.466024"/>
    <n v="326880"/>
    <n v="326880"/>
    <n v="173.79290399999999"/>
    <n v="0.32688"/>
    <n v="-4.4291905399999969"/>
    <n v="173.79290399999999"/>
    <n v="173.466024"/>
    <n v="0.32687999999998851"/>
  </r>
  <r>
    <s v="E207"/>
    <s v="Yes"/>
    <x v="35"/>
    <x v="0"/>
    <s v="On Original Risk List  "/>
    <s v="From Risk - Fund Responsibility - Dublin Funds"/>
    <s v="Service Fund"/>
    <x v="9"/>
    <s v="TBD"/>
    <s v="Agreed a light touch with VaR and Leverage limits"/>
    <s v="AMUNDI.IRL/INV/MAS/PMG/PMG"/>
    <s v="PAQUOT BERTRAND"/>
    <s v="To be Affected"/>
    <s v="To Be Determined"/>
    <n v="103113709.33"/>
    <n v="53160977.919999994"/>
    <m/>
    <b v="0"/>
    <n v="316671363.03000009"/>
    <n v="-446651.58000000013"/>
    <n v="56764604.780000001"/>
    <n v="56.764604779999999"/>
    <n v="-3603626.8600000069"/>
    <n v="-3603626.8600000069"/>
    <n v="53.160977919999993"/>
    <n v="-3.603626860000007"/>
    <n v="-0.44665158000000016"/>
    <n v="53.160977919999993"/>
    <n v="56.764604779999999"/>
    <n v="-3.6036268600000056"/>
  </r>
  <r>
    <s v="E193"/>
    <s v="Yes"/>
    <x v="36"/>
    <x v="0"/>
    <s v="Added by Ronan"/>
    <s v="From Risk - Fund Responsibility - Dublin Funds"/>
    <s v="Outcome Oriented Strategies"/>
    <x v="4"/>
    <s v="BAL Multimanagement"/>
    <s v="AMU BAL SDA Fds de Fds (used absolute limits mixed medium/High risk)"/>
    <m/>
    <m/>
    <m/>
    <m/>
    <m/>
    <n v="136428638.49000001"/>
    <m/>
    <b v="0"/>
    <n v="294308339.36000001"/>
    <n v="-4867464.6900000013"/>
    <n v="137814615.19000003"/>
    <n v="137.81461519000004"/>
    <n v="-1385976.7000000179"/>
    <n v="-1385976.7000000179"/>
    <n v="136.42863849"/>
    <n v="-1.3859767000000178"/>
    <n v="-4.8674646900000011"/>
    <n v="136.42863849"/>
    <n v="137.81461519000004"/>
    <n v="-1.3859767000000431"/>
  </r>
  <r>
    <s v="1PM"/>
    <s v="Yes"/>
    <x v="37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32885137.42170599"/>
    <n v="286172410"/>
    <m/>
    <b v="0"/>
    <m/>
    <n v="-8096631.620000002"/>
    <n v="276712413"/>
    <n v="276.71241300000003"/>
    <n v="9459997"/>
    <n v="9459997"/>
    <n v="286.17241000000001"/>
    <n v="9.4599969999999995"/>
    <n v="-8.0966316200000019"/>
    <n v="286.17241000000001"/>
    <n v="276.71241300000003"/>
    <n v="9.4599969999999871"/>
  </r>
  <r>
    <s v="1QM"/>
    <s v="Yes"/>
    <x v="38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75215585.57200199"/>
    <n v="44621309"/>
    <m/>
    <b v="0"/>
    <m/>
    <n v="-915885.27000000014"/>
    <n v="44663645"/>
    <n v="44.663645000000002"/>
    <n v="-42336"/>
    <n v="-42336"/>
    <n v="44.621308999999997"/>
    <n v="-4.2335999999999999E-2"/>
    <n v="-0.91588527000000008"/>
    <n v="44.621308999999997"/>
    <n v="44.663645000000002"/>
    <n v="-4.2336000000005924E-2"/>
  </r>
  <r>
    <s v="1RM"/>
    <s v="Yes"/>
    <x v="39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0066014.82525399"/>
    <n v="29605967"/>
    <m/>
    <b v="0"/>
    <m/>
    <n v="-567692.13"/>
    <n v="29944309"/>
    <n v="29.944309000000001"/>
    <n v="-338342"/>
    <n v="-338342"/>
    <n v="29.605967"/>
    <n v="-0.33834199999999998"/>
    <n v="-0.56769212999999996"/>
    <n v="29.605967"/>
    <n v="29.944309000000001"/>
    <n v="-0.33834200000000081"/>
  </r>
  <r>
    <s v="R1M"/>
    <s v="Yes"/>
    <x v="40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55352140.60327399"/>
    <n v="20379176"/>
    <m/>
    <b v="0"/>
    <m/>
    <n v="-444459.29000000004"/>
    <n v="20364888"/>
    <n v="20.364888000000001"/>
    <n v="14288"/>
    <n v="14288"/>
    <n v="20.379176000000001"/>
    <n v="1.4288E-2"/>
    <n v="-0.44445929000000006"/>
    <n v="20.379176000000001"/>
    <n v="20.364888000000001"/>
    <n v="1.4288000000000523E-2"/>
  </r>
  <r>
    <s v="CCRESCITA"/>
    <s v="Yes"/>
    <x v="41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44033874.81555301"/>
    <n v="1259071"/>
    <m/>
    <b v="0"/>
    <m/>
    <n v="-19473.099999999995"/>
    <n v="1226192"/>
    <n v="1.2261919999999999"/>
    <n v="32879"/>
    <n v="32879"/>
    <n v="1.2590710000000001"/>
    <n v="3.2878999999999999E-2"/>
    <n v="-1.9473099999999993E-2"/>
    <n v="1.2590710000000001"/>
    <n v="1.2261919999999999"/>
    <n v="3.2879000000000103E-2"/>
  </r>
  <r>
    <s v="CMEDIUM"/>
    <s v="Yes"/>
    <x v="42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64099154.06433299"/>
    <n v="221348"/>
    <m/>
    <b v="0"/>
    <m/>
    <m/>
    <n v="215898"/>
    <n v="0.21589800000000001"/>
    <n v="5450"/>
    <n v="5450"/>
    <n v="0.22134799999999999"/>
    <n v="5.45E-3"/>
    <n v="0"/>
    <n v="0.22134799999999999"/>
    <n v="0.21589800000000001"/>
    <n v="5.4499999999999826E-3"/>
  </r>
  <r>
    <s v="COBBLEURO"/>
    <s v="Yes"/>
    <x v="43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1327249.913721"/>
    <n v="2649"/>
    <m/>
    <b v="0"/>
    <m/>
    <m/>
    <n v="2649"/>
    <n v="2.6489999999999999E-3"/>
    <n v="0"/>
    <n v="0"/>
    <n v="2.6489999999999999E-3"/>
    <n v="0"/>
    <n v="0"/>
    <n v="2.6489999999999999E-3"/>
    <n v="2.6489999999999999E-3"/>
    <n v="0"/>
  </r>
  <r>
    <s v="CREDDITO"/>
    <s v="Yes"/>
    <x v="44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8785755.166821"/>
    <n v="83275"/>
    <m/>
    <b v="0"/>
    <m/>
    <m/>
    <n v="82952"/>
    <n v="8.2951999999999998E-2"/>
    <n v="323"/>
    <n v="323"/>
    <n v="8.3275000000000002E-2"/>
    <n v="3.2299999999999999E-4"/>
    <n v="0"/>
    <n v="8.3275000000000002E-2"/>
    <n v="8.2951999999999998E-2"/>
    <n v="3.2300000000000384E-4"/>
  </r>
  <r>
    <s v="STEPONE"/>
    <s v="Yes"/>
    <x v="45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22766479.464708"/>
    <n v="78465"/>
    <m/>
    <b v="0"/>
    <m/>
    <m/>
    <n v="77392"/>
    <n v="7.7392000000000002E-2"/>
    <n v="1073"/>
    <n v="1073"/>
    <n v="7.8464999999999993E-2"/>
    <n v="1.073E-3"/>
    <n v="0"/>
    <n v="7.8464999999999993E-2"/>
    <n v="7.7392000000000002E-2"/>
    <n v="1.0729999999999906E-3"/>
  </r>
  <r>
    <s v="CSVILUPPO"/>
    <s v="Yes"/>
    <x v="46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20197773.695786"/>
    <n v="33771"/>
    <m/>
    <b v="0"/>
    <m/>
    <m/>
    <n v="33771"/>
    <n v="3.3771000000000002E-2"/>
    <n v="0"/>
    <n v="0"/>
    <n v="3.3771000000000002E-2"/>
    <n v="0"/>
    <n v="0"/>
    <n v="3.3771000000000002E-2"/>
    <n v="3.3771000000000002E-2"/>
    <n v="0"/>
  </r>
  <r>
    <s v="CTREND_20"/>
    <s v="Yes"/>
    <x v="47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26520197.485156"/>
    <n v="23564"/>
    <m/>
    <b v="0"/>
    <m/>
    <m/>
    <n v="23564"/>
    <n v="2.3564000000000002E-2"/>
    <n v="0"/>
    <n v="0"/>
    <n v="2.3564000000000002E-2"/>
    <n v="0"/>
    <n v="0"/>
    <n v="2.3564000000000002E-2"/>
    <n v="2.3564000000000002E-2"/>
    <n v="0"/>
  </r>
  <r>
    <s v="MLIFEBND"/>
    <s v="Yes"/>
    <x v="48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6344307.007341"/>
    <n v="86278219"/>
    <m/>
    <b v="0"/>
    <m/>
    <n v="-4047481.4800000009"/>
    <n v="89492990"/>
    <n v="89.492990000000006"/>
    <n v="-3214771"/>
    <n v="-3214771"/>
    <n v="86.278219000000007"/>
    <n v="-3.2147709999999998"/>
    <n v="-4.047481480000001"/>
    <n v="86.278219000000007"/>
    <n v="89.492990000000006"/>
    <n v="-3.2147709999999989"/>
  </r>
  <r>
    <s v="MLPFLEX"/>
    <s v="Yes"/>
    <x v="49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23139636.995855"/>
    <n v="24819922"/>
    <m/>
    <b v="0"/>
    <m/>
    <n v="-916591.71999999974"/>
    <n v="25631869"/>
    <n v="25.631868999999998"/>
    <n v="-811947"/>
    <n v="-811947"/>
    <n v="24.819921999999998"/>
    <n v="-0.81194699999999997"/>
    <n v="-0.91659171999999978"/>
    <n v="24.819921999999998"/>
    <n v="25.631868999999998"/>
    <n v="-0.81194699999999997"/>
  </r>
  <r>
    <s v="PP1-3Y"/>
    <s v="Yes"/>
    <x v="50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21277565.483007"/>
    <n v="87573063"/>
    <m/>
    <b v="0"/>
    <m/>
    <n v="-4628998.620000001"/>
    <n v="91452737"/>
    <n v="91.452736999999999"/>
    <n v="-3879674"/>
    <n v="-3879674"/>
    <n v="87.573063000000005"/>
    <n v="-3.8796740000000001"/>
    <n v="-4.6289986200000008"/>
    <n v="87.573063000000005"/>
    <n v="91.452736999999999"/>
    <n v="-3.8796739999999943"/>
  </r>
  <r>
    <s v="PLIC"/>
    <s v="Yes"/>
    <x v="51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203127455.50508699"/>
    <n v="33652386"/>
    <m/>
    <b v="0"/>
    <m/>
    <n v="-373108.55999999994"/>
    <n v="33951455"/>
    <n v="33.951455000000003"/>
    <n v="-299069"/>
    <n v="-299069"/>
    <n v="33.652386"/>
    <n v="-0.29906899999999997"/>
    <n v="-0.37310855999999992"/>
    <n v="33.652386"/>
    <n v="33.951455000000003"/>
    <n v="-0.29906900000000292"/>
  </r>
  <r>
    <s v="ULBIL"/>
    <s v="Yes"/>
    <x v="52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71772844.79818401"/>
    <n v="10517233"/>
    <m/>
    <b v="0"/>
    <m/>
    <n v="-614112.52"/>
    <n v="11114645"/>
    <n v="11.114644999999999"/>
    <n v="-597412"/>
    <n v="-597412"/>
    <n v="10.517232999999999"/>
    <n v="-0.59741200000000005"/>
    <n v="-0.61411252000000005"/>
    <n v="10.517232999999999"/>
    <n v="11.114644999999999"/>
    <n v="-0.59741200000000028"/>
  </r>
  <r>
    <s v="ULBILPIU"/>
    <s v="Yes"/>
    <x v="53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73815813.46287501"/>
    <n v="17251250"/>
    <m/>
    <b v="0"/>
    <m/>
    <n v="-514722.49999999988"/>
    <n v="17726631"/>
    <n v="17.726631000000001"/>
    <n v="-475381"/>
    <n v="-475381"/>
    <n v="17.251249999999999"/>
    <n v="-0.475381"/>
    <n v="-0.51472249999999986"/>
    <n v="17.251249999999999"/>
    <n v="17.726631000000001"/>
    <n v="-0.47538100000000227"/>
  </r>
  <r>
    <s v="ULDIN"/>
    <s v="Yes"/>
    <x v="54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78110589.65588099"/>
    <n v="18063937"/>
    <m/>
    <b v="0"/>
    <m/>
    <n v="-905874.80999999994"/>
    <n v="19013976"/>
    <n v="19.013976"/>
    <n v="-950039"/>
    <n v="-950039"/>
    <n v="18.063936999999999"/>
    <n v="-0.95003899999999997"/>
    <n v="-0.90587480999999992"/>
    <n v="18.063936999999999"/>
    <n v="19.013976"/>
    <n v="-0.9500390000000003"/>
  </r>
  <r>
    <s v="ULP"/>
    <s v="Yes"/>
    <x v="55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60292239.99039599"/>
    <n v="12030736"/>
    <m/>
    <b v="0"/>
    <m/>
    <n v="-668763.87000000011"/>
    <n v="12689996"/>
    <n v="12.689996000000001"/>
    <n v="-659260"/>
    <n v="-659260"/>
    <n v="12.030735999999999"/>
    <n v="-0.65925999999999996"/>
    <n v="-0.66876387000000015"/>
    <n v="12.030735999999999"/>
    <n v="12.689996000000001"/>
    <n v="-0.65926000000000151"/>
  </r>
  <r>
    <s v="ULPRUD"/>
    <s v="Yes"/>
    <x v="56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70166928.79846799"/>
    <n v="15554245"/>
    <m/>
    <b v="0"/>
    <m/>
    <n v="-673150.85"/>
    <n v="16167560"/>
    <n v="16.167560000000002"/>
    <n v="-613315"/>
    <n v="-613315"/>
    <n v="15.554245"/>
    <n v="-0.61331500000000005"/>
    <n v="-0.67315084999999997"/>
    <n v="15.554245"/>
    <n v="16.167560000000002"/>
    <n v="-0.61331500000000183"/>
  </r>
  <r>
    <s v="DINAR1TF"/>
    <s v="Yes"/>
    <x v="57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43350273.71078199"/>
    <n v="1363503"/>
    <m/>
    <b v="0"/>
    <m/>
    <n v="-8576.35"/>
    <n v="1364632"/>
    <n v="1.3646320000000001"/>
    <n v="-1129"/>
    <n v="-1129"/>
    <n v="1.3635029999999999"/>
    <n v="-1.129E-3"/>
    <n v="-8.5763499999999999E-3"/>
    <n v="1.3635029999999999"/>
    <n v="1.3646320000000001"/>
    <n v="-1.1290000000001577E-3"/>
  </r>
  <r>
    <s v="DINAR2TF"/>
    <s v="Yes"/>
    <x v="58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52499167.475393"/>
    <n v="26945800"/>
    <m/>
    <b v="0"/>
    <m/>
    <n v="-155507.10000000009"/>
    <n v="26955727"/>
    <n v="26.955727"/>
    <n v="-9927"/>
    <n v="-9927"/>
    <n v="26.945799999999998"/>
    <n v="-9.9270000000000001E-3"/>
    <n v="-0.15550710000000009"/>
    <n v="26.945799999999998"/>
    <n v="26.955727"/>
    <n v="-9.9270000000011294E-3"/>
  </r>
  <r>
    <s v="DINAR3TF"/>
    <s v="Yes"/>
    <x v="59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57395061.84757999"/>
    <n v="795570"/>
    <m/>
    <b v="0"/>
    <m/>
    <n v="-3761.6500000000005"/>
    <n v="794524"/>
    <n v="0.79452400000000001"/>
    <n v="1046"/>
    <n v="1046"/>
    <n v="0.79557"/>
    <n v="1.0460000000000001E-3"/>
    <n v="-3.7616500000000005E-3"/>
    <n v="0.79557"/>
    <n v="0.79452400000000001"/>
    <n v="1.0459999999999914E-3"/>
  </r>
  <r>
    <s v="MATRUNIP"/>
    <s v="Yes"/>
    <x v="60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23986749.370975"/>
    <n v="12280450"/>
    <m/>
    <b v="0"/>
    <m/>
    <n v="-644373.75999999989"/>
    <n v="12897265"/>
    <n v="12.897265000000001"/>
    <n v="-616815"/>
    <n v="-616815"/>
    <n v="12.28045"/>
    <n v="-0.616815"/>
    <n v="-0.64437375999999991"/>
    <n v="12.28045"/>
    <n v="12.897265000000001"/>
    <n v="-0.61681500000000078"/>
  </r>
  <r>
    <s v="MUNIP"/>
    <s v="Yes"/>
    <x v="61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62393071.78226301"/>
    <n v="255343"/>
    <m/>
    <b v="0"/>
    <m/>
    <n v="-17807.07"/>
    <n v="272765"/>
    <n v="0.27276499999999998"/>
    <n v="-17422"/>
    <n v="-17422"/>
    <n v="0.25534299999999999"/>
    <n v="-1.7422E-2"/>
    <n v="-1.7807070000000001E-2"/>
    <n v="0.25534299999999999"/>
    <n v="0.27276499999999998"/>
    <n v="-1.7421999999999993E-2"/>
  </r>
  <r>
    <s v="MEPF2N"/>
    <s v="Yes"/>
    <x v="62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6117570.69861901"/>
    <n v="7616069"/>
    <m/>
    <b v="0"/>
    <m/>
    <n v="-350635.67999999988"/>
    <n v="7920799"/>
    <n v="7.9207989999999997"/>
    <n v="-304730"/>
    <n v="-304730"/>
    <n v="7.6160690000000004"/>
    <n v="-0.30473"/>
    <n v="-0.35063567999999989"/>
    <n v="7.6160690000000004"/>
    <n v="7.9207989999999997"/>
    <n v="-0.30472999999999928"/>
  </r>
  <r>
    <s v="MEPF5"/>
    <s v="Yes"/>
    <x v="63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66141402.92062801"/>
    <n v="72484395"/>
    <m/>
    <b v="0"/>
    <m/>
    <n v="-1379157.7200000009"/>
    <n v="73864832"/>
    <n v="73.864832000000007"/>
    <n v="-1380437"/>
    <n v="-1380437"/>
    <n v="72.484395000000006"/>
    <n v="-1.3804369999999999"/>
    <n v="-1.3791577200000009"/>
    <n v="72.484395000000006"/>
    <n v="73.864832000000007"/>
    <n v="-1.3804370000000006"/>
  </r>
  <r>
    <s v="MEPF6"/>
    <s v="Yes"/>
    <x v="64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58113575.86113399"/>
    <n v="64408792"/>
    <m/>
    <b v="0"/>
    <m/>
    <n v="-1481691.5300000005"/>
    <n v="65910670"/>
    <n v="65.910669999999996"/>
    <n v="-1501878"/>
    <n v="-1501878"/>
    <n v="64.408792000000005"/>
    <n v="-1.501878"/>
    <n v="-1.4816915300000004"/>
    <n v="64.408792000000005"/>
    <n v="65.910669999999996"/>
    <n v="-1.5018779999999907"/>
  </r>
  <r>
    <s v="MEPF8"/>
    <s v="Yes"/>
    <x v="65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44184151.890834"/>
    <n v="128787502"/>
    <m/>
    <b v="0"/>
    <m/>
    <n v="-2446438.419999999"/>
    <n v="132733973"/>
    <n v="132.73397299999999"/>
    <n v="-3946471"/>
    <n v="-3946471"/>
    <n v="128.78750199999999"/>
    <n v="-3.9464709999999998"/>
    <n v="-2.4464384199999989"/>
    <n v="128.78750199999999"/>
    <n v="132.73397299999999"/>
    <n v="-3.9464710000000025"/>
  </r>
  <r>
    <s v="ULG4NEW"/>
    <s v="Yes"/>
    <x v="66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96970719.92772499"/>
    <n v="411051"/>
    <m/>
    <b v="0"/>
    <m/>
    <n v="-681.71"/>
    <n v="406916"/>
    <n v="0.406916"/>
    <n v="4135"/>
    <n v="4135"/>
    <n v="0.411051"/>
    <n v="4.1349999999999998E-3"/>
    <n v="-6.8171000000000008E-4"/>
    <n v="0.411051"/>
    <n v="0.406916"/>
    <n v="4.1349999999999998E-3"/>
  </r>
  <r>
    <s v="MEPF10"/>
    <s v="Yes"/>
    <x v="67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639044963.34446"/>
    <n v="395535"/>
    <m/>
    <b v="0"/>
    <m/>
    <n v="-1323.0099999999998"/>
    <n v="393174"/>
    <n v="0.39317400000000002"/>
    <n v="2361"/>
    <n v="2361"/>
    <n v="0.39553500000000003"/>
    <n v="2.3609999999999998E-3"/>
    <n v="-1.3230099999999997E-3"/>
    <n v="0.39553500000000003"/>
    <n v="0.39317400000000002"/>
    <n v="2.361000000000002E-3"/>
  </r>
  <r>
    <s v="MEPF4"/>
    <s v="Yes"/>
    <x v="68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9879073.65219"/>
    <n v="1067361"/>
    <m/>
    <b v="0"/>
    <m/>
    <n v="-182908.58999999997"/>
    <n v="1249574"/>
    <n v="1.249574"/>
    <n v="-182213"/>
    <n v="-182213"/>
    <n v="1.067361"/>
    <n v="-0.18221300000000001"/>
    <n v="-0.18290858999999995"/>
    <n v="1.067361"/>
    <n v="1.249574"/>
    <n v="-0.18221299999999996"/>
  </r>
  <r>
    <s v="UES20"/>
    <s v="Yes"/>
    <x v="69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17530297.356382"/>
    <n v="23044548"/>
    <m/>
    <b v="0"/>
    <m/>
    <n v="-1652714.3599999989"/>
    <n v="24509694"/>
    <n v="24.509694"/>
    <n v="-1465146"/>
    <n v="-1465146"/>
    <n v="23.044547999999999"/>
    <n v="-1.4651460000000001"/>
    <n v="-1.6527143599999989"/>
    <n v="23.044547999999999"/>
    <n v="24.509694"/>
    <n v="-1.4651460000000007"/>
  </r>
  <r>
    <s v="UES30"/>
    <s v="Yes"/>
    <x v="70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18165044.484503"/>
    <n v="234658014"/>
    <m/>
    <b v="0"/>
    <m/>
    <n v="-17940993.880000018"/>
    <n v="250680875"/>
    <n v="250.68087499999999"/>
    <n v="-16022861"/>
    <n v="-16022861"/>
    <n v="234.65801400000001"/>
    <n v="-16.022860999999999"/>
    <n v="-17.940993880000018"/>
    <n v="234.65801400000001"/>
    <n v="250.68087499999999"/>
    <n v="-16.022860999999978"/>
  </r>
  <r>
    <s v="UES40"/>
    <s v="Yes"/>
    <x v="71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32504447.23408601"/>
    <n v="17723615"/>
    <m/>
    <b v="0"/>
    <m/>
    <n v="-1681571.7899999993"/>
    <n v="19212387"/>
    <n v="19.212387"/>
    <n v="-1488772"/>
    <n v="-1488772"/>
    <n v="17.723614999999999"/>
    <n v="-1.488772"/>
    <n v="-1.6815717899999993"/>
    <n v="17.723614999999999"/>
    <n v="19.212387"/>
    <n v="-1.4887720000000009"/>
  </r>
  <r>
    <s v="UES70"/>
    <s v="Yes"/>
    <x v="72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55309118.75409299"/>
    <n v="328851184"/>
    <m/>
    <b v="0"/>
    <m/>
    <n v="-40659051.159999982"/>
    <n v="366473118"/>
    <n v="366.473118"/>
    <n v="-37621934"/>
    <n v="-37621934"/>
    <n v="328.85118399999999"/>
    <n v="-37.621934000000003"/>
    <n v="-40.659051159999983"/>
    <n v="328.85118399999999"/>
    <n v="366.473118"/>
    <n v="-37.62193400000001"/>
  </r>
  <r>
    <s v="UES50"/>
    <s v="Yes"/>
    <x v="73"/>
    <x v="1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42608981.84143099"/>
    <n v="550852602"/>
    <m/>
    <b v="0"/>
    <m/>
    <n v="-66777686.989999987"/>
    <n v="613264658"/>
    <n v="613.26465800000005"/>
    <n v="-62412056"/>
    <n v="-62412056"/>
    <n v="550.85260200000005"/>
    <n v="-62.412056"/>
    <n v="-66.777686989999992"/>
    <n v="550.85260200000005"/>
    <n v="613.26465800000005"/>
    <n v="-62.412056000000007"/>
  </r>
  <r>
    <s v="PP3Y"/>
    <s v="Yes"/>
    <x v="74"/>
    <x v="1"/>
    <s v="On Original Risk List  "/>
    <s v="From Risk - Fund Responsibility - Model Portfolios"/>
    <s v="Allocation Driven Strategies"/>
    <x v="1"/>
    <m/>
    <m/>
    <s v="AMUNDI.IRL/INV/MAS/PMG/PMG"/>
    <s v="CASEY RICHARD"/>
    <s v="To be Affected"/>
    <m/>
    <n v="173624542.66213301"/>
    <n v="122521317"/>
    <m/>
    <b v="0"/>
    <m/>
    <n v="-188585.52999999974"/>
    <n v="121839302"/>
    <n v="121.839302"/>
    <n v="682015"/>
    <n v="682015"/>
    <n v="122.521317"/>
    <n v="0.68201500000000004"/>
    <n v="-0.18858552999999972"/>
    <n v="122.521317"/>
    <n v="121.839302"/>
    <n v="0.68201499999999271"/>
  </r>
  <r>
    <s v="MAL"/>
    <s v="Yes"/>
    <x v="75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123064.31436101"/>
    <n v="142698"/>
    <m/>
    <b v="0"/>
    <m/>
    <n v="-1625.16"/>
    <n v="143073"/>
    <n v="0.14307300000000001"/>
    <n v="-375"/>
    <n v="-375"/>
    <n v="0.14269799999999999"/>
    <n v="-3.7500000000000001E-4"/>
    <n v="-1.6251600000000001E-3"/>
    <n v="0.14269799999999999"/>
    <n v="0.14307300000000001"/>
    <n v="-3.7500000000001421E-4"/>
  </r>
  <r>
    <s v="MAF"/>
    <s v="Yes"/>
    <x v="76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5431829.81326699"/>
    <n v="87215"/>
    <m/>
    <b v="0"/>
    <m/>
    <n v="-1505.89"/>
    <n v="87979"/>
    <n v="8.7979000000000002E-2"/>
    <n v="-764"/>
    <n v="-764"/>
    <n v="8.7215000000000001E-2"/>
    <n v="-7.6400000000000003E-4"/>
    <n v="-1.5058900000000002E-3"/>
    <n v="8.7215000000000001E-2"/>
    <n v="8.7979000000000002E-2"/>
    <n v="-7.6400000000000079E-4"/>
  </r>
  <r>
    <s v="MAB"/>
    <s v="Yes"/>
    <x v="77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257809.171958"/>
    <n v="4871246"/>
    <m/>
    <b v="0"/>
    <m/>
    <n v="-70599.200000000041"/>
    <n v="4891405"/>
    <n v="4.8914049999999998"/>
    <n v="-20159"/>
    <n v="-20159"/>
    <n v="4.8712460000000002"/>
    <n v="-2.0159E-2"/>
    <n v="-7.0599200000000042E-2"/>
    <n v="4.8712460000000002"/>
    <n v="4.8914049999999998"/>
    <n v="-2.0158999999999594E-2"/>
  </r>
  <r>
    <s v="MAD"/>
    <s v="Yes"/>
    <x v="78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6304444.90159"/>
    <n v="341235"/>
    <m/>
    <b v="0"/>
    <m/>
    <n v="-2087.83"/>
    <n v="340831"/>
    <n v="0.340831"/>
    <n v="404"/>
    <n v="404"/>
    <n v="0.34123500000000001"/>
    <n v="4.0400000000000001E-4"/>
    <n v="-2.0878299999999997E-3"/>
    <n v="0.34123500000000001"/>
    <n v="0.340831"/>
    <n v="4.0400000000001546E-4"/>
  </r>
  <r>
    <s v="MAC"/>
    <s v="Yes"/>
    <x v="79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5816999.138579"/>
    <n v="187778"/>
    <m/>
    <b v="0"/>
    <m/>
    <n v="-1740.22"/>
    <n v="187915"/>
    <n v="0.187915"/>
    <n v="-137"/>
    <n v="-137"/>
    <n v="0.187778"/>
    <n v="-1.37E-4"/>
    <n v="-1.74022E-3"/>
    <n v="0.187778"/>
    <n v="0.187915"/>
    <n v="-1.3699999999999823E-4"/>
  </r>
  <r>
    <s v="MAH"/>
    <s v="Yes"/>
    <x v="80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7971611.001837"/>
    <n v="634676"/>
    <m/>
    <b v="0"/>
    <m/>
    <n v="-2758.01"/>
    <n v="631685"/>
    <n v="0.63168500000000005"/>
    <n v="2991"/>
    <n v="2991"/>
    <n v="0.63467600000000002"/>
    <n v="2.9910000000000002E-3"/>
    <n v="-2.7580100000000004E-3"/>
    <n v="0.63467600000000002"/>
    <n v="0.63168500000000005"/>
    <n v="2.9909999999999659E-3"/>
  </r>
  <r>
    <s v="MAG"/>
    <s v="Yes"/>
    <x v="81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6807681.44795699"/>
    <n v="134904"/>
    <m/>
    <b v="0"/>
    <m/>
    <n v="-1605.7"/>
    <n v="135227"/>
    <n v="0.13522700000000001"/>
    <n v="-323"/>
    <n v="-323"/>
    <n v="0.134904"/>
    <n v="-3.2299999999999999E-4"/>
    <n v="-1.6057000000000001E-3"/>
    <n v="0.134904"/>
    <n v="0.13522700000000001"/>
    <n v="-3.2300000000001772E-4"/>
  </r>
  <r>
    <s v="MAE"/>
    <s v="Yes"/>
    <x v="82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5199855.064237"/>
    <n v="154948"/>
    <m/>
    <b v="0"/>
    <m/>
    <n v="-1644.49"/>
    <n v="155214"/>
    <n v="0.15521399999999999"/>
    <n v="-266"/>
    <n v="-266"/>
    <n v="0.154948"/>
    <n v="-2.6600000000000001E-4"/>
    <n v="-1.64449E-3"/>
    <n v="0.154948"/>
    <n v="0.15521399999999999"/>
    <n v="-2.6599999999998847E-4"/>
  </r>
  <r>
    <s v="MAA"/>
    <s v="Yes"/>
    <x v="83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11570275.28652801"/>
    <n v="279016"/>
    <m/>
    <b v="0"/>
    <m/>
    <n v="-1958.1100000000001"/>
    <n v="278072"/>
    <n v="0.27807199999999999"/>
    <n v="944"/>
    <n v="944"/>
    <n v="0.27901599999999999"/>
    <n v="9.4399999999999996E-4"/>
    <n v="-1.9581100000000003E-3"/>
    <n v="0.27901599999999999"/>
    <n v="0.27807199999999999"/>
    <n v="9.4400000000000039E-4"/>
  </r>
  <r>
    <s v="MAN"/>
    <s v="Yes"/>
    <x v="84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11414919.584572"/>
    <n v="28074"/>
    <m/>
    <b v="0"/>
    <m/>
    <n v="-1209.0000000000002"/>
    <n v="29020"/>
    <n v="2.9020000000000001E-2"/>
    <n v="-946"/>
    <n v="-946"/>
    <n v="2.8074000000000002E-2"/>
    <n v="-9.4600000000000001E-4"/>
    <n v="-1.2090000000000002E-3"/>
    <n v="2.8074000000000002E-2"/>
    <n v="2.9020000000000001E-2"/>
    <n v="-9.4599999999999893E-4"/>
  </r>
  <r>
    <s v="MAM"/>
    <s v="Yes"/>
    <x v="85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977985.737858"/>
    <n v="16557"/>
    <m/>
    <b v="0"/>
    <m/>
    <n v="-579.68999999999983"/>
    <n v="16991"/>
    <n v="1.6990999999999999E-2"/>
    <n v="-434"/>
    <n v="-434"/>
    <n v="1.6556999999999999E-2"/>
    <n v="-4.3399999999999998E-4"/>
    <n v="-5.7968999999999978E-4"/>
    <n v="1.6556999999999999E-2"/>
    <n v="1.6990999999999999E-2"/>
    <n v="-4.3400000000000036E-4"/>
  </r>
  <r>
    <s v="CNPTHEMPROT"/>
    <s v="Yes"/>
    <x v="86"/>
    <x v="1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195364106"/>
    <m/>
    <m/>
    <m/>
    <n v="-10521304.209999999"/>
    <n v="201751089"/>
    <n v="201.75108900000001"/>
    <n v="-6386983"/>
    <n v="-6386983"/>
    <n v="195.36410599999999"/>
    <n v="-6.3869829999999999"/>
    <n v="-10.521304209999998"/>
    <n v="195.36410599999999"/>
    <n v="0"/>
    <n v="195.36410599999999"/>
  </r>
  <r>
    <s v="CRVTHEMPROT"/>
    <s v="Yes"/>
    <x v="87"/>
    <x v="1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307505809"/>
    <m/>
    <m/>
    <m/>
    <n v="-11494400.819999998"/>
    <n v="312423908"/>
    <n v="312.42390799999998"/>
    <n v="-4918099"/>
    <n v="-4918099"/>
    <n v="307.505809"/>
    <n v="-4.9180989999999998"/>
    <n v="-11.494400819999999"/>
    <n v="307.505809"/>
    <n v="0"/>
    <n v="307.505809"/>
  </r>
  <r>
    <s v="CNPDYNPR80"/>
    <s v="Yes"/>
    <x v="88"/>
    <x v="1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n v="111167018.79302099"/>
    <n v="116832547"/>
    <m/>
    <b v="0"/>
    <m/>
    <n v="-16088829.240000004"/>
    <n v="132260888"/>
    <n v="132.26088799999999"/>
    <n v="-15428341"/>
    <n v="-15428341"/>
    <n v="116.83254700000001"/>
    <n v="-15.428341"/>
    <n v="-16.088829240000003"/>
    <n v="116.83254700000001"/>
    <n v="132.26088799999999"/>
    <n v="-15.428340999999989"/>
  </r>
  <r>
    <s v="CRVDYNPR80"/>
    <s v="Yes"/>
    <x v="89"/>
    <x v="1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n v="110734811.618277"/>
    <n v="279293562"/>
    <m/>
    <b v="0"/>
    <m/>
    <n v="-25728394.100000024"/>
    <n v="303707882"/>
    <n v="303.70788199999998"/>
    <n v="-24414320"/>
    <n v="-24414320"/>
    <n v="279.29356200000001"/>
    <n v="-24.41432"/>
    <n v="-25.728394100000024"/>
    <n v="279.29356200000001"/>
    <n v="303.70788199999998"/>
    <n v="-24.414319999999975"/>
  </r>
  <r>
    <s v="CNPPROT80"/>
    <s v="Yes"/>
    <x v="90"/>
    <x v="1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96897819"/>
    <m/>
    <b v="0"/>
    <m/>
    <n v="367906.5400000001"/>
    <n v="92942418"/>
    <n v="92.942418000000004"/>
    <n v="3955401"/>
    <n v="3955401"/>
    <n v="96.897818999999998"/>
    <n v="3.9554010000000002"/>
    <n v="0.36790654000000012"/>
    <n v="96.897818999999998"/>
    <n v="92.942418000000004"/>
    <n v="3.9554009999999948"/>
  </r>
  <r>
    <s v="CRVPROT80"/>
    <s v="Yes"/>
    <x v="91"/>
    <x v="1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106822030"/>
    <m/>
    <b v="0"/>
    <m/>
    <n v="1020637.6299999998"/>
    <n v="101671056"/>
    <n v="101.67105599999999"/>
    <n v="5150974"/>
    <n v="5150974"/>
    <n v="106.82203"/>
    <n v="5.1509739999999997"/>
    <n v="1.0206376299999997"/>
    <n v="106.82203"/>
    <n v="101.67105599999999"/>
    <n v="5.150974000000005"/>
  </r>
  <r>
    <s v="MLINC"/>
    <s v="Yes"/>
    <x v="92"/>
    <x v="1"/>
    <s v="On Original Risk List  "/>
    <s v="From Risk - Fund Responsibility - Model Portfolios"/>
    <s v="Outcome Oriented Strategies"/>
    <x v="4"/>
    <m/>
    <m/>
    <s v="AMUNDI.IRL/INV/MAS/PMG"/>
    <s v="BUONO SALVATORE"/>
    <s v="To be Affected"/>
    <m/>
    <n v="123428954.947797"/>
    <n v="215406941"/>
    <m/>
    <b v="0"/>
    <m/>
    <n v="-15247022.630000001"/>
    <n v="230490457"/>
    <n v="230.49045699999999"/>
    <n v="-15083516"/>
    <n v="-15083516"/>
    <n v="215.40694099999999"/>
    <n v="-15.083515999999999"/>
    <n v="-15.24702263"/>
    <n v="215.40694099999999"/>
    <n v="230.49045699999999"/>
    <n v="-15.083516000000003"/>
  </r>
  <r>
    <s v="MULLI360"/>
    <s v="Yes"/>
    <x v="93"/>
    <x v="1"/>
    <s v="On Original Risk List  "/>
    <s v="From Risk - Fund Responsibility - Model Portfolios"/>
    <s v="Outcome Oriented Strategies"/>
    <x v="4"/>
    <m/>
    <m/>
    <s v="AMUNDI.IRL/INV/MAS/PMG"/>
    <s v="BUONO SALVATORE"/>
    <s v="To be Affected"/>
    <m/>
    <n v="121179752.07127599"/>
    <n v="154991340"/>
    <m/>
    <b v="0"/>
    <m/>
    <n v="-14572498.070000004"/>
    <n v="170018725"/>
    <n v="170.01872499999999"/>
    <n v="-15027385"/>
    <n v="-15027385"/>
    <n v="154.99134000000001"/>
    <n v="-15.027385000000001"/>
    <n v="-14.572498070000004"/>
    <n v="154.99134000000001"/>
    <n v="170.01872499999999"/>
    <n v="-15.027384999999981"/>
  </r>
  <r>
    <s v="ULACCO"/>
    <s v="Yes"/>
    <x v="94"/>
    <x v="1"/>
    <s v="On Original Risk List  "/>
    <s v="From Risk - Fund Responsibility - Model Portfolios"/>
    <s v="Outcome Oriented Strategies"/>
    <x v="3"/>
    <m/>
    <m/>
    <s v="AMUNDI.IRL/INV/MAS/PMG"/>
    <s v="BUONO SALVATORE"/>
    <s v="To be Affected"/>
    <m/>
    <n v="118882703.590166"/>
    <n v="4704953"/>
    <m/>
    <b v="0"/>
    <m/>
    <n v="-340502.77"/>
    <n v="5173858"/>
    <n v="5.1738580000000001"/>
    <n v="-468905"/>
    <n v="-468905"/>
    <n v="4.7049529999999997"/>
    <n v="-0.46890500000000002"/>
    <n v="-0.34050277000000001"/>
    <n v="4.7049529999999997"/>
    <n v="5.1738580000000001"/>
    <n v="-0.46890500000000035"/>
  </r>
  <r>
    <s v="MUSI"/>
    <s v="Yes"/>
    <x v="95"/>
    <x v="1"/>
    <s v="On Original Risk List  "/>
    <s v="From Risk - Fund Responsibility - Model Portfolios"/>
    <s v="Outcome Oriented Strategies"/>
    <x v="4"/>
    <m/>
    <m/>
    <s v="AMUNDI.IRL/INV/MAS/PMG"/>
    <s v="BUONO SALVATORE"/>
    <s v="To be Affected"/>
    <m/>
    <n v="119055652.78436001"/>
    <n v="239238036"/>
    <m/>
    <b v="0"/>
    <m/>
    <n v="-24530124.020000018"/>
    <n v="263555955"/>
    <n v="263.55595499999998"/>
    <n v="-24317919"/>
    <n v="-24317919"/>
    <n v="239.23803599999999"/>
    <n v="-24.317919"/>
    <n v="-24.530124020000017"/>
    <n v="239.23803599999999"/>
    <n v="263.55595499999998"/>
    <n v="-24.317918999999989"/>
  </r>
  <r>
    <s v="PMAI"/>
    <s v="Yes"/>
    <x v="96"/>
    <x v="1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446631.677074"/>
    <n v="77561"/>
    <m/>
    <b v="0"/>
    <m/>
    <m/>
    <n v="78336"/>
    <n v="7.8336000000000003E-2"/>
    <n v="-775"/>
    <n v="-775"/>
    <n v="7.7561000000000005E-2"/>
    <n v="-7.7499999999999997E-4"/>
    <n v="0"/>
    <n v="7.7561000000000005E-2"/>
    <n v="7.8336000000000003E-2"/>
    <n v="-7.7499999999999791E-4"/>
  </r>
  <r>
    <s v="ULBER-"/>
    <s v="Yes"/>
    <x v="97"/>
    <x v="1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207709959.66864499"/>
    <n v="5017578"/>
    <m/>
    <b v="0"/>
    <m/>
    <m/>
    <n v="5017578"/>
    <n v="5.0175780000000003"/>
    <n v="0"/>
    <n v="0"/>
    <n v="5.0175780000000003"/>
    <n v="0"/>
    <n v="0"/>
    <n v="0"/>
    <n v="0"/>
    <n v="0"/>
  </r>
  <r>
    <s v="ULDER"/>
    <s v="Yes"/>
    <x v="98"/>
    <x v="1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51863210.81133899"/>
    <n v="0"/>
    <m/>
    <b v="0"/>
    <m/>
    <m/>
    <n v="0"/>
    <n v="0"/>
    <n v="0"/>
    <n v="0"/>
    <n v="0"/>
    <n v="0"/>
    <n v="0"/>
    <n v="0"/>
    <n v="0"/>
    <n v="0"/>
  </r>
  <r>
    <s v="ULPER"/>
    <s v="Yes"/>
    <x v="99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7209342.62897399"/>
    <n v="0"/>
    <m/>
    <b v="0"/>
    <m/>
    <m/>
    <n v="0"/>
    <n v="0"/>
    <n v="0"/>
    <n v="0"/>
    <n v="0"/>
    <n v="0"/>
    <n v="0"/>
    <n v="0"/>
    <n v="0"/>
    <n v="0"/>
  </r>
  <r>
    <s v="ULP-ER"/>
    <s v="Yes"/>
    <x v="100"/>
    <x v="1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76197956.52590799"/>
    <n v="0"/>
    <m/>
    <b v="0"/>
    <m/>
    <m/>
    <n v="0"/>
    <n v="0"/>
    <n v="0"/>
    <n v="0"/>
    <n v="0"/>
    <n v="0"/>
    <n v="0"/>
    <n v="0"/>
    <m/>
    <m/>
  </r>
  <r>
    <s v="R2M"/>
    <s v="Yes"/>
    <x v="101"/>
    <x v="1"/>
    <s v="Added by Ronan"/>
    <s v="From Risk - Fund Responsibility - Model Portfolios"/>
    <s v="Allocation Driven Strategies"/>
    <x v="2"/>
    <m/>
    <m/>
    <m/>
    <m/>
    <m/>
    <m/>
    <m/>
    <n v="3991454"/>
    <m/>
    <b v="0"/>
    <m/>
    <n v="-34928.270000000019"/>
    <n v="3913810"/>
    <n v="3.9138099999999998"/>
    <n v="77644"/>
    <n v="77644"/>
    <n v="3.9914540000000001"/>
    <n v="7.7644000000000005E-2"/>
    <n v="-3.4928270000000018E-2"/>
    <n v="3.9914540000000001"/>
    <n v="3.9138099999999998"/>
    <n v="7.7644000000000268E-2"/>
  </r>
  <r>
    <s v="ULC"/>
    <s v="Yes"/>
    <x v="102"/>
    <x v="1"/>
    <s v="On Original Risk List  "/>
    <s v="From Risk - Models master - Sheet 1"/>
    <s v="Allocation Driven Strategies"/>
    <x v="1"/>
    <m/>
    <m/>
    <s v="AMUNDI.IRL/INV/MAS/PMG"/>
    <s v="BUONO SALVATORE"/>
    <s v="To be Affected"/>
    <m/>
    <n v="134854780.55061799"/>
    <n v="27311192"/>
    <m/>
    <b v="0"/>
    <m/>
    <n v="-523806.44999999984"/>
    <n v="27597514"/>
    <n v="27.597514"/>
    <n v="-286322"/>
    <n v="-286322"/>
    <n v="27.311191999999998"/>
    <n v="-0.28632200000000002"/>
    <n v="-0.52380644999999981"/>
    <n v="27.311191999999998"/>
    <n v="27.597514"/>
    <n v="-0.28632200000000196"/>
  </r>
  <r>
    <s v="UNGOALS"/>
    <s v="Yes"/>
    <x v="103"/>
    <x v="1"/>
    <m/>
    <m/>
    <s v="Outcome Oriented Strategies"/>
    <x v="5"/>
    <m/>
    <m/>
    <m/>
    <m/>
    <m/>
    <m/>
    <m/>
    <n v="909580051"/>
    <m/>
    <b v="0"/>
    <m/>
    <n v="8885720.7199999932"/>
    <n v="869067080"/>
    <n v="869.06708000000003"/>
    <n v="40512971"/>
    <n v="40512971"/>
    <n v="909.58005100000003"/>
    <n v="40.512971"/>
    <n v="8.885720719999993"/>
    <n v="909.58005100000003"/>
    <n v="869.06708000000003"/>
    <n v="40.512970999999993"/>
  </r>
  <r>
    <s v="ULMATREND"/>
    <s v="Yes"/>
    <x v="104"/>
    <x v="1"/>
    <m/>
    <m/>
    <s v="Outcome Oriented Strategies"/>
    <x v="5"/>
    <m/>
    <m/>
    <m/>
    <m/>
    <m/>
    <m/>
    <m/>
    <n v="252843377"/>
    <m/>
    <b v="0"/>
    <m/>
    <n v="6517412.1099999938"/>
    <n v="239873847"/>
    <n v="239.87384700000001"/>
    <n v="12969530"/>
    <n v="12969530"/>
    <n v="252.843377"/>
    <n v="12.969530000000001"/>
    <n v="6.5174121099999942"/>
    <n v="252.843377"/>
    <n v="239.87384700000001"/>
    <n v="12.969529999999992"/>
  </r>
  <r>
    <s v="ULFTREND "/>
    <s v="Yes"/>
    <x v="105"/>
    <x v="1"/>
    <m/>
    <m/>
    <s v="Outcome Oriented Strategies"/>
    <x v="5"/>
    <m/>
    <m/>
    <m/>
    <m/>
    <m/>
    <m/>
    <m/>
    <s v=""/>
    <m/>
    <b v="0"/>
    <m/>
    <n v="226891.29000000094"/>
    <s v=""/>
    <s v=""/>
    <s v=""/>
    <s v=""/>
    <s v=""/>
    <s v=""/>
    <n v="0.22689129000000094"/>
    <m/>
    <s v=""/>
    <s v=""/>
  </r>
  <r>
    <s v="Multhem"/>
    <s v="Yes"/>
    <x v="106"/>
    <x v="1"/>
    <s v="On Original Risk List  "/>
    <s v="From Risk - Models master - Sheet 1"/>
    <s v="Outcome Oriented Strategies"/>
    <x v="5"/>
    <m/>
    <m/>
    <m/>
    <m/>
    <m/>
    <m/>
    <m/>
    <m/>
    <m/>
    <b v="0"/>
    <m/>
    <m/>
    <m/>
    <n v="0"/>
    <n v="0"/>
    <n v="0"/>
    <n v="0"/>
    <n v="0"/>
    <n v="0"/>
    <n v="1795.6708269999999"/>
    <n v="1777.2550980000001"/>
    <n v="18.415728999999828"/>
  </r>
  <r>
    <s v="AAPROT80"/>
    <s v="Yes"/>
    <x v="107"/>
    <x v="1"/>
    <s v="Added by Ronan"/>
    <s v="Models AUM - Desk Mapping"/>
    <s v="Outcome Oriented Strategies"/>
    <x v="11"/>
    <m/>
    <m/>
    <m/>
    <m/>
    <m/>
    <m/>
    <m/>
    <n v="105977735"/>
    <m/>
    <b v="0"/>
    <m/>
    <n v="-3090101.6899999995"/>
    <n v="108101631"/>
    <n v="108.101631"/>
    <n v="-2123896"/>
    <n v="-2123896"/>
    <n v="105.977735"/>
    <n v="-2.1238959999999998"/>
    <n v="-3.0901016899999996"/>
    <n v="105.977735"/>
    <n v="108.101631"/>
    <n v="-2.123896000000002"/>
  </r>
  <r>
    <s v="MULSTEP"/>
    <s v="Yes"/>
    <x v="108"/>
    <x v="1"/>
    <s v="On Original Risk List  "/>
    <s v="Not on another list - but included verbally by Salva"/>
    <s v="Outcome Oriented Strategies"/>
    <x v="3"/>
    <m/>
    <m/>
    <s v="AMUNDI.IRL/INV/MAS/PMG"/>
    <s v="BUONO SALVATORE"/>
    <s v="To be Affected"/>
    <m/>
    <n v="99030590.242356494"/>
    <m/>
    <m/>
    <b v="0"/>
    <m/>
    <n v="-334707.83"/>
    <m/>
    <n v="0"/>
    <n v="0"/>
    <n v="0"/>
    <n v="0"/>
    <n v="0"/>
    <n v="-0.33470783000000004"/>
    <n v="8.2036999999999995"/>
    <n v="8.3739450000000009"/>
    <n v="-0.17024500000000131"/>
  </r>
  <r>
    <s v="DIOP3"/>
    <s v="Yes"/>
    <x v="109"/>
    <x v="1"/>
    <s v="On Original Risk List  "/>
    <s v="Not on another list - but included verbally by Salva"/>
    <s v="Outcome Oriented Strategies"/>
    <x v="4"/>
    <m/>
    <m/>
    <s v="AMUNDI.IRL/INV/MAS/PMG"/>
    <s v="NICHOLAS POTHIER"/>
    <s v="To be Affected"/>
    <m/>
    <n v="102220704.24242701"/>
    <n v="5231379.8499999996"/>
    <m/>
    <b v="0"/>
    <m/>
    <m/>
    <n v="6968432.6399999997"/>
    <n v="6.9684326399999996"/>
    <n v="-1737052.79"/>
    <n v="-1737052.79"/>
    <n v="5.2313798499999997"/>
    <n v="-1.7370527900000001"/>
    <n v="0"/>
    <m/>
    <m/>
    <n v="0"/>
  </r>
  <r>
    <s v="DIOP4"/>
    <s v="Yes"/>
    <x v="110"/>
    <x v="1"/>
    <s v="On Original Risk List  "/>
    <s v="Not on another list - but included verbally by Salva"/>
    <s v="Outcome Oriented Strategies"/>
    <x v="5"/>
    <m/>
    <m/>
    <s v="AMUNDI.IRL/INV/MAS/PMG"/>
    <s v="NICHOLAS POTHIER"/>
    <s v="To be Affected"/>
    <m/>
    <n v="102840578.94022"/>
    <n v="9542350.5099999998"/>
    <m/>
    <b v="0"/>
    <m/>
    <m/>
    <n v="14185291.16"/>
    <n v="14.18529116"/>
    <n v="-4642940.6500000004"/>
    <n v="-4642940.6500000004"/>
    <n v="9.5423505100000003"/>
    <n v="-4.6429406500000008"/>
    <n v="0"/>
    <m/>
    <m/>
    <n v="0"/>
  </r>
  <r>
    <s v="BBSECCORE"/>
    <s v="Yes"/>
    <x v="111"/>
    <x v="2"/>
    <s v="On Original Risk List  "/>
    <s v="Not on another list - but included verbally by Salva"/>
    <m/>
    <x v="7"/>
    <m/>
    <m/>
    <s v="AMUNDI.IRL/INV/MAS/PMG/PMG"/>
    <s v="CASEY RICHARD"/>
    <s v="To be Affected"/>
    <m/>
    <n v="102684355.49557801"/>
    <n v="0"/>
    <m/>
    <e v="#N/A"/>
    <m/>
    <m/>
    <n v="0"/>
    <n v="0"/>
    <n v="0"/>
    <n v="0"/>
    <n v="0"/>
    <n v="0"/>
    <n v="0"/>
    <m/>
    <m/>
    <n v="0"/>
  </r>
  <r>
    <s v="BBSECPERIPH"/>
    <s v="Yes"/>
    <x v="112"/>
    <x v="2"/>
    <s v="On Original Risk List  "/>
    <s v="Not on another list - but included verbally by Salva"/>
    <m/>
    <x v="7"/>
    <m/>
    <m/>
    <s v="AMUNDI.IRL/INV/MAS/PMG/PMG"/>
    <s v="CASEY RICHARD"/>
    <s v="To be Affected"/>
    <m/>
    <n v="105073036.860901"/>
    <n v="0"/>
    <m/>
    <e v="#N/A"/>
    <m/>
    <m/>
    <n v="0"/>
    <n v="0"/>
    <n v="0"/>
    <n v="0"/>
    <n v="0"/>
    <n v="0"/>
    <n v="0"/>
    <m/>
    <m/>
    <n v="0"/>
  </r>
  <r>
    <s v="BBSECEURIG"/>
    <s v="Yes"/>
    <x v="113"/>
    <x v="2"/>
    <s v="On Original Risk List  "/>
    <s v="Not on another list - but included verbally by Salva"/>
    <m/>
    <x v="7"/>
    <m/>
    <m/>
    <s v="AMUNDI.IRL/INV/MAS/PMG/PMG"/>
    <s v="CASEY RICHARD"/>
    <s v="To be Affected"/>
    <m/>
    <n v="102950891.035953"/>
    <n v="0"/>
    <m/>
    <e v="#N/A"/>
    <m/>
    <m/>
    <n v="0"/>
    <n v="0"/>
    <n v="0"/>
    <n v="0"/>
    <n v="0"/>
    <n v="0"/>
    <n v="0"/>
    <m/>
    <m/>
    <n v="0"/>
  </r>
  <r>
    <s v="BBSECUSTBOND"/>
    <s v="Yes"/>
    <x v="114"/>
    <x v="2"/>
    <s v="On Original Risk List  "/>
    <s v="Not on another list - but included verbally by Salva"/>
    <m/>
    <x v="7"/>
    <m/>
    <m/>
    <s v="AMUNDI.IRL/INV/MAS/PMG/PMG"/>
    <s v="CASEY RICHARD"/>
    <s v="To be Affected"/>
    <m/>
    <n v="103916500.733969"/>
    <n v="0"/>
    <m/>
    <e v="#N/A"/>
    <m/>
    <m/>
    <n v="0"/>
    <n v="0"/>
    <n v="0"/>
    <n v="0"/>
    <n v="0"/>
    <n v="0"/>
    <n v="0"/>
    <m/>
    <m/>
    <n v="0"/>
  </r>
  <r>
    <s v="DIOP 1"/>
    <s v="Yes"/>
    <x v="115"/>
    <x v="1"/>
    <s v="On Original Risk List  "/>
    <s v="Not on another list - but included verbally by Salva"/>
    <s v="Outcome Oriented Strategies"/>
    <x v="4"/>
    <m/>
    <m/>
    <m/>
    <m/>
    <m/>
    <m/>
    <m/>
    <n v="9442288.8699999992"/>
    <m/>
    <b v="0"/>
    <m/>
    <m/>
    <n v="9783751.7300000004"/>
    <n v="9.7837517300000005"/>
    <n v="-341462.86000000127"/>
    <n v="-341462.86000000127"/>
    <n v="9.4422888699999987"/>
    <n v="-0.34146286000000126"/>
    <n v="0"/>
    <m/>
    <m/>
    <n v="0"/>
  </r>
  <r>
    <s v="DIOP 2"/>
    <s v="Yes"/>
    <x v="116"/>
    <x v="1"/>
    <s v="On Original Risk List  "/>
    <s v="Not on another list - but included verbally by Salva"/>
    <s v="Outcome Oriented Strategies"/>
    <x v="4"/>
    <m/>
    <m/>
    <m/>
    <m/>
    <m/>
    <m/>
    <m/>
    <n v="3345435.45"/>
    <m/>
    <b v="0"/>
    <m/>
    <m/>
    <n v="3901388.43"/>
    <n v="3.9013884300000004"/>
    <n v="-555952.98"/>
    <n v="-555952.98"/>
    <n v="3.3454354500000001"/>
    <n v="-0.55595297999999993"/>
    <n v="0"/>
    <m/>
    <m/>
    <n v="0"/>
  </r>
  <r>
    <s v="PF82304"/>
    <s v="Yes"/>
    <x v="117"/>
    <x v="0"/>
    <s v="On Original Risk List  "/>
    <s v="From Risk - Fund Responsibility - Dublin Funds"/>
    <m/>
    <x v="7"/>
    <m/>
    <m/>
    <m/>
    <s v="CASEY RICHARD"/>
    <s v="To be Affected"/>
    <s v="DUB EFI Absolute Return Aggregate"/>
    <m/>
    <m/>
    <m/>
    <b v="0"/>
    <m/>
    <m/>
    <m/>
    <m/>
    <m/>
    <m/>
    <m/>
    <m/>
    <m/>
    <m/>
    <m/>
    <m/>
  </r>
  <r>
    <s v="PF80513"/>
    <s v="Yes"/>
    <x v="118"/>
    <x v="0"/>
    <s v="On Original Risk List  "/>
    <s v="From Risk - Fund Responsibility - Dublin Funds"/>
    <m/>
    <x v="7"/>
    <m/>
    <m/>
    <m/>
    <s v="CASEY RICHARD"/>
    <s v="To be Affected"/>
    <s v="DUB EFI Absolute Return Aggregate"/>
    <m/>
    <m/>
    <m/>
    <b v="0"/>
    <m/>
    <m/>
    <m/>
    <m/>
    <m/>
    <m/>
    <m/>
    <m/>
    <m/>
    <m/>
    <m/>
    <m/>
  </r>
  <r>
    <s v="MUSG"/>
    <s v="Yes"/>
    <x v="119"/>
    <x v="1"/>
    <s v="Added by Ronan"/>
    <s v="From Risk - Models Master - Sheet 2"/>
    <s v="Outcome Oriented Strategies"/>
    <x v="5"/>
    <m/>
    <m/>
    <m/>
    <m/>
    <m/>
    <m/>
    <m/>
    <m/>
    <m/>
    <n v="0"/>
    <m/>
    <m/>
    <m/>
    <n v="0"/>
    <n v="0"/>
    <n v="0"/>
    <n v="0"/>
    <n v="0"/>
    <n v="0"/>
    <n v="486.69832250000002"/>
    <n v="540.05298000000005"/>
    <n v="-53.35465750000003"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n v="12904733148.691843"/>
    <m/>
    <m/>
    <m/>
    <n v="-826696136.93261468"/>
    <n v="13343668606.855078"/>
    <n v="13343.668606855081"/>
    <n v="-438935458.16323656"/>
    <n v="-438935458.16323656"/>
    <n v="12904.733148691845"/>
    <n v="-438.93545816323638"/>
    <n v="-826.69613693261454"/>
    <m/>
    <m/>
    <m/>
  </r>
  <r>
    <n v="1"/>
    <n v="2"/>
    <x v="120"/>
    <x v="3"/>
    <n v="5"/>
    <n v="6"/>
    <n v="7"/>
    <x v="12"/>
    <n v="9"/>
    <n v="10"/>
    <n v="11"/>
    <n v="12"/>
    <n v="13"/>
    <n v="14"/>
    <n v="15"/>
    <n v="16"/>
    <n v="17"/>
    <n v="18"/>
    <n v="19"/>
    <n v="20"/>
    <n v="20"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n v="-675210.60000000009"/>
    <n v="5173858"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n v="-438935458.16323471"/>
    <n v="-0.13050427746567456"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n v="2.9059525546833099E-2"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n v="387760678.76937997"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  <r>
    <m/>
    <m/>
    <x v="21"/>
    <x v="2"/>
    <m/>
    <m/>
    <m/>
    <x v="7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1PM"/>
    <x v="0"/>
    <x v="0"/>
    <s v="Allocation Driven Strategies"/>
    <x v="0"/>
    <s v="Craig"/>
    <m/>
    <n v="286172410"/>
  </r>
  <r>
    <s v="1QM"/>
    <x v="1"/>
    <x v="0"/>
    <s v="Allocation Driven Strategies"/>
    <x v="1"/>
    <s v="Craig"/>
    <m/>
    <n v="44621309"/>
  </r>
  <r>
    <s v="1RM"/>
    <x v="2"/>
    <x v="0"/>
    <s v="Allocation Driven Strategies"/>
    <x v="2"/>
    <s v="Craig"/>
    <m/>
    <n v="29605967"/>
  </r>
  <r>
    <s v="AAPROT80"/>
    <x v="3"/>
    <x v="0"/>
    <s v="Outcome Oriented Strategies"/>
    <x v="3"/>
    <s v="Jen"/>
    <s v="Craig"/>
    <n v="105977735"/>
  </r>
  <r>
    <s v="BBSECCORE"/>
    <x v="4"/>
    <x v="0"/>
    <s v="Building Block"/>
    <x v="4"/>
    <s v="Richard"/>
    <s v="Alan"/>
    <n v="0"/>
  </r>
  <r>
    <s v="BBSECEURIG"/>
    <x v="5"/>
    <x v="0"/>
    <s v="Building Block"/>
    <x v="4"/>
    <s v="Richard"/>
    <s v="Alan"/>
    <n v="0"/>
  </r>
  <r>
    <s v="BBSECPERIPH"/>
    <x v="6"/>
    <x v="0"/>
    <s v="Building Block"/>
    <x v="4"/>
    <s v="Richard"/>
    <s v="Alan"/>
    <n v="0"/>
  </r>
  <r>
    <s v="BBSECUSTBOND"/>
    <x v="7"/>
    <x v="0"/>
    <s v="Building Block"/>
    <x v="4"/>
    <s v="Richard"/>
    <s v="Alan"/>
    <n v="0"/>
  </r>
  <r>
    <s v="CCRESCITA"/>
    <x v="8"/>
    <x v="0"/>
    <s v="Allocation Driven Strategies"/>
    <x v="0"/>
    <s v="Craig"/>
    <m/>
    <n v="1259071"/>
  </r>
  <r>
    <s v="CMEDIUM"/>
    <x v="9"/>
    <x v="0"/>
    <s v="Allocation Driven Strategies"/>
    <x v="1"/>
    <s v="Craig"/>
    <m/>
    <n v="221348"/>
  </r>
  <r>
    <s v="CNPDYNPR80"/>
    <x v="10"/>
    <x v="0"/>
    <s v="Outcome Oriented Strategies"/>
    <x v="3"/>
    <s v="Jen"/>
    <s v="Craig"/>
    <n v="116832547"/>
  </r>
  <r>
    <s v="CNPPROT80"/>
    <x v="11"/>
    <x v="0"/>
    <s v="Outcome Oriented Strategies"/>
    <x v="3"/>
    <s v="Jen"/>
    <s v="Craig"/>
    <n v="96897819"/>
  </r>
  <r>
    <s v="CNPTHEMPROT"/>
    <x v="12"/>
    <x v="0"/>
    <s v="Outcome Oriented Strategies"/>
    <x v="3"/>
    <s v="Jen"/>
    <s v="Craig"/>
    <n v="195364106"/>
  </r>
  <r>
    <s v="COBBLEURO"/>
    <x v="13"/>
    <x v="0"/>
    <s v="Allocation Driven Strategies"/>
    <x v="2"/>
    <s v="Craig"/>
    <m/>
    <n v="2649"/>
  </r>
  <r>
    <s v="CREDDITO"/>
    <x v="14"/>
    <x v="0"/>
    <s v="Allocation Driven Strategies"/>
    <x v="2"/>
    <s v="Craig"/>
    <m/>
    <n v="83275"/>
  </r>
  <r>
    <s v="CRVDYNPR80"/>
    <x v="15"/>
    <x v="0"/>
    <s v="Outcome Oriented Strategies"/>
    <x v="3"/>
    <s v="Jen"/>
    <s v="Craig"/>
    <n v="279293562"/>
  </r>
  <r>
    <s v="CRVPROT80"/>
    <x v="16"/>
    <x v="0"/>
    <s v="Outcome Oriented Strategies"/>
    <x v="3"/>
    <s v="Jen"/>
    <s v="Craig"/>
    <n v="106822030"/>
  </r>
  <r>
    <s v="CRVTHEMPROT"/>
    <x v="17"/>
    <x v="0"/>
    <s v="Outcome Oriented Strategies"/>
    <x v="3"/>
    <s v="Jen"/>
    <s v="Craig"/>
    <n v="307505809"/>
  </r>
  <r>
    <s v="CSVILUPPO"/>
    <x v="18"/>
    <x v="0"/>
    <s v="Allocation Driven Strategies"/>
    <x v="0"/>
    <s v="Craig"/>
    <m/>
    <n v="33771"/>
  </r>
  <r>
    <s v="CTREND_20"/>
    <x v="19"/>
    <x v="0"/>
    <s v="Allocation Driven Strategies"/>
    <x v="2"/>
    <s v="Craig"/>
    <m/>
    <n v="23564"/>
  </r>
  <r>
    <s v="DINAR1TF"/>
    <x v="20"/>
    <x v="0"/>
    <s v="Allocation Driven Strategies"/>
    <x v="1"/>
    <s v="Craig"/>
    <m/>
    <n v="1363503"/>
  </r>
  <r>
    <s v="DINAR2TF"/>
    <x v="21"/>
    <x v="0"/>
    <s v="Allocation Driven Strategies"/>
    <x v="1"/>
    <s v="Craig"/>
    <m/>
    <n v="26945800"/>
  </r>
  <r>
    <s v="DINAR3TF"/>
    <x v="22"/>
    <x v="0"/>
    <s v="Allocation Driven Strategies"/>
    <x v="1"/>
    <s v="Craig"/>
    <m/>
    <n v="795570"/>
  </r>
  <r>
    <s v="DIOP 1"/>
    <x v="23"/>
    <x v="0"/>
    <s v="Outcome Oriented Strategies"/>
    <x v="5"/>
    <s v="Nick"/>
    <s v="Craig"/>
    <n v="9783751.7300000004"/>
  </r>
  <r>
    <s v="DIOP 2"/>
    <x v="24"/>
    <x v="0"/>
    <s v="Outcome Oriented Strategies"/>
    <x v="5"/>
    <s v="Nick"/>
    <s v="Craig"/>
    <n v="3901388.43"/>
  </r>
  <r>
    <s v="DIOP3"/>
    <x v="25"/>
    <x v="0"/>
    <s v="Outcome Oriented Strategies"/>
    <x v="5"/>
    <s v="Craig"/>
    <s v="Nick"/>
    <n v="6968432.6399999997"/>
  </r>
  <r>
    <s v="DIOP4"/>
    <x v="26"/>
    <x v="0"/>
    <s v="Outcome Oriented Strategies"/>
    <x v="6"/>
    <s v="Nick"/>
    <s v="Craig"/>
    <n v="14185291.16"/>
  </r>
  <r>
    <s v="E118"/>
    <x v="27"/>
    <x v="1"/>
    <s v="Allocation Driven Strategies"/>
    <x v="2"/>
    <s v="Alan"/>
    <s v="Jen"/>
    <n v="7495265.8199999994"/>
  </r>
  <r>
    <s v="E119"/>
    <x v="28"/>
    <x v="1"/>
    <s v="Allocation Driven Strategies"/>
    <x v="0"/>
    <s v="Jen"/>
    <s v="Alan"/>
    <n v="58236487.470000006"/>
  </r>
  <r>
    <s v="E120"/>
    <x v="29"/>
    <x v="1"/>
    <s v="Allocation Driven Strategies"/>
    <x v="1"/>
    <s v="Alan"/>
    <s v="Jen"/>
    <n v="121448782.71000001"/>
  </r>
  <r>
    <s v="E142"/>
    <x v="30"/>
    <x v="1"/>
    <s v="Allocation Driven Strategies"/>
    <x v="1"/>
    <s v="Jen"/>
    <s v="Alan"/>
    <n v="324009437.85999995"/>
  </r>
  <r>
    <s v="E143"/>
    <x v="31"/>
    <x v="1"/>
    <s v="Allocation Driven Strategies"/>
    <x v="2"/>
    <s v="Alan"/>
    <s v="Jen"/>
    <n v="242806300.35000002"/>
  </r>
  <r>
    <s v="E144"/>
    <x v="32"/>
    <x v="1"/>
    <s v="Allocation Driven Strategies"/>
    <x v="0"/>
    <s v="Richard"/>
    <s v="Peter"/>
    <n v="83823203.900000006"/>
  </r>
  <r>
    <s v="E193"/>
    <x v="33"/>
    <x v="1"/>
    <s v="Outcome Oriented Strategies"/>
    <x v="5"/>
    <s v="Nick"/>
    <s v="Reinhard"/>
    <n v="136428638.49000001"/>
  </r>
  <r>
    <s v="E207"/>
    <x v="34"/>
    <x v="1"/>
    <s v="Service Fund"/>
    <x v="7"/>
    <s v="Craig"/>
    <m/>
    <n v="53160977.919999994"/>
  </r>
  <r>
    <s v="E208"/>
    <x v="35"/>
    <x v="1"/>
    <s v="Service Fund"/>
    <x v="8"/>
    <s v="Craig"/>
    <m/>
    <n v="74247835.579999998"/>
  </r>
  <r>
    <s v="E209"/>
    <x v="36"/>
    <x v="1"/>
    <s v="Service Fund"/>
    <x v="9"/>
    <s v="Alan"/>
    <s v="Richard"/>
    <n v="198759201.82000002"/>
  </r>
  <r>
    <s v="E224"/>
    <x v="37"/>
    <x v="1"/>
    <s v="Service Fund"/>
    <x v="5"/>
    <s v="Richard"/>
    <s v="Craig"/>
    <n v="59556669.140000001"/>
  </r>
  <r>
    <s v="F100123"/>
    <x v="38"/>
    <x v="1"/>
    <s v="Allocation Driven Strategies"/>
    <x v="7"/>
    <s v="Nick"/>
    <s v="Richard"/>
    <n v="73301176.945578232"/>
  </r>
  <r>
    <s v="MAA"/>
    <x v="39"/>
    <x v="0"/>
    <s v="Outcome Oriented Strategies"/>
    <x v="10"/>
    <s v="Bertrand"/>
    <s v="Craig"/>
    <n v="279016"/>
  </r>
  <r>
    <s v="MAB"/>
    <x v="40"/>
    <x v="0"/>
    <s v="Outcome Oriented Strategies"/>
    <x v="10"/>
    <s v="Bertrand"/>
    <s v="Craig"/>
    <n v="4871246"/>
  </r>
  <r>
    <s v="MAC"/>
    <x v="41"/>
    <x v="0"/>
    <s v="Outcome Oriented Strategies"/>
    <x v="10"/>
    <s v="Bertrand"/>
    <s v="Craig"/>
    <n v="187778"/>
  </r>
  <r>
    <s v="MAD"/>
    <x v="42"/>
    <x v="0"/>
    <s v="Outcome Oriented Strategies"/>
    <x v="10"/>
    <s v="Bertrand"/>
    <s v="Craig"/>
    <n v="341235"/>
  </r>
  <r>
    <s v="MAE"/>
    <x v="43"/>
    <x v="0"/>
    <s v="Outcome Oriented Strategies"/>
    <x v="10"/>
    <s v="Bertrand"/>
    <s v="Craig"/>
    <n v="154948"/>
  </r>
  <r>
    <s v="MAF"/>
    <x v="44"/>
    <x v="0"/>
    <s v="Outcome Oriented Strategies"/>
    <x v="10"/>
    <s v="Bertrand"/>
    <s v="Craig"/>
    <n v="87215"/>
  </r>
  <r>
    <s v="MAG"/>
    <x v="45"/>
    <x v="0"/>
    <s v="Outcome Oriented Strategies"/>
    <x v="10"/>
    <s v="Bertrand"/>
    <s v="Craig"/>
    <n v="134904"/>
  </r>
  <r>
    <s v="MAH"/>
    <x v="46"/>
    <x v="0"/>
    <s v="Outcome Oriented Strategies"/>
    <x v="10"/>
    <s v="Bertrand"/>
    <s v="Craig"/>
    <n v="634676"/>
  </r>
  <r>
    <s v="MAL"/>
    <x v="47"/>
    <x v="0"/>
    <s v="Outcome Oriented Strategies"/>
    <x v="10"/>
    <s v="Bertrand"/>
    <s v="Craig"/>
    <n v="142698"/>
  </r>
  <r>
    <s v="MAM"/>
    <x v="48"/>
    <x v="0"/>
    <s v="Outcome Oriented Strategies"/>
    <x v="10"/>
    <s v="Bertrand"/>
    <s v="Craig"/>
    <n v="16557"/>
  </r>
  <r>
    <s v="MAN"/>
    <x v="49"/>
    <x v="0"/>
    <s v="Outcome Oriented Strategies"/>
    <x v="10"/>
    <s v="Bertrand"/>
    <s v="Craig"/>
    <n v="28074"/>
  </r>
  <r>
    <s v="MATRUNIP"/>
    <x v="50"/>
    <x v="0"/>
    <s v="Allocation Driven Strategies"/>
    <x v="9"/>
    <s v="Craig"/>
    <m/>
    <n v="12280450"/>
  </r>
  <r>
    <s v="MEPF10"/>
    <x v="51"/>
    <x v="0"/>
    <s v="Allocation Driven Strategies"/>
    <x v="0"/>
    <s v="Craig"/>
    <m/>
    <n v="395535"/>
  </r>
  <r>
    <s v="MEPF2N"/>
    <x v="52"/>
    <x v="0"/>
    <s v="Allocation Driven Strategies"/>
    <x v="2"/>
    <s v="Craig"/>
    <m/>
    <n v="7616069"/>
  </r>
  <r>
    <s v="MEPF4"/>
    <x v="53"/>
    <x v="0"/>
    <s v="Allocation Driven Strategies"/>
    <x v="2"/>
    <s v="Craig"/>
    <m/>
    <n v="1067361"/>
  </r>
  <r>
    <s v="MEPF5"/>
    <x v="54"/>
    <x v="0"/>
    <s v="Allocation Driven Strategies"/>
    <x v="2"/>
    <s v="Craig"/>
    <m/>
    <n v="72484395"/>
  </r>
  <r>
    <s v="MEPF6"/>
    <x v="55"/>
    <x v="0"/>
    <s v="Allocation Driven Strategies"/>
    <x v="1"/>
    <s v="Craig"/>
    <m/>
    <n v="64408792"/>
  </r>
  <r>
    <s v="MEPF8"/>
    <x v="56"/>
    <x v="0"/>
    <s v="Allocation Driven Strategies"/>
    <x v="0"/>
    <s v="Craig"/>
    <m/>
    <n v="128787502"/>
  </r>
  <r>
    <s v="MLIFEBND"/>
    <x v="57"/>
    <x v="0"/>
    <s v="Allocation Driven Strategies"/>
    <x v="2"/>
    <s v="Craig"/>
    <m/>
    <n v="86278219"/>
  </r>
  <r>
    <s v="MLINC"/>
    <x v="58"/>
    <x v="0"/>
    <s v="Outcome Oriented Strategies"/>
    <x v="5"/>
    <s v="Richard"/>
    <s v="Craig"/>
    <n v="215406941"/>
  </r>
  <r>
    <s v="MLPFLEX"/>
    <x v="59"/>
    <x v="0"/>
    <s v="Allocation Driven Strategies"/>
    <x v="9"/>
    <s v="Craig"/>
    <m/>
    <n v="24819922"/>
  </r>
  <r>
    <s v="MULLI360"/>
    <x v="60"/>
    <x v="0"/>
    <s v="Outcome Oriented Strategies"/>
    <x v="5"/>
    <s v="Richard"/>
    <s v="Craig"/>
    <n v="154991340"/>
  </r>
  <r>
    <s v="MULSTEP"/>
    <x v="61"/>
    <x v="0"/>
    <s v="Outcome Oriented Strategies"/>
    <x v="11"/>
    <s v="Craig"/>
    <m/>
    <n v="8203700"/>
  </r>
  <r>
    <s v="Multhem"/>
    <x v="62"/>
    <x v="0"/>
    <s v="Outcome Oriented Strategies"/>
    <x v="6"/>
    <s v="Nick"/>
    <m/>
    <n v="1795670827"/>
  </r>
  <r>
    <s v="MUNIP"/>
    <x v="63"/>
    <x v="0"/>
    <s v="Allocation Driven Strategies"/>
    <x v="1"/>
    <s v="Craig"/>
    <m/>
    <n v="255343"/>
  </r>
  <r>
    <s v="MUSG"/>
    <x v="64"/>
    <x v="0"/>
    <s v="Outcome Oriented Strategies"/>
    <x v="6"/>
    <s v="Nick"/>
    <s v="Alfonso"/>
    <n v="973396645"/>
  </r>
  <r>
    <s v="MUSI"/>
    <x v="65"/>
    <x v="0"/>
    <s v="Outcome Oriented Strategies"/>
    <x v="5"/>
    <s v="Richard"/>
    <s v="Craig"/>
    <n v="239238036"/>
  </r>
  <r>
    <s v="PF101372"/>
    <x v="66"/>
    <x v="1"/>
    <s v="Allocation Driven Strategies"/>
    <x v="2"/>
    <s v="Peter"/>
    <s v="Richard"/>
    <e v="#N/A"/>
  </r>
  <r>
    <s v="PF101376"/>
    <x v="67"/>
    <x v="1"/>
    <s v="Allocation Driven Strategies"/>
    <x v="1"/>
    <s v="Peter"/>
    <s v="Richard"/>
    <e v="#N/A"/>
  </r>
  <r>
    <s v="PF101380"/>
    <x v="68"/>
    <x v="1"/>
    <s v="Allocation Driven Strategies"/>
    <x v="0"/>
    <s v="Peter"/>
    <s v="Richard"/>
    <e v="#N/A"/>
  </r>
  <r>
    <s v="PF103025"/>
    <x v="69"/>
    <x v="1"/>
    <s v="Outcome Oriented Strategies"/>
    <x v="11"/>
    <s v="Richard"/>
    <s v="Craig"/>
    <n v="93538758.120000005"/>
  </r>
  <r>
    <s v="PF52231"/>
    <x v="70"/>
    <x v="1"/>
    <s v="Outcome Oriented Strategies"/>
    <x v="11"/>
    <s v="Richard"/>
    <s v="Craig"/>
    <e v="#N/A"/>
  </r>
  <r>
    <s v="PF71664"/>
    <x v="71"/>
    <x v="1"/>
    <s v="Outcome Oriented Strategies"/>
    <x v="11"/>
    <s v="Nick"/>
    <s v="Peter"/>
    <e v="#N/A"/>
  </r>
  <r>
    <s v="PF76580"/>
    <x v="72"/>
    <x v="1"/>
    <s v="Outcome Oriented Strategies"/>
    <x v="11"/>
    <s v="Nick"/>
    <s v="Peter"/>
    <e v="#N/A"/>
  </r>
  <r>
    <s v="PF78195"/>
    <x v="73"/>
    <x v="1"/>
    <s v="Outcome Oriented Strategies"/>
    <x v="11"/>
    <s v="Nick"/>
    <s v="Peter"/>
    <e v="#N/A"/>
  </r>
  <r>
    <s v="PF79139"/>
    <x v="74"/>
    <x v="1"/>
    <s v="Outcome Oriented Strategies"/>
    <x v="11"/>
    <s v="Nick"/>
    <s v="Peter"/>
    <e v="#N/A"/>
  </r>
  <r>
    <s v="PF80513"/>
    <x v="75"/>
    <x v="1"/>
    <s v="Outcome Oriented Strategies"/>
    <x v="11"/>
    <s v="Nick"/>
    <s v="Peter"/>
    <e v="#N/A"/>
  </r>
  <r>
    <s v="PF82304"/>
    <x v="76"/>
    <x v="1"/>
    <s v="Outcome Oriented Strategies"/>
    <x v="11"/>
    <s v="Nick"/>
    <s v="Peter"/>
    <e v="#N/A"/>
  </r>
  <r>
    <s v="PF87100"/>
    <x v="77"/>
    <x v="1"/>
    <s v="Allocation Driven Strategies"/>
    <x v="2"/>
    <s v="Alan"/>
    <s v="Richard"/>
    <n v="6970226.1600000001"/>
  </r>
  <r>
    <s v="PF87115"/>
    <x v="78"/>
    <x v="1"/>
    <s v="Allocation Driven Strategies"/>
    <x v="0"/>
    <s v="Bertrand"/>
    <s v="Richard"/>
    <n v="3927561.09"/>
  </r>
  <r>
    <s v="PF88300"/>
    <x v="79"/>
    <x v="1"/>
    <s v="Outcome Oriented Strategies"/>
    <x v="11"/>
    <s v="Richard"/>
    <s v="Craig"/>
    <n v="451980230.57999998"/>
  </r>
  <r>
    <s v="PF88524"/>
    <x v="80"/>
    <x v="1"/>
    <s v="Outcome Oriented Strategies"/>
    <x v="6"/>
    <s v="Nick"/>
    <s v="Richard"/>
    <n v="651526087.88"/>
  </r>
  <r>
    <s v="PF89408"/>
    <x v="81"/>
    <x v="1"/>
    <s v="Outcome Oriented Strategies"/>
    <x v="11"/>
    <s v="Richard"/>
    <s v="Craig"/>
    <n v="277938223.63"/>
  </r>
  <r>
    <s v="PF92127"/>
    <x v="82"/>
    <x v="1"/>
    <s v="Outcome Oriented Strategies"/>
    <x v="11"/>
    <s v="Richard"/>
    <s v="Craig"/>
    <n v="335146857.69"/>
  </r>
  <r>
    <s v="PF95239"/>
    <x v="83"/>
    <x v="1"/>
    <s v="Outcome Oriented Strategies"/>
    <x v="11"/>
    <s v="Richard"/>
    <s v="Craig"/>
    <n v="319412485.87"/>
  </r>
  <r>
    <s v="PLIC"/>
    <x v="84"/>
    <x v="0"/>
    <s v="Allocation Driven Strategies"/>
    <x v="9"/>
    <s v="Craig"/>
    <m/>
    <n v="33652386"/>
  </r>
  <r>
    <s v="PMAI"/>
    <x v="85"/>
    <x v="0"/>
    <s v="Outcome Oriented Strategies"/>
    <x v="10"/>
    <s v="Craig"/>
    <m/>
    <n v="77561"/>
  </r>
  <r>
    <s v="PP1-3Y"/>
    <x v="86"/>
    <x v="0"/>
    <s v="Allocation Driven Strategies"/>
    <x v="2"/>
    <s v="Craig"/>
    <m/>
    <n v="87573063"/>
  </r>
  <r>
    <s v="PP3Y"/>
    <x v="87"/>
    <x v="0"/>
    <s v="Allocation Driven Strategies"/>
    <x v="2"/>
    <s v="Richard"/>
    <s v="Craig"/>
    <n v="122521317"/>
  </r>
  <r>
    <s v="PSUKLD1"/>
    <x v="88"/>
    <x v="1"/>
    <s v="Allocation Driven Strategies"/>
    <x v="9"/>
    <s v="Richard"/>
    <s v="Alan"/>
    <n v="164562917.33348882"/>
  </r>
  <r>
    <s v="R1M"/>
    <x v="89"/>
    <x v="0"/>
    <s v="Allocation Driven Strategies"/>
    <x v="0"/>
    <s v="Craig"/>
    <m/>
    <n v="20379176"/>
  </r>
  <r>
    <s v="R2M"/>
    <x v="90"/>
    <x v="0"/>
    <s v="Allocation Driven Strategies"/>
    <x v="0"/>
    <s v="Craig"/>
    <m/>
    <n v="3991454"/>
  </r>
  <r>
    <s v="SAXO"/>
    <x v="91"/>
    <x v="0"/>
    <s v="Allocation Driven Strategies"/>
    <x v="2"/>
    <s v="Peter"/>
    <s v="Richard"/>
    <n v="310389062"/>
  </r>
  <r>
    <s v="STEPONE"/>
    <x v="92"/>
    <x v="0"/>
    <s v="Allocation Driven Strategies"/>
    <x v="2"/>
    <s v="Craig"/>
    <m/>
    <n v="78465"/>
  </r>
  <r>
    <s v="UES20"/>
    <x v="93"/>
    <x v="0"/>
    <s v="Allocation Driven Strategies"/>
    <x v="9"/>
    <s v="Alan"/>
    <s v="Richard"/>
    <n v="23044548"/>
  </r>
  <r>
    <s v="UES30"/>
    <x v="94"/>
    <x v="0"/>
    <s v="Allocation Driven Strategies"/>
    <x v="9"/>
    <s v="Alan"/>
    <s v="Richard"/>
    <n v="234658014"/>
  </r>
  <r>
    <s v="UES40"/>
    <x v="95"/>
    <x v="0"/>
    <s v="Allocation Driven Strategies"/>
    <x v="9"/>
    <s v="Alan"/>
    <s v="Richard"/>
    <n v="17723615"/>
  </r>
  <r>
    <s v="UES50"/>
    <x v="96"/>
    <x v="0"/>
    <s v="Allocation Driven Strategies"/>
    <x v="9"/>
    <s v="Alan"/>
    <s v="Richard"/>
    <n v="550852602"/>
  </r>
  <r>
    <s v="UES70"/>
    <x v="97"/>
    <x v="0"/>
    <s v="Allocation Driven Strategies"/>
    <x v="9"/>
    <s v="Alan"/>
    <s v="Richard"/>
    <n v="328851184"/>
  </r>
  <r>
    <s v="ULACCO"/>
    <x v="98"/>
    <x v="0"/>
    <s v="Outcome Oriented Strategies"/>
    <x v="11"/>
    <s v="Craig"/>
    <m/>
    <n v="4704953"/>
  </r>
  <r>
    <s v="ULBER-"/>
    <x v="99"/>
    <x v="0"/>
    <s v="Allocation Driven Strategies"/>
    <x v="1"/>
    <s v="Craig"/>
    <m/>
    <n v="0"/>
  </r>
  <r>
    <s v="ULBIL"/>
    <x v="100"/>
    <x v="0"/>
    <s v="Allocation Driven Strategies"/>
    <x v="1"/>
    <s v="Craig"/>
    <m/>
    <n v="10517233"/>
  </r>
  <r>
    <s v="ULBILPIU"/>
    <x v="101"/>
    <x v="0"/>
    <s v="Allocation Driven Strategies"/>
    <x v="1"/>
    <s v="Craig"/>
    <m/>
    <n v="17251250"/>
  </r>
  <r>
    <s v="ULC"/>
    <x v="102"/>
    <x v="0"/>
    <s v="Allocation Driven Strategies"/>
    <x v="2"/>
    <s v="Craig"/>
    <m/>
    <n v="27311192"/>
  </r>
  <r>
    <s v="ULDER"/>
    <x v="103"/>
    <x v="0"/>
    <s v="Allocation Driven Strategies"/>
    <x v="0"/>
    <s v="Craig"/>
    <m/>
    <n v="0"/>
  </r>
  <r>
    <s v="ULDIN"/>
    <x v="104"/>
    <x v="0"/>
    <s v="Allocation Driven Strategies"/>
    <x v="0"/>
    <s v="Craig"/>
    <m/>
    <n v="18063937"/>
  </r>
  <r>
    <s v="ULECSTARS"/>
    <x v="105"/>
    <x v="0"/>
    <s v="Allocation Driven Strategies"/>
    <x v="7"/>
    <s v="Jen"/>
    <s v="Peter"/>
    <n v="1901251614"/>
  </r>
  <r>
    <s v="ULFTREND "/>
    <x v="106"/>
    <x v="0"/>
    <s v="Outcome Oriented Strategies"/>
    <x v="6"/>
    <s v="Nick"/>
    <m/>
    <n v="125523485.79000001"/>
  </r>
  <r>
    <s v="ULG4NEW"/>
    <x v="107"/>
    <x v="0"/>
    <s v="Allocation Driven Strategies"/>
    <x v="0"/>
    <s v="Craig"/>
    <m/>
    <n v="411051"/>
  </r>
  <r>
    <s v="ULMATREND"/>
    <x v="108"/>
    <x v="0"/>
    <s v="Outcome Oriented Strategies"/>
    <x v="6"/>
    <s v="Richard"/>
    <m/>
    <n v="252843377"/>
  </r>
  <r>
    <s v="ULP"/>
    <x v="109"/>
    <x v="0"/>
    <s v="Allocation Driven Strategies"/>
    <x v="2"/>
    <s v="Craig"/>
    <m/>
    <n v="12030736"/>
  </r>
  <r>
    <s v="ULPER"/>
    <x v="110"/>
    <x v="0"/>
    <s v="Allocation Driven Strategies"/>
    <x v="2"/>
    <s v="Craig"/>
    <m/>
    <n v="0"/>
  </r>
  <r>
    <s v="ULP-ER"/>
    <x v="111"/>
    <x v="0"/>
    <s v="Allocation Driven Strategies"/>
    <x v="2"/>
    <s v="Craig"/>
    <m/>
    <n v="0"/>
  </r>
  <r>
    <s v="ULPRUD"/>
    <x v="112"/>
    <x v="0"/>
    <s v="Allocation Driven Strategies"/>
    <x v="2"/>
    <s v="Craig"/>
    <m/>
    <n v="15554245"/>
  </r>
  <r>
    <s v="UNGOALS"/>
    <x v="113"/>
    <x v="0"/>
    <s v="Outcome Oriented Strategies"/>
    <x v="6"/>
    <s v="Nick"/>
    <s v="Richard"/>
    <n v="9095800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s v="CAM ARES RISPARMIO ATTIVO M"/>
    <x v="0"/>
    <s v="Allocation Driven Strategies"/>
    <s v="Growth"/>
    <s v="Craig"/>
    <m/>
    <n v="286172410"/>
  </r>
  <r>
    <x v="1"/>
    <s v="CAM ARES RISPARMIO BILANCIATO M"/>
    <x v="0"/>
    <s v="Allocation Driven Strategies"/>
    <s v="Moderate"/>
    <s v="Craig"/>
    <m/>
    <n v="44621309"/>
  </r>
  <r>
    <x v="2"/>
    <s v="CAM ARES RISPARMIO OBBLIGAZ. M"/>
    <x v="0"/>
    <s v="Allocation Driven Strategies"/>
    <s v="Conservative"/>
    <s v="Craig"/>
    <m/>
    <n v="29605967"/>
  </r>
  <r>
    <x v="3"/>
    <s v="ASSET ALLOCATION MODEL PROTETTO 80"/>
    <x v="0"/>
    <s v="Outcome Oriented Strategies"/>
    <s v="Capital Guaranteed"/>
    <s v="Jen"/>
    <s v="Craig"/>
    <n v="105977735"/>
  </r>
  <r>
    <x v="4"/>
    <s v="BB SECURITIES EURO GOVT CORE"/>
    <x v="0"/>
    <s v="Building Block"/>
    <s v="Fixed Income"/>
    <s v="Richard"/>
    <s v="Alan"/>
    <n v="0"/>
  </r>
  <r>
    <x v="5"/>
    <s v="BB SECURITIES EURO IG CREDIT"/>
    <x v="0"/>
    <s v="Building Block"/>
    <s v="Fixed Income"/>
    <s v="Richard"/>
    <s v="Alan"/>
    <n v="0"/>
  </r>
  <r>
    <x v="6"/>
    <s v="BB SECURITIES EURO GOVT PERIPHERAL"/>
    <x v="0"/>
    <s v="Building Block"/>
    <s v="Fixed Income"/>
    <s v="Richard"/>
    <s v="Alan"/>
    <n v="0"/>
  </r>
  <r>
    <x v="7"/>
    <s v="BB SECURITIES US TREASURY BOND"/>
    <x v="0"/>
    <s v="Building Block"/>
    <s v="Fixed Income"/>
    <s v="Richard"/>
    <s v="Alan"/>
    <n v="0"/>
  </r>
  <r>
    <x v="8"/>
    <s v="CAM CRESCITA"/>
    <x v="0"/>
    <s v="Allocation Driven Strategies"/>
    <s v="Growth"/>
    <s v="Craig"/>
    <m/>
    <n v="1259071"/>
  </r>
  <r>
    <x v="9"/>
    <s v="CAM MEDIUM"/>
    <x v="0"/>
    <s v="Allocation Driven Strategies"/>
    <s v="Moderate"/>
    <s v="Craig"/>
    <m/>
    <n v="221348"/>
  </r>
  <r>
    <x v="10"/>
    <s v="CNP Dynamic Protection 80"/>
    <x v="0"/>
    <s v="Outcome Oriented Strategies"/>
    <s v="Capital Guaranteed"/>
    <s v="Jen"/>
    <s v="Craig"/>
    <n v="116832547"/>
  </r>
  <r>
    <x v="11"/>
    <s v="CNP Protection 80"/>
    <x v="0"/>
    <s v="Outcome Oriented Strategies"/>
    <s v="Capital Guaranteed"/>
    <s v="Jen"/>
    <s v="Craig"/>
    <n v="96897819"/>
  </r>
  <r>
    <x v="12"/>
    <s v="CNP THEMATIC PROTECTION 80"/>
    <x v="0"/>
    <s v="Outcome Oriented Strategies"/>
    <s v="Capital Guaranteed"/>
    <s v="Jen"/>
    <s v="Craig"/>
    <n v="195364106"/>
  </r>
  <r>
    <x v="13"/>
    <s v="CAM OBBLIGAZIONARIA EURO"/>
    <x v="0"/>
    <s v="Allocation Driven Strategies"/>
    <s v="Conservative"/>
    <s v="Craig"/>
    <m/>
    <n v="2649"/>
  </r>
  <r>
    <x v="14"/>
    <s v="CAM REDDITO"/>
    <x v="0"/>
    <s v="Allocation Driven Strategies"/>
    <s v="Conservative"/>
    <s v="Craig"/>
    <m/>
    <n v="83275"/>
  </r>
  <r>
    <x v="15"/>
    <s v="CRV Dynamic Protection 80"/>
    <x v="0"/>
    <s v="Outcome Oriented Strategies"/>
    <s v="Capital Guaranteed"/>
    <s v="Jen"/>
    <s v="Craig"/>
    <n v="279293562"/>
  </r>
  <r>
    <x v="16"/>
    <s v="CRV Protection 80"/>
    <x v="0"/>
    <s v="Outcome Oriented Strategies"/>
    <s v="Capital Guaranteed"/>
    <s v="Jen"/>
    <s v="Craig"/>
    <n v="106822030"/>
  </r>
  <r>
    <x v="17"/>
    <s v="CRV THEMATIC PROTECTION 80"/>
    <x v="0"/>
    <s v="Outcome Oriented Strategies"/>
    <s v="Capital Guaranteed"/>
    <s v="Jen"/>
    <s v="Craig"/>
    <n v="307505809"/>
  </r>
  <r>
    <x v="18"/>
    <s v="CAM SVILUPPO"/>
    <x v="0"/>
    <s v="Allocation Driven Strategies"/>
    <s v="Growth"/>
    <s v="Craig"/>
    <m/>
    <n v="33771"/>
  </r>
  <r>
    <x v="19"/>
    <s v="CAM TREND 20"/>
    <x v="0"/>
    <s v="Allocation Driven Strategies"/>
    <s v="Conservative"/>
    <s v="Craig"/>
    <m/>
    <n v="23564"/>
  </r>
  <r>
    <x v="20"/>
    <s v="UNIFLEX ACTIVE 1"/>
    <x v="0"/>
    <s v="Allocation Driven Strategies"/>
    <s v="Moderate"/>
    <s v="Craig"/>
    <m/>
    <n v="1363503"/>
  </r>
  <r>
    <x v="21"/>
    <s v="UNIFLEX ACTIVE 2"/>
    <x v="0"/>
    <s v="Allocation Driven Strategies"/>
    <s v="Moderate"/>
    <s v="Craig"/>
    <m/>
    <n v="26945800"/>
  </r>
  <r>
    <x v="22"/>
    <s v="UNIFLEX ACTIVE 3"/>
    <x v="0"/>
    <s v="Allocation Driven Strategies"/>
    <s v="Moderate"/>
    <s v="Craig"/>
    <m/>
    <n v="795570"/>
  </r>
  <r>
    <x v="23"/>
    <s v="DISCRETIONARY INCOME ORIENTED PRODUCTS 1"/>
    <x v="0"/>
    <s v="Outcome Oriented Strategies"/>
    <s v="Income"/>
    <s v="Nick"/>
    <s v="Craig"/>
    <n v="9783751.7300000004"/>
  </r>
  <r>
    <x v="24"/>
    <s v="DISCRETIONARY INCOME ORIENTED PRODUCTS 2"/>
    <x v="0"/>
    <s v="Outcome Oriented Strategies"/>
    <s v="Income"/>
    <s v="Nick"/>
    <s v="Craig"/>
    <n v="3901388.43"/>
  </r>
  <r>
    <x v="25"/>
    <s v="DISCRETIONARY INCOME ORIENTED PRODUCTS 3"/>
    <x v="0"/>
    <s v="Outcome Oriented Strategies"/>
    <s v="Income"/>
    <s v="Craig"/>
    <s v="Nick"/>
    <n v="6968432.6399999997"/>
  </r>
  <r>
    <x v="26"/>
    <s v="DISCRETIONARY INCOME ORIENTED PRODUCTS 4"/>
    <x v="0"/>
    <s v="Outcome Oriented Strategies"/>
    <s v="Thematic"/>
    <s v="Nick"/>
    <s v="Craig"/>
    <n v="14185291.16"/>
  </r>
  <r>
    <x v="27"/>
    <s v="AMUNDI UNICREDIT PREM PORT- PRUDENTIAL"/>
    <x v="1"/>
    <s v="Allocation Driven Strategies"/>
    <s v="Conservative"/>
    <s v="Alan"/>
    <s v="Jen"/>
    <n v="7495265.8199999994"/>
  </r>
  <r>
    <x v="28"/>
    <s v="AMUNDI UNICREDIT PREMIUM PORT - DYNAMIC"/>
    <x v="1"/>
    <s v="Allocation Driven Strategies"/>
    <s v="Growth"/>
    <s v="Jen"/>
    <s v="Alan"/>
    <n v="58236487.470000006"/>
  </r>
  <r>
    <x v="29"/>
    <s v="AMUNDI UNICREDIT PREM PORT- MULTI ASSET"/>
    <x v="1"/>
    <s v="Allocation Driven Strategies"/>
    <s v="Moderate"/>
    <s v="Alan"/>
    <s v="Jen"/>
    <n v="121448782.71000001"/>
  </r>
  <r>
    <x v="30"/>
    <s v="AMUNDI FUND SOLUTIONS - BALANCED"/>
    <x v="1"/>
    <s v="Allocation Driven Strategies"/>
    <s v="Moderate"/>
    <s v="Jen"/>
    <s v="Alan"/>
    <n v="324009437.85999995"/>
  </r>
  <r>
    <x v="31"/>
    <s v="AMUNDI FUND SOLUTIONS - CONSERVATIVE"/>
    <x v="1"/>
    <s v="Allocation Driven Strategies"/>
    <s v="Conservative"/>
    <s v="Alan"/>
    <s v="Jen"/>
    <n v="242806300.35000002"/>
  </r>
  <r>
    <x v="32"/>
    <s v="AMUNDI FUND SOLUTIONS - DIVERSIFIED GROWTH - A"/>
    <x v="1"/>
    <s v="Allocation Driven Strategies"/>
    <s v="Growth"/>
    <s v="Richard"/>
    <s v="Peter"/>
    <n v="83823203.900000006"/>
  </r>
  <r>
    <x v="33"/>
    <s v="Amundi Fund Solutions - Diversified Income Best Select 2022"/>
    <x v="1"/>
    <s v="Outcome Oriented Strategies"/>
    <s v="Income"/>
    <s v="Nick"/>
    <s v="Reinhard"/>
    <n v="136428638.49000001"/>
  </r>
  <r>
    <x v="34"/>
    <s v="PI INVESTMENT FUNDS - TACTICAL ALLOCATION FUND - H"/>
    <x v="1"/>
    <s v="Service Fund"/>
    <s v="Equity"/>
    <s v="Craig"/>
    <m/>
    <n v="53160977.919999994"/>
  </r>
  <r>
    <x v="35"/>
    <s v="PI INVESTMENT FUNDS - TACTICAL ALLOCATION BOND FUND - H"/>
    <x v="1"/>
    <s v="Service Fund"/>
    <s v="Bond"/>
    <s v="Craig"/>
    <m/>
    <n v="74247835.579999998"/>
  </r>
  <r>
    <x v="36"/>
    <s v="PI INVESTMENT FUNDS - DYNAMIC ALLOCATION FUND - E"/>
    <x v="1"/>
    <s v="Service Fund"/>
    <s v="Flexible"/>
    <s v="Alan"/>
    <s v="Richard"/>
    <n v="198759201.82000002"/>
  </r>
  <r>
    <x v="37"/>
    <s v="PI INVESTMENT FUNDS - TACTICAL ALLOCATION PILLAR - E"/>
    <x v="1"/>
    <s v="Service Fund"/>
    <s v="Income"/>
    <s v="Richard"/>
    <s v="Craig"/>
    <n v="59556669.140000001"/>
  </r>
  <r>
    <x v="38"/>
    <s v="Amundi Env and Climate Change Sol Fund"/>
    <x v="1"/>
    <s v="Allocation Driven Strategies"/>
    <s v="Equity"/>
    <s v="Nick"/>
    <s v="Richard"/>
    <n v="73301176.945578232"/>
  </r>
  <r>
    <x v="39"/>
    <s v="CAM Novembre"/>
    <x v="0"/>
    <s v="Outcome Oriented Strategies"/>
    <s v="Capital Protection"/>
    <s v="Bertrand"/>
    <s v="Craig"/>
    <n v="279016"/>
  </r>
  <r>
    <x v="40"/>
    <s v="CAM Dicembre"/>
    <x v="0"/>
    <s v="Outcome Oriented Strategies"/>
    <s v="Capital Protection"/>
    <s v="Bertrand"/>
    <s v="Craig"/>
    <n v="4871246"/>
  </r>
  <r>
    <x v="41"/>
    <s v="CAM Gennaio"/>
    <x v="0"/>
    <s v="Outcome Oriented Strategies"/>
    <s v="Capital Protection"/>
    <s v="Bertrand"/>
    <s v="Craig"/>
    <n v="187778"/>
  </r>
  <r>
    <x v="42"/>
    <s v="CAM Febbraio"/>
    <x v="0"/>
    <s v="Outcome Oriented Strategies"/>
    <s v="Capital Protection"/>
    <s v="Bertrand"/>
    <s v="Craig"/>
    <n v="341235"/>
  </r>
  <r>
    <x v="43"/>
    <s v="CAM Marzo"/>
    <x v="0"/>
    <s v="Outcome Oriented Strategies"/>
    <s v="Capital Protection"/>
    <s v="Bertrand"/>
    <s v="Craig"/>
    <n v="154948"/>
  </r>
  <r>
    <x v="44"/>
    <s v="CAM Aprile"/>
    <x v="0"/>
    <s v="Outcome Oriented Strategies"/>
    <s v="Capital Protection"/>
    <s v="Bertrand"/>
    <s v="Craig"/>
    <n v="87215"/>
  </r>
  <r>
    <x v="45"/>
    <s v="CAM Maggio"/>
    <x v="0"/>
    <s v="Outcome Oriented Strategies"/>
    <s v="Capital Protection"/>
    <s v="Bertrand"/>
    <s v="Craig"/>
    <n v="134904"/>
  </r>
  <r>
    <x v="46"/>
    <s v="CAM Giugno"/>
    <x v="0"/>
    <s v="Outcome Oriented Strategies"/>
    <s v="Capital Protection"/>
    <s v="Bertrand"/>
    <s v="Craig"/>
    <n v="634676"/>
  </r>
  <r>
    <x v="47"/>
    <s v="CAM Agosto"/>
    <x v="0"/>
    <s v="Outcome Oriented Strategies"/>
    <s v="Capital Protection"/>
    <s v="Bertrand"/>
    <s v="Craig"/>
    <n v="142698"/>
  </r>
  <r>
    <x v="48"/>
    <s v="CAM Settembre"/>
    <x v="0"/>
    <s v="Outcome Oriented Strategies"/>
    <s v="Capital Protection"/>
    <s v="Bertrand"/>
    <s v="Craig"/>
    <n v="16557"/>
  </r>
  <r>
    <x v="49"/>
    <s v="CAM Ottobre"/>
    <x v="0"/>
    <s v="Outcome Oriented Strategies"/>
    <s v="Capital Protection"/>
    <s v="Bertrand"/>
    <s v="Craig"/>
    <n v="28074"/>
  </r>
  <r>
    <x v="50"/>
    <s v="Unit Linked A TR UNIPLAN"/>
    <x v="0"/>
    <s v="Allocation Driven Strategies"/>
    <s v="Flexible"/>
    <s v="Craig"/>
    <m/>
    <n v="12280450"/>
  </r>
  <r>
    <x v="51"/>
    <s v="UNIT LINKED G5 NEW"/>
    <x v="0"/>
    <s v="Allocation Driven Strategies"/>
    <s v="Growth"/>
    <s v="Craig"/>
    <m/>
    <n v="395535"/>
  </r>
  <r>
    <x v="52"/>
    <s v="UNIT LINKED E2 NEW"/>
    <x v="0"/>
    <s v="Allocation Driven Strategies"/>
    <s v="Conservative"/>
    <s v="Craig"/>
    <m/>
    <n v="7616069"/>
  </r>
  <r>
    <x v="53"/>
    <s v="Unit Linked OLD 4"/>
    <x v="0"/>
    <s v="Allocation Driven Strategies"/>
    <s v="Conservative"/>
    <s v="Craig"/>
    <m/>
    <n v="1067361"/>
  </r>
  <r>
    <x v="54"/>
    <s v="UNIT LINKED E3 NEW"/>
    <x v="0"/>
    <s v="Allocation Driven Strategies"/>
    <s v="Conservative"/>
    <s v="Craig"/>
    <m/>
    <n v="72484395"/>
  </r>
  <r>
    <x v="55"/>
    <s v="UNIT LINKED E4 NEW"/>
    <x v="0"/>
    <s v="Allocation Driven Strategies"/>
    <s v="Moderate"/>
    <s v="Craig"/>
    <m/>
    <n v="64408792"/>
  </r>
  <r>
    <x v="56"/>
    <s v="UNIT LINKED E6 NEW"/>
    <x v="0"/>
    <s v="Allocation Driven Strategies"/>
    <s v="Growth"/>
    <s v="Craig"/>
    <m/>
    <n v="128787502"/>
  </r>
  <r>
    <x v="57"/>
    <s v="Life Program Bond"/>
    <x v="0"/>
    <s v="Allocation Driven Strategies"/>
    <s v="Conservative"/>
    <s v="Craig"/>
    <m/>
    <n v="86278219"/>
  </r>
  <r>
    <x v="58"/>
    <s v="UL Life Income"/>
    <x v="0"/>
    <s v="Outcome Oriented Strategies"/>
    <s v="Income"/>
    <s v="Richard"/>
    <s v="Craig"/>
    <n v="215406941"/>
  </r>
  <r>
    <x v="59"/>
    <s v="Life Program Flessibile"/>
    <x v="0"/>
    <s v="Allocation Driven Strategies"/>
    <s v="Flexible"/>
    <s v="Craig"/>
    <m/>
    <n v="24819922"/>
  </r>
  <r>
    <x v="60"/>
    <s v="UL Life Income 360"/>
    <x v="0"/>
    <s v="Outcome Oriented Strategies"/>
    <s v="Income"/>
    <s v="Richard"/>
    <s v="Craig"/>
    <n v="154991340"/>
  </r>
  <r>
    <x v="61"/>
    <s v="STEP CRESCITA"/>
    <x v="0"/>
    <s v="Outcome Oriented Strategies"/>
    <s v="Risk Accumulation"/>
    <s v="Craig"/>
    <m/>
    <n v="8203700"/>
  </r>
  <r>
    <x v="62"/>
    <s v="Unit Linked Multi Thematic Global Eq"/>
    <x v="0"/>
    <s v="Outcome Oriented Strategies"/>
    <s v="Thematic"/>
    <s v="Nick"/>
    <m/>
    <n v="1795670827"/>
  </r>
  <r>
    <x v="63"/>
    <s v="Unit Linked AMix UNIPLAN"/>
    <x v="0"/>
    <s v="Allocation Driven Strategies"/>
    <s v="Moderate"/>
    <s v="Craig"/>
    <m/>
    <n v="255343"/>
  </r>
  <r>
    <x v="64"/>
    <s v="Univalore Stars Growth - Comanaged with Fund Selection -"/>
    <x v="0"/>
    <s v="Outcome Oriented Strategies"/>
    <s v="Thematic"/>
    <s v="Nick"/>
    <s v="Alfonso"/>
    <n v="973396645"/>
  </r>
  <r>
    <x v="65"/>
    <s v="Univalore Stars Income"/>
    <x v="0"/>
    <s v="Outcome Oriented Strategies"/>
    <s v="Income"/>
    <s v="Richard"/>
    <s v="Craig"/>
    <n v="239238036"/>
  </r>
  <r>
    <x v="66"/>
    <s v="AFS ICAV Planet ESG Conservative "/>
    <x v="1"/>
    <s v="Allocation Driven Strategies"/>
    <s v="Conservative"/>
    <s v="Peter"/>
    <s v="Richard"/>
    <e v="#N/A"/>
  </r>
  <r>
    <x v="67"/>
    <s v="AFS ICAV Planet ESG Balanced"/>
    <x v="1"/>
    <s v="Allocation Driven Strategies"/>
    <s v="Moderate"/>
    <s v="Peter"/>
    <s v="Richard"/>
    <e v="#N/A"/>
  </r>
  <r>
    <x v="68"/>
    <s v="AFS ICAV Planet ESG Dynamic "/>
    <x v="1"/>
    <s v="Allocation Driven Strategies"/>
    <s v="Growth"/>
    <s v="Peter"/>
    <s v="Richard"/>
    <e v="#N/A"/>
  </r>
  <r>
    <x v="69"/>
    <s v="ASI - PROGETTO AZIONE FUTURO GREEN"/>
    <x v="1"/>
    <s v="Outcome Oriented Strategies"/>
    <s v="Risk Accumulation"/>
    <s v="Richard"/>
    <s v="Craig"/>
    <n v="93538758.120000005"/>
  </r>
  <r>
    <x v="70"/>
    <s v="AMUNDI SENTIERO SOSTENIBILE"/>
    <x v="1"/>
    <s v="Outcome Oriented Strategies"/>
    <s v="Risk Accumulation"/>
    <s v="Richard"/>
    <s v="Craig"/>
    <e v="#N/A"/>
  </r>
  <r>
    <x v="71"/>
    <s v="AMUNDI SOLUZIONI ITALIA - PROGETTO AZIONE MEGATREND - E"/>
    <x v="1"/>
    <s v="Outcome Oriented Strategies"/>
    <s v="Risk Accumulation"/>
    <s v="Nick"/>
    <s v="Peter"/>
    <e v="#N/A"/>
  </r>
  <r>
    <x v="72"/>
    <s v="AMUNDI SOLUZIONI ITALIA - PROGETTO AZIONE MEGATREND (II) - E"/>
    <x v="1"/>
    <s v="Outcome Oriented Strategies"/>
    <s v="Risk Accumulation"/>
    <s v="Nick"/>
    <s v="Peter"/>
    <e v="#N/A"/>
  </r>
  <r>
    <x v="73"/>
    <s v="AMUNDI SOLUZIONI ITALIA - PROGETTO AZIONE CAMBIAMENTO CLIMATICO - E"/>
    <x v="1"/>
    <s v="Outcome Oriented Strategies"/>
    <s v="Risk Accumulation"/>
    <s v="Nick"/>
    <s v="Peter"/>
    <e v="#N/A"/>
  </r>
  <r>
    <x v="74"/>
    <s v="AMUNDI SOLUZIONI ITALIA - PROGETTO AZIONE CAMBIAMENTO CLIMATICO (II) - E"/>
    <x v="1"/>
    <s v="Outcome Oriented Strategies"/>
    <s v="Risk Accumulation"/>
    <s v="Nick"/>
    <s v="Peter"/>
    <e v="#N/A"/>
  </r>
  <r>
    <x v="75"/>
    <s v="ASI - PROGETTO AZION MILLENNIALS"/>
    <x v="1"/>
    <s v="Outcome Oriented Strategies"/>
    <s v="Risk Accumulation"/>
    <s v="Nick"/>
    <s v="Peter"/>
    <e v="#N/A"/>
  </r>
  <r>
    <x v="76"/>
    <s v="ASI - PROGETTO AZION MILLENNIALS II"/>
    <x v="1"/>
    <s v="Outcome Oriented Strategies"/>
    <s v="Risk Accumulation"/>
    <s v="Nick"/>
    <s v="Peter"/>
    <e v="#N/A"/>
  </r>
  <r>
    <x v="77"/>
    <s v="AMUNDI FUND SOLUTIONS - SABADELL URQUIJO ACUMULACION"/>
    <x v="1"/>
    <s v="Allocation Driven Strategies"/>
    <s v="Conservative"/>
    <s v="Alan"/>
    <s v="Richard"/>
    <n v="6970226.1600000001"/>
  </r>
  <r>
    <x v="78"/>
    <s v="AMUNDI FUND SOLUTIONS - SABADELL URQUIJO CRECIMIENTO"/>
    <x v="1"/>
    <s v="Allocation Driven Strategies"/>
    <s v="Growth"/>
    <s v="Bertrand"/>
    <s v="Richard"/>
    <n v="3927561.09"/>
  </r>
  <r>
    <x v="79"/>
    <s v="ASI - PROGETTO AZIONE ENERGY TRANSITION"/>
    <x v="1"/>
    <s v="Outcome Oriented Strategies"/>
    <s v="Risk Accumulation"/>
    <s v="Richard"/>
    <s v="Craig"/>
    <n v="451980230.57999998"/>
  </r>
  <r>
    <x v="80"/>
    <s v="AMUNDI ELITE THEMATIC MULTI ASSET"/>
    <x v="1"/>
    <s v="Outcome Oriented Strategies"/>
    <s v="Thematic"/>
    <s v="Nick"/>
    <s v="Richard"/>
    <n v="651526087.88"/>
  </r>
  <r>
    <x v="81"/>
    <s v="ASI - PROGETTO AZIONE ENERGY TRANSITION (II)"/>
    <x v="1"/>
    <s v="Outcome Oriented Strategies"/>
    <s v="Risk Accumulation"/>
    <s v="Richard"/>
    <s v="Craig"/>
    <n v="277938223.63"/>
  </r>
  <r>
    <x v="82"/>
    <s v="AMUNDI SOLUZIONI ITALIA - PROGETTO AZIONE INFRASTRUTTURE SOSTENIBILI"/>
    <x v="1"/>
    <s v="Outcome Oriented Strategies"/>
    <s v="Risk Accumulation"/>
    <s v="Richard"/>
    <s v="Craig"/>
    <n v="335146857.69"/>
  </r>
  <r>
    <x v="83"/>
    <s v="AMUNDI SOLUZIONI ITALIA - PROGETTO AZIONE INFRASTRUTTURE SOSTENIBILI (II)"/>
    <x v="1"/>
    <s v="Outcome Oriented Strategies"/>
    <s v="Risk Accumulation"/>
    <s v="Richard"/>
    <s v="Craig"/>
    <n v="319412485.87"/>
  </r>
  <r>
    <x v="84"/>
    <s v="PL Income Clock"/>
    <x v="0"/>
    <s v="Allocation Driven Strategies"/>
    <s v="Flexible"/>
    <s v="Craig"/>
    <m/>
    <n v="33652386"/>
  </r>
  <r>
    <x v="85"/>
    <s v="CAM Luglio"/>
    <x v="0"/>
    <s v="Outcome Oriented Strategies"/>
    <s v="Capital Protection"/>
    <s v="Craig"/>
    <m/>
    <n v="77561"/>
  </r>
  <r>
    <x v="86"/>
    <s v="PL Euro Bond 1 to 3 years"/>
    <x v="0"/>
    <s v="Allocation Driven Strategies"/>
    <s v="Conservative"/>
    <s v="Craig"/>
    <m/>
    <n v="87573063"/>
  </r>
  <r>
    <x v="87"/>
    <s v="PL Euro Bond over 3 years"/>
    <x v="0"/>
    <s v="Allocation Driven Strategies"/>
    <s v="Conservative"/>
    <s v="Richard"/>
    <s v="Craig"/>
    <n v="122521317"/>
  </r>
  <r>
    <x v="88"/>
    <s v="Amundi Invensys Broad Bond Portfolio"/>
    <x v="1"/>
    <s v="Allocation Driven Strategies"/>
    <s v="Flexible"/>
    <s v="Richard"/>
    <s v="Alan"/>
    <n v="164562917.33348882"/>
  </r>
  <r>
    <x v="89"/>
    <s v="CAM CNP - LINEA  DINAMICA"/>
    <x v="0"/>
    <s v="Allocation Driven Strategies"/>
    <s v="Growth"/>
    <s v="Craig"/>
    <m/>
    <n v="20379176"/>
  </r>
  <r>
    <x v="90"/>
    <s v="CNP Linea Protetta Dinamica Plus"/>
    <x v="0"/>
    <s v="Allocation Driven Strategies"/>
    <s v="Growth"/>
    <s v="Craig"/>
    <m/>
    <n v="3991454"/>
  </r>
  <r>
    <x v="91"/>
    <s v="SAXO EUROPE"/>
    <x v="0"/>
    <s v="Allocation Driven Strategies"/>
    <s v="Conservative"/>
    <s v="Peter"/>
    <s v="Richard"/>
    <n v="310389062"/>
  </r>
  <r>
    <x v="92"/>
    <s v="CAM STEP ONE"/>
    <x v="0"/>
    <s v="Allocation Driven Strategies"/>
    <s v="Conservative"/>
    <s v="Craig"/>
    <m/>
    <n v="78465"/>
  </r>
  <r>
    <x v="93"/>
    <s v="Univalore E Strategia 20"/>
    <x v="0"/>
    <s v="Allocation Driven Strategies"/>
    <s v="Flexible"/>
    <s v="Alan"/>
    <s v="Richard"/>
    <n v="23044548"/>
  </r>
  <r>
    <x v="94"/>
    <s v="Univalore E Strategia 30"/>
    <x v="0"/>
    <s v="Allocation Driven Strategies"/>
    <s v="Flexible"/>
    <s v="Alan"/>
    <s v="Richard"/>
    <n v="234658014"/>
  </r>
  <r>
    <x v="95"/>
    <s v="Univalore E Strategia 40"/>
    <x v="0"/>
    <s v="Allocation Driven Strategies"/>
    <s v="Flexible"/>
    <s v="Alan"/>
    <s v="Richard"/>
    <n v="17723615"/>
  </r>
  <r>
    <x v="96"/>
    <s v="Univalore Stars Balanced"/>
    <x v="0"/>
    <s v="Allocation Driven Strategies"/>
    <s v="Flexible"/>
    <s v="Alan"/>
    <s v="Richard"/>
    <n v="550852602"/>
  </r>
  <r>
    <x v="97"/>
    <s v="Univalore E Strategia 70"/>
    <x v="0"/>
    <s v="Allocation Driven Strategies"/>
    <s v="Flexible"/>
    <s v="Alan"/>
    <s v="Richard"/>
    <n v="328851184"/>
  </r>
  <r>
    <x v="98"/>
    <s v="Unit Linked Multi Equity Accumulation"/>
    <x v="0"/>
    <s v="Outcome Oriented Strategies"/>
    <s v="Risk Accumulation"/>
    <s v="Craig"/>
    <m/>
    <n v="4704953"/>
  </r>
  <r>
    <x v="99"/>
    <s v="UL_Bilanciata_+ERGO"/>
    <x v="0"/>
    <s v="Allocation Driven Strategies"/>
    <s v="Moderate"/>
    <s v="Craig"/>
    <m/>
    <n v="0"/>
  </r>
  <r>
    <x v="100"/>
    <s v="UL BILANCIATA"/>
    <x v="0"/>
    <s v="Allocation Driven Strategies"/>
    <s v="Moderate"/>
    <s v="Craig"/>
    <m/>
    <n v="10517233"/>
  </r>
  <r>
    <x v="101"/>
    <s v="UL BILANCIATA PIU"/>
    <x v="0"/>
    <s v="Allocation Driven Strategies"/>
    <s v="Moderate"/>
    <s v="Craig"/>
    <m/>
    <n v="17251250"/>
  </r>
  <r>
    <x v="102"/>
    <s v="UL CAUTA"/>
    <x v="0"/>
    <s v="Allocation Driven Strategies"/>
    <s v="Conservative"/>
    <s v="Craig"/>
    <m/>
    <n v="27311192"/>
  </r>
  <r>
    <x v="103"/>
    <s v="UL_Dinamica ERGO"/>
    <x v="0"/>
    <s v="Allocation Driven Strategies"/>
    <s v="Growth"/>
    <s v="Craig"/>
    <m/>
    <n v="0"/>
  </r>
  <r>
    <x v="104"/>
    <s v="UL DINAMICA"/>
    <x v="0"/>
    <s v="Allocation Driven Strategies"/>
    <s v="Growth"/>
    <s v="Craig"/>
    <m/>
    <n v="18063937"/>
  </r>
  <r>
    <x v="105"/>
    <s v="UL Global Equity Dividend &amp; Subordinated"/>
    <x v="0"/>
    <s v="Allocation Driven Strategies"/>
    <s v="Equity"/>
    <s v="Jen"/>
    <s v="Peter"/>
    <n v="1901251614"/>
  </r>
  <r>
    <x v="106"/>
    <s v="Unit Linked Future Trend"/>
    <x v="0"/>
    <s v="Outcome Oriented Strategies"/>
    <s v="Thematic"/>
    <s v="Nick"/>
    <m/>
    <n v="125523485.79000001"/>
  </r>
  <r>
    <x v="107"/>
    <s v="UNIT LINKED G4 NEW"/>
    <x v="0"/>
    <s v="Allocation Driven Strategies"/>
    <s v="Growth"/>
    <s v="Craig"/>
    <m/>
    <n v="411051"/>
  </r>
  <r>
    <x v="108"/>
    <s v="Unit Linked Multi Asset Trend"/>
    <x v="0"/>
    <s v="Outcome Oriented Strategies"/>
    <s v="Thematic"/>
    <s v="Richard"/>
    <m/>
    <n v="252843377"/>
  </r>
  <r>
    <x v="109"/>
    <s v="UL PRUDENTE"/>
    <x v="0"/>
    <s v="Allocation Driven Strategies"/>
    <s v="Conservative"/>
    <s v="Craig"/>
    <m/>
    <n v="12030736"/>
  </r>
  <r>
    <x v="110"/>
    <s v="UL_Prudente ERGO"/>
    <x v="0"/>
    <s v="Allocation Driven Strategies"/>
    <s v="Conservative"/>
    <s v="Craig"/>
    <m/>
    <n v="0"/>
  </r>
  <r>
    <x v="111"/>
    <s v="UL_Prudente_+ ERGO"/>
    <x v="0"/>
    <s v="Allocation Driven Strategies"/>
    <s v="Conservative"/>
    <s v="Craig"/>
    <m/>
    <n v="0"/>
  </r>
  <r>
    <x v="112"/>
    <s v="UL PRUDENTE PIU"/>
    <x v="0"/>
    <s v="Allocation Driven Strategies"/>
    <s v="Conservative"/>
    <s v="Craig"/>
    <m/>
    <n v="15554245"/>
  </r>
  <r>
    <x v="113"/>
    <s v="Unit Linked UN GOALS"/>
    <x v="0"/>
    <s v="Outcome Oriented Strategies"/>
    <s v="Thematic"/>
    <s v="Nick"/>
    <s v="Richard"/>
    <n v="909580051"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  <r>
    <x v="114"/>
    <m/>
    <x v="2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E142"/>
    <s v="Yes"/>
    <x v="0"/>
    <s v="Fund"/>
    <s v="On Original Risk List  "/>
    <s v="From Risk - Fund Responsibility - Dublin Funds"/>
    <s v="Allocation Driven Strategies"/>
    <s v="Moderate"/>
    <s v="BAL Multimanagement"/>
    <s v="DUB BAL Multimanagement SDA Fds de Fds"/>
    <s v="AMUNDI.IRL/INV/MAS"/>
    <s v="O'TOOLE JOHN"/>
    <s v="Global - Global Balanced 50"/>
    <s v="DUB BAL Multimanagement SDA Fds de Fds"/>
    <n v="176126455.22999999"/>
    <n v="324009437.85999995"/>
    <m/>
    <b v="0"/>
    <n v="169346773.31"/>
    <n v="-4401543.419829757"/>
    <n v="323150343.74000001"/>
    <n v="323.15034373999998"/>
    <n v="859094.11999994516"/>
    <n v="859094.11999994516"/>
    <n v="324.00943785999993"/>
    <n v="0.85909411999994512"/>
    <n v="-4.4015434198297569"/>
    <n v="324.00943785999993"/>
    <n v="323.15034373999998"/>
    <n v="0.859094119999952"/>
  </r>
  <r>
    <s v="E143"/>
    <s v="Yes"/>
    <x v="1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Global - Balanced Global Defensive 20"/>
    <s v="DUB BAL Multimanagement SDA Fds de Fds"/>
    <n v="200569592.62"/>
    <n v="242806300.35000002"/>
    <m/>
    <b v="0"/>
    <n v="191554138.88"/>
    <n v="-6585274.1259017717"/>
    <n v="247147097.27999997"/>
    <n v="247.14709727999997"/>
    <n v="-4340796.9299999475"/>
    <n v="-4340796.9299999475"/>
    <n v="242.80630035000001"/>
    <n v="-4.3407969299999474"/>
    <n v="-6.5852741259017717"/>
    <n v="242.80630035000001"/>
    <n v="247.14709727999997"/>
    <n v="-4.3407969299999536"/>
  </r>
  <r>
    <s v="E144"/>
    <s v="Yes"/>
    <x v="2"/>
    <s v="Fund"/>
    <s v="On Original Risk List  "/>
    <s v="From Risk - Fund Responsibility - Dublin Funds"/>
    <s v="Allocation Driven Strategies"/>
    <s v="Growth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n v="68345861.700000003"/>
    <n v="83823203.900000006"/>
    <m/>
    <b v="0"/>
    <n v="66139608.709999993"/>
    <n v="-1199812.7503379725"/>
    <n v="85685108.980000004"/>
    <n v="85.68510898000001"/>
    <n v="-1861905.0799999982"/>
    <n v="-1861905.0799999982"/>
    <n v="83.82320390000001"/>
    <n v="-1.8619050799999981"/>
    <n v="-1.1998127503379725"/>
    <n v="83.82320390000001"/>
    <n v="85.68510898000001"/>
    <n v="-1.8619050799999997"/>
  </r>
  <r>
    <s v="PF101376"/>
    <s v="Yes"/>
    <x v="3"/>
    <s v="Fund"/>
    <s v="On Original Risk List  "/>
    <s v="From Risk - Fund Responsibility - Dublin Funds"/>
    <s v="Allocation Driven Strategies"/>
    <s v="Moderate"/>
    <s v="BAL Multimanagement"/>
    <s v="DUB BAL Multimanagement SDA Fds de Fds"/>
    <s v="AMUNDI.IRL/INV/MAS"/>
    <s v="O'TOOLE JOHN"/>
    <s v="Global - Global Balanced 50"/>
    <s v="DUB BAL Multimanagement SDA Fds de Fds"/>
    <m/>
    <m/>
    <m/>
    <b v="0"/>
    <m/>
    <m/>
    <m/>
    <m/>
    <m/>
    <m/>
    <m/>
    <m/>
    <m/>
    <m/>
    <m/>
    <m/>
  </r>
  <r>
    <s v="PF101372"/>
    <s v="Yes"/>
    <x v="4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Global - Balanced Global Defensive 20"/>
    <s v="DUB BAL Multimanagement SDA Fds de Fds"/>
    <m/>
    <m/>
    <m/>
    <b v="0"/>
    <m/>
    <m/>
    <m/>
    <m/>
    <m/>
    <m/>
    <m/>
    <m/>
    <m/>
    <m/>
    <m/>
    <m/>
  </r>
  <r>
    <s v="PF101380"/>
    <s v="Yes"/>
    <x v="5"/>
    <s v="Fund"/>
    <s v="On Original Risk List  "/>
    <s v="From Risk - Fund Responsibility - Dublin Funds"/>
    <s v="Allocation Driven Strategies"/>
    <s v="Growth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m/>
    <m/>
    <b v="0"/>
    <m/>
    <m/>
    <m/>
    <m/>
    <m/>
    <m/>
    <m/>
    <m/>
    <m/>
    <m/>
    <m/>
    <m/>
  </r>
  <r>
    <s v="PF78195"/>
    <s v="Yes"/>
    <x v="6"/>
    <s v="Fund"/>
    <s v="On Original Risk List  "/>
    <s v="From Risk - Fund Responsibility - Dublin Funds"/>
    <s v="Outcome Oriented Strategies"/>
    <s v="Risk Accumulation"/>
    <s v="EFI Absolute Return"/>
    <s v="DUB EFI Absolute Return Aggregate"/>
    <s v="AMUNDI.IRL/INV/MAS"/>
    <s v="O'TOOLE JOHN"/>
    <s v="To be Affected"/>
    <s v="DUB EFI Absolute Return Aggregate"/>
    <n v="336213704.19999999"/>
    <m/>
    <m/>
    <b v="0"/>
    <n v="335037348.60999995"/>
    <m/>
    <m/>
    <m/>
    <m/>
    <m/>
    <m/>
    <m/>
    <m/>
    <m/>
    <m/>
    <m/>
  </r>
  <r>
    <s v="PF103025"/>
    <s v="Yes"/>
    <x v="7"/>
    <s v="Fund"/>
    <s v="On Original Risk List  "/>
    <s v="From Risk - Fund Responsibility - Dublin Funds"/>
    <s v="Outcome Oriented Strategies"/>
    <s v="Risk Accumulation"/>
    <m/>
    <m/>
    <s v="AMUNDI.IRL/INV/MAS/PMG/PMG"/>
    <s v="CASEY RICHARD"/>
    <s v="To be Affected"/>
    <m/>
    <m/>
    <n v="93538758.120000005"/>
    <m/>
    <m/>
    <m/>
    <n v="-18151357.009999994"/>
    <n v="111680002.01000001"/>
    <n v="111.68000201000001"/>
    <n v="-18141243.890000001"/>
    <n v="-18141243.890000001"/>
    <n v="93.538758120000011"/>
    <n v="-18.141243890000002"/>
    <n v="-18.151357009999995"/>
    <n v="93.538758120000011"/>
    <m/>
    <m/>
  </r>
  <r>
    <s v="E118"/>
    <s v="Yes"/>
    <x v="8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Bond - myNext"/>
    <s v="DUB BAL Multimanagement SDA Fds de Fds"/>
    <n v="31835018.329999998"/>
    <n v="7495265.8199999994"/>
    <m/>
    <b v="0"/>
    <n v="33826169.170000002"/>
    <n v="-798922.5844135189"/>
    <n v="8321680.0100000007"/>
    <n v="8.3216800100000015"/>
    <n v="-826414.19000000134"/>
    <n v="-826414.19000000134"/>
    <n v="7.4952658199999993"/>
    <n v="-0.82641419000000138"/>
    <n v="-0.79892258441351893"/>
    <n v="7.4952658199999993"/>
    <n v="8.3216800100000015"/>
    <n v="-0.82641419000000216"/>
  </r>
  <r>
    <s v="E119"/>
    <s v="Yes"/>
    <x v="9"/>
    <s v="Fund"/>
    <s v="On Original Risk List  "/>
    <s v="From Risk - Fund Responsibility - Dublin Funds"/>
    <s v="Allocation Driven Strategies"/>
    <s v="Growth"/>
    <s v="BAL Multimanagement"/>
    <s v="DUB BAL Multimanagement SDA Fds de Fds"/>
    <s v="AMUNDI.IRL/INV/MAS"/>
    <s v="O'TOOLE JOHN"/>
    <s v="Equity - myNext"/>
    <s v="DUB BAL Multimanagement SDA Fds de Fds"/>
    <n v="96972832.489999995"/>
    <n v="58236487.470000006"/>
    <m/>
    <b v="0"/>
    <n v="103255927.2"/>
    <n v="-1656568.0657256469"/>
    <n v="56591525.730000004"/>
    <n v="56.591525730000001"/>
    <n v="1644961.7400000021"/>
    <n v="1644961.7400000021"/>
    <n v="58.236487470000007"/>
    <n v="1.6449617400000021"/>
    <n v="-1.656568065725647"/>
    <n v="58.236487470000007"/>
    <n v="56.591525730000001"/>
    <n v="1.6449617400000065"/>
  </r>
  <r>
    <s v="E120"/>
    <s v="Yes"/>
    <x v="10"/>
    <s v="Fund"/>
    <s v="On Original Risk List  "/>
    <s v="From Risk - Fund Responsibility - Dublin Funds"/>
    <s v="Allocation Driven Strategies"/>
    <s v="Moderate"/>
    <s v="BAL Multimanagement"/>
    <s v="DUB BAL Multimanagement SDA Fds de Fds"/>
    <s v="AMUNDI.IRL/INV/MAS"/>
    <s v="O'TOOLE JOHN"/>
    <s v="Multi Asset - myNext"/>
    <s v="DUB BAL Multimanagement SDA Fds de Fds"/>
    <n v="288617594.88999999"/>
    <n v="121448782.71000001"/>
    <m/>
    <b v="0"/>
    <n v="312457504.01999998"/>
    <n v="-5424835.5633996008"/>
    <n v="123937506.37"/>
    <n v="123.93750637000001"/>
    <n v="-2488723.6599999964"/>
    <n v="-2488723.6599999964"/>
    <n v="121.44878271"/>
    <n v="-2.4887236599999962"/>
    <n v="-5.4248355633996006"/>
    <n v="121.44878271"/>
    <n v="123.93750637000001"/>
    <n v="-2.4887236600000051"/>
  </r>
  <r>
    <s v="PF115036"/>
    <m/>
    <x v="11"/>
    <s v="Fund"/>
    <m/>
    <m/>
    <s v="Outcome Oriented Strategies"/>
    <s v="Income"/>
    <m/>
    <m/>
    <m/>
    <m/>
    <m/>
    <m/>
    <m/>
    <n v="98145264.699999988"/>
    <m/>
    <m/>
    <m/>
    <n v="0"/>
    <n v="98124607.040000007"/>
    <n v="98.124607040000001"/>
    <n v="20657.659999981523"/>
    <n v="20657.659999981523"/>
    <n v="98.145264699999984"/>
    <n v="2.0657659999981523E-2"/>
    <n v="0"/>
    <n v="98.145264699999984"/>
    <n v="98.124607040000001"/>
    <n v="2.065765999998348E-2"/>
  </r>
  <r>
    <s v="PF204806"/>
    <m/>
    <x v="12"/>
    <s v="Fund"/>
    <m/>
    <m/>
    <s v="Allocation Driven Strategies"/>
    <s v="Growth"/>
    <m/>
    <m/>
    <m/>
    <m/>
    <m/>
    <m/>
    <m/>
    <n v="27952778.120000001"/>
    <m/>
    <m/>
    <m/>
    <n v="27952778.120000001"/>
    <m/>
    <n v="0"/>
    <n v="27952778.120000001"/>
    <n v="27952778.120000001"/>
    <n v="27.952778120000001"/>
    <n v="27.952778120000001"/>
    <n v="27.952778120000001"/>
    <n v="27.952778120000001"/>
    <m/>
    <n v="27.952778120000001"/>
  </r>
  <r>
    <s v="PF88524"/>
    <s v="Yes"/>
    <x v="13"/>
    <s v="Fund"/>
    <s v="On Original Risk List  "/>
    <s v="From Risk - Fund Responsibility - Dublin Funds"/>
    <s v="Outcome Oriented Strategies"/>
    <s v="Thematic"/>
    <s v="BAL Multimanagement"/>
    <s v="AMU BAL SDA Fds de Fds (used absolute limits High risk)"/>
    <s v="AMUNDI.IRL/INV/MAS"/>
    <s v="O'TOOLE JOHN"/>
    <s v="AMUNDI ELITE THEMATIC MULTI ASSET"/>
    <s v="DUB BAL Multimanagement SDA Fds de Fds"/>
    <m/>
    <n v="651526087.88"/>
    <m/>
    <b v="0"/>
    <m/>
    <n v="-136912235.76999998"/>
    <n v="532844870.07000005"/>
    <n v="532.84487007000007"/>
    <n v="118681217.80999994"/>
    <n v="118681217.80999994"/>
    <n v="651.52608787999998"/>
    <n v="118.68121780999994"/>
    <n v="-136.91223576999997"/>
    <n v="651.52608787999998"/>
    <n v="532.84487007000007"/>
    <n v="118.68121780999991"/>
  </r>
  <r>
    <s v="E209"/>
    <s v="Yes"/>
    <x v="14"/>
    <s v="Fund"/>
    <s v="On Original Risk List  "/>
    <s v="From Risk - Fund Responsibility - Dublin Funds"/>
    <s v="Service Fund"/>
    <s v="Flexible"/>
    <s v="TBD"/>
    <s v="Agreed a light touch with VaR and Leverage limits"/>
    <s v="AMUNDI.IRL/INV/MAS/PMG"/>
    <s v="BUONO SALVATORE"/>
    <s v="To be Affected"/>
    <s v="To Be Determined"/>
    <n v="623642733.23000002"/>
    <n v="198759201.82000002"/>
    <m/>
    <b v="0"/>
    <n v="402542016.44000006"/>
    <n v="-26306785.200000003"/>
    <n v="234214073.76000002"/>
    <n v="234.21407376000002"/>
    <n v="-35454871.939999998"/>
    <n v="-35454871.939999998"/>
    <n v="198.75920182000002"/>
    <n v="-35.454871939999997"/>
    <n v="-26.306785200000004"/>
    <n v="198.75920182000002"/>
    <n v="234.21407376000002"/>
    <n v="-35.454871940000004"/>
  </r>
  <r>
    <s v="PF87100"/>
    <s v="Yes"/>
    <x v="15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Global - Balanced Global Defensive 20"/>
    <s v="DUB BAL Multimanagement SDA Fds de Fds"/>
    <m/>
    <n v="6970226.1600000001"/>
    <m/>
    <b v="0"/>
    <m/>
    <n v="0"/>
    <n v="6970226.1600000001"/>
    <n v="6.9702261600000002"/>
    <n v="0"/>
    <n v="0"/>
    <n v="6.9702261600000002"/>
    <n v="0"/>
    <n v="0"/>
    <n v="6.9702261600000002"/>
    <n v="6.9702261600000002"/>
    <n v="0"/>
  </r>
  <r>
    <s v="PF87115"/>
    <s v="Yes"/>
    <x v="16"/>
    <s v="Fund"/>
    <s v="On Original Risk List  "/>
    <s v="From Risk - Fund Responsibility - Dublin Funds"/>
    <s v="Allocation Driven Strategies"/>
    <s v="Growth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n v="3927561.09"/>
    <m/>
    <b v="0"/>
    <m/>
    <n v="0"/>
    <n v="3927561.09"/>
    <n v="3.9275610899999998"/>
    <n v="0"/>
    <n v="0"/>
    <n v="3.9275610899999998"/>
    <n v="0"/>
    <n v="0"/>
    <n v="3.9275610899999998"/>
    <n v="3.9275610899999998"/>
    <n v="0"/>
  </r>
  <r>
    <s v="PF92127"/>
    <s v="Yes"/>
    <x v="17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m/>
    <n v="335146857.69"/>
    <m/>
    <b v="0"/>
    <m/>
    <n v="-114988408.88000004"/>
    <n v="473820490.07999998"/>
    <n v="473.82049007999996"/>
    <n v="-138673632.38999999"/>
    <n v="-138673632.38999999"/>
    <n v="335.14685768999999"/>
    <n v="-138.67363238999999"/>
    <n v="-114.98840888000004"/>
    <n v="335.14685768999999"/>
    <n v="473.82049007999996"/>
    <n v="-138.67363238999997"/>
  </r>
  <r>
    <s v="PF95239"/>
    <s v="Yes"/>
    <x v="18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m/>
    <n v="319412485.87"/>
    <m/>
    <b v="0"/>
    <m/>
    <n v="-68314787.599999979"/>
    <n v="408635787.25"/>
    <n v="408.63578725000002"/>
    <n v="-89223301.379999995"/>
    <n v="-89223301.379999995"/>
    <n v="319.41248587000001"/>
    <n v="-89.223301379999995"/>
    <n v="-68.314787599999974"/>
    <n v="319.41248587000001"/>
    <n v="408.63578725000002"/>
    <n v="-89.223301380000009"/>
  </r>
  <r>
    <s v="PF201311"/>
    <s v="Yes"/>
    <x v="19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m/>
    <n v="290323179.13999999"/>
    <m/>
    <b v="0"/>
    <m/>
    <n v="-10126505.439999999"/>
    <n v="297654635.05000001"/>
    <n v="297.65463505000002"/>
    <n v="-7331455.9100000262"/>
    <n v="-7331455.9100000262"/>
    <n v="290.32317913999998"/>
    <n v="-7.3314559100000265"/>
    <n v="-10.126505439999999"/>
    <n v="290.32317913999998"/>
    <n v="291.99145505000001"/>
    <n v="-1.6682759100000339"/>
  </r>
  <r>
    <s v="SAXO"/>
    <s v="Yes"/>
    <x v="20"/>
    <s v="Model"/>
    <s v="On Original Risk List  "/>
    <s v="From Risk - Fund Responsibility - Dublin Funds"/>
    <s v="Allocation Driven Strategies"/>
    <s v="Conservative"/>
    <s v="BAL Multimanagement"/>
    <s v="DUB BAL Multimanagement Alt Greenway"/>
    <s v="AMUNDI.IRL/INV/MAS/PMG/PMG"/>
    <s v="Jen"/>
    <s v="To be Affected"/>
    <s v="DUB BAL Multimanagement Alt Greenway"/>
    <m/>
    <n v="192199661.30000001"/>
    <m/>
    <b v="0"/>
    <n v="0"/>
    <n v="-7061169.119999975"/>
    <n v="199260830.41999999"/>
    <n v="199.26083041999999"/>
    <n v="-7061169.119999975"/>
    <n v="-7061169.119999975"/>
    <n v="192.1996613"/>
    <n v="-7.0611691199999749"/>
    <n v="-7.0611691199999749"/>
    <m/>
    <m/>
    <n v="0"/>
  </r>
  <r>
    <m/>
    <m/>
    <x v="21"/>
    <m/>
    <m/>
    <m/>
    <m/>
    <m/>
    <m/>
    <m/>
    <m/>
    <m/>
    <m/>
    <m/>
    <m/>
    <m/>
    <m/>
    <m/>
    <m/>
    <m/>
    <m/>
    <m/>
    <m/>
    <m/>
    <m/>
    <m/>
    <m/>
    <m/>
    <m/>
    <m/>
  </r>
  <r>
    <s v="PSUKLD1"/>
    <s v="Yes"/>
    <x v="22"/>
    <s v="Fund"/>
    <s v="On Original Risk List  "/>
    <s v="From Risk - Fund Responsibility - Dublin Funds"/>
    <s v="Allocation Driven Strategies"/>
    <s v="Flexible"/>
    <s v="BAL Multimanagement"/>
    <s v="AMU BAL SDA Fds de Fds (used some absolute limits with Low Rik)"/>
    <s v="AMUNDI.IRL/INV/MAS/PMG/PMG"/>
    <s v="CASEY RICHARD"/>
    <s v="To be Affected"/>
    <s v="DUB BAL Multimanagement SDA Fds de Fds"/>
    <n v="0"/>
    <n v="169200994.27920362"/>
    <m/>
    <b v="0"/>
    <m/>
    <n v="0"/>
    <n v="165771172.4394339"/>
    <n v="165.77117243943391"/>
    <n v="3429821.839769721"/>
    <n v="3429821.839769721"/>
    <n v="169.20099427920363"/>
    <n v="3.4298218397697209"/>
    <n v="0"/>
    <n v="141.07978902999997"/>
    <n v="138.22000358"/>
    <n v="2.8597854499999755"/>
  </r>
  <r>
    <s v="PF79139"/>
    <s v="Yes"/>
    <x v="23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n v="143903806.97"/>
    <m/>
    <s v="Needs a Macro &amp; Micro Process assigned?"/>
    <b v="0"/>
    <n v="59757669.739999995"/>
    <m/>
    <m/>
    <m/>
    <m/>
    <m/>
    <m/>
    <m/>
    <m/>
    <m/>
    <m/>
    <m/>
  </r>
  <r>
    <s v="PF71664"/>
    <s v="Yes"/>
    <x v="24"/>
    <s v="Fund"/>
    <s v="On Original Risk List  "/>
    <s v="From Risk - Fund Responsibility - Dublin Funds"/>
    <s v="Outcome Oriented Strategies"/>
    <s v="Risk Accumulation"/>
    <s v="EFI Absolute Return"/>
    <s v="DUB EFI Absolute Return Aggregate"/>
    <s v="AMUNDI.IRL/INV/MAS/PMG/PMG"/>
    <s v="CASEY RICHARD"/>
    <s v="To be Affected"/>
    <s v="DUB EFI Absolute Return Aggregate"/>
    <n v="493754015.27999997"/>
    <m/>
    <m/>
    <b v="0"/>
    <n v="493807009.17000002"/>
    <m/>
    <m/>
    <m/>
    <m/>
    <m/>
    <m/>
    <m/>
    <m/>
    <m/>
    <m/>
    <m/>
  </r>
  <r>
    <s v="PF76580"/>
    <s v="Yes"/>
    <x v="25"/>
    <s v="Fund"/>
    <s v="On Original Risk List  "/>
    <s v="From Risk - Fund Responsibility - Dublin Funds"/>
    <s v="Outcome Oriented Strategies"/>
    <s v="Risk Accumulation"/>
    <s v="EFI Absolute Return"/>
    <s v="DUB EFI Absolute Return Aggregate"/>
    <s v="AMUNDI.IRL/INV/MAS/PMG/PMG"/>
    <s v="CASEY RICHARD"/>
    <s v="To be Affected"/>
    <s v="DUB EFI Absolute Return Aggregate"/>
    <n v="291181937.61000001"/>
    <m/>
    <m/>
    <b v="0"/>
    <n v="290503113.68999994"/>
    <m/>
    <m/>
    <m/>
    <m/>
    <m/>
    <m/>
    <m/>
    <m/>
    <m/>
    <m/>
    <m/>
  </r>
  <r>
    <s v="PF88300"/>
    <s v="Yes"/>
    <x v="26"/>
    <s v="Fund"/>
    <s v="On Original Risk List  "/>
    <s v="From Risk - Fund Responsibility - Dublin Funds"/>
    <s v="Outcome Oriented Strategies"/>
    <s v="Risk Accumulation"/>
    <s v="EFI Absolute Return"/>
    <m/>
    <s v="AMUNDI.IRL/INV/MAS/PMG/PMG"/>
    <s v="CASEY RICHARD"/>
    <s v="To be Affected"/>
    <s v="DUB EFI Absolute Return Aggregate"/>
    <n v="0"/>
    <n v="451980230.57999998"/>
    <m/>
    <b v="0"/>
    <m/>
    <n v="-75897228.409999982"/>
    <n v="555495066.75999999"/>
    <n v="555.49506675999999"/>
    <n v="-103514836.18000001"/>
    <n v="-103514836.18000001"/>
    <n v="451.98023058000001"/>
    <n v="-103.51483618"/>
    <n v="-75.897228409999983"/>
    <n v="451.98023058000001"/>
    <n v="555.49506675999999"/>
    <n v="-103.51483617999997"/>
  </r>
  <r>
    <s v="PF89408"/>
    <s v="Yes"/>
    <x v="27"/>
    <s v="Fund"/>
    <s v="On Original Risk List  "/>
    <s v="From Risk - Fund Responsibility - Dublin Funds"/>
    <s v="Outcome Oriented Strategies"/>
    <s v="Risk Accumulation"/>
    <s v="EFI Absolute Return"/>
    <m/>
    <s v="AMUNDI.IRL/INV/MAS/PMG/PMG"/>
    <s v="CASEY RICHARD"/>
    <s v="To be Affected"/>
    <s v="DUB EFI Absolute Return Aggregate"/>
    <n v="0"/>
    <n v="277938223.63"/>
    <m/>
    <b v="0"/>
    <m/>
    <n v="-47534278.330000006"/>
    <n v="341822371.30000001"/>
    <n v="341.82237129999999"/>
    <n v="-63884147.670000017"/>
    <n v="-63884147.670000017"/>
    <n v="277.93822362999998"/>
    <n v="-63.884147670000019"/>
    <n v="-47.534278330000006"/>
    <n v="277.93822362999998"/>
    <n v="341.82237129999999"/>
    <n v="-63.884147670000004"/>
  </r>
  <r>
    <s v="E224"/>
    <s v="Yes"/>
    <x v="28"/>
    <s v="Fund"/>
    <s v="On Original Risk List  "/>
    <s v="From Risk - Fund Responsibility - Dublin Funds"/>
    <s v="Service Fund"/>
    <s v="Income"/>
    <s v="TBD"/>
    <s v="Agreed a light touch with VaR and Leverage limits"/>
    <s v="AMUNDI.IRL/INV/MAS/PMG/PMG"/>
    <s v="CASEY RICHARD"/>
    <s v="To be Affected"/>
    <s v="To Be Determined"/>
    <n v="336518902.05000001"/>
    <n v="59556669.140000001"/>
    <m/>
    <b v="0"/>
    <n v="367376593.58999997"/>
    <n v="-6138586.8300000001"/>
    <n v="74824881.549999997"/>
    <n v="74.824881550000001"/>
    <n v="-15268212.409999996"/>
    <n v="-15268212.409999996"/>
    <n v="59.556669140000004"/>
    <n v="-15.268212409999997"/>
    <n v="-6.1385868300000004"/>
    <n v="59.556669140000004"/>
    <n v="74.824881550000001"/>
    <n v="-15.268212409999997"/>
  </r>
  <r>
    <s v="E208"/>
    <s v="Yes"/>
    <x v="29"/>
    <s v="Fund"/>
    <s v="On Original Risk List  "/>
    <s v="From Risk - Fund Responsibility - Dublin Funds"/>
    <s v="Service Fund"/>
    <s v="Bond"/>
    <s v="TBD"/>
    <s v="Agreed a light touch with VaR and Leverage limits"/>
    <s v="AMUNDI.IRL/INV/MAS/PMG/PMG"/>
    <s v="PAQUOT BERTRAND"/>
    <s v="To be Affected"/>
    <s v="To Be Determined"/>
    <n v="199913822.47999999"/>
    <n v="74247835.579999998"/>
    <m/>
    <b v="0"/>
    <n v="450365694.73000002"/>
    <n v="-2977460.7300000018"/>
    <n v="77232789.670000002"/>
    <n v="77.232789670000003"/>
    <n v="-2984954.0900000036"/>
    <n v="-2984954.0900000036"/>
    <n v="74.24783558"/>
    <n v="-2.9849540900000036"/>
    <n v="-2.977460730000002"/>
    <n v="74.24783558"/>
    <n v="77.232789670000003"/>
    <n v="-2.9849540900000022"/>
  </r>
  <r>
    <s v="ULECSTARS"/>
    <s v="Yes"/>
    <x v="30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1901251614"/>
    <m/>
    <b v="0"/>
    <m/>
    <n v="-32352755.369999997"/>
    <n v="1877332566"/>
    <n v="1877.332566"/>
    <n v="23919048"/>
    <n v="23919048"/>
    <n v="1901.251614"/>
    <n v="23.919048"/>
    <n v="-32.352755369999997"/>
    <n v="1901.251614"/>
    <n v="1877.332566"/>
    <n v="23.919047999999975"/>
  </r>
  <r>
    <s v="F100123"/>
    <s v="Yes"/>
    <x v="31"/>
    <s v="Fund"/>
    <s v="On Original Risk List  "/>
    <s v="From Risk - Fund Responsibility - Dublin Funds"/>
    <s v="Allocation Driven Strategies"/>
    <s v="Equity"/>
    <s v="TBD"/>
    <m/>
    <s v="AMUNDI.IRL/INV/MAS/PMG/PMG"/>
    <s v="NICHOLAS POTHIER"/>
    <s v="To be Affected"/>
    <s v="To Be Determined"/>
    <m/>
    <n v="66105969.392638035"/>
    <m/>
    <b v="0"/>
    <m/>
    <n v="-14474433.773006134"/>
    <n v="80580403.165644169"/>
    <n v="80.580403165644171"/>
    <n v="-14474433.773006134"/>
    <n v="-14474433.773006134"/>
    <n v="66.105969392638031"/>
    <n v="-14.474433773006133"/>
    <n v="-14.474433773006133"/>
    <n v="10775.273010999999"/>
    <n v="13134.605716"/>
    <n v="-2359.3327050000007"/>
  </r>
  <r>
    <s v="UDM6"/>
    <s v="Yes"/>
    <x v="32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1100006489"/>
    <m/>
    <b v="0"/>
    <m/>
    <n v="1008111.8999999951"/>
    <n v="1020119648"/>
    <n v="1020.119648"/>
    <n v="79886841"/>
    <n v="79886841"/>
    <n v="1100.0064890000001"/>
    <n v="79.886841000000004"/>
    <n v="1.0081118999999952"/>
    <n v="1100.0064890000001"/>
    <n v="1020.119648"/>
    <n v="79.886841000000118"/>
  </r>
  <r>
    <s v="UDM7"/>
    <s v="Yes"/>
    <x v="33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46360523"/>
    <m/>
    <b v="0"/>
    <m/>
    <n v="-74993.419999999984"/>
    <n v="49761394"/>
    <n v="49.761394000000003"/>
    <n v="-3400871"/>
    <n v="-3400871"/>
    <n v="46.360523000000001"/>
    <n v="-3.400871"/>
    <n v="-7.4993419999999977E-2"/>
    <n v="46.360523000000001"/>
    <n v="49.761394000000003"/>
    <n v="-3.4008710000000022"/>
  </r>
  <r>
    <s v="UDM9"/>
    <s v="Yes"/>
    <x v="34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173792904"/>
    <m/>
    <b v="0"/>
    <m/>
    <n v="-4429190.5399999972"/>
    <n v="173466024"/>
    <n v="173.466024"/>
    <n v="326880"/>
    <n v="326880"/>
    <n v="173.79290399999999"/>
    <n v="0.32688"/>
    <n v="-4.4291905399999969"/>
    <n v="173.79290399999999"/>
    <n v="173.466024"/>
    <n v="0.32687999999998851"/>
  </r>
  <r>
    <s v="E207"/>
    <s v="Yes"/>
    <x v="35"/>
    <s v="Fund"/>
    <s v="On Original Risk List  "/>
    <s v="From Risk - Fund Responsibility - Dublin Funds"/>
    <s v="Service Fund"/>
    <s v="Equity"/>
    <s v="TBD"/>
    <s v="Agreed a light touch with VaR and Leverage limits"/>
    <s v="AMUNDI.IRL/INV/MAS/PMG/PMG"/>
    <s v="PAQUOT BERTRAND"/>
    <s v="To be Affected"/>
    <s v="To Be Determined"/>
    <n v="103113709.33"/>
    <n v="53160977.919999994"/>
    <m/>
    <b v="0"/>
    <n v="316671363.03000009"/>
    <n v="-446651.58000000013"/>
    <n v="56764604.780000001"/>
    <n v="56.764604779999999"/>
    <n v="-3603626.8600000069"/>
    <n v="-3603626.8600000069"/>
    <n v="53.160977919999993"/>
    <n v="-3.603626860000007"/>
    <n v="-0.44665158000000016"/>
    <n v="53.160977919999993"/>
    <n v="56.764604779999999"/>
    <n v="-3.6036268600000056"/>
  </r>
  <r>
    <s v="E193"/>
    <s v="Yes"/>
    <x v="36"/>
    <s v="Fund"/>
    <s v="Added by Ronan"/>
    <s v="From Risk - Fund Responsibility - Dublin Funds"/>
    <s v="Outcome Oriented Strategies"/>
    <s v="Income"/>
    <s v="BAL Multimanagement"/>
    <s v="AMU BAL SDA Fds de Fds (used absolute limits mixed medium/High risk)"/>
    <m/>
    <m/>
    <m/>
    <m/>
    <m/>
    <n v="136428638.49000001"/>
    <m/>
    <b v="0"/>
    <n v="294308339.36000001"/>
    <n v="-4867464.6900000013"/>
    <n v="137814615.19000003"/>
    <n v="137.81461519000004"/>
    <n v="-1385976.7000000179"/>
    <n v="-1385976.7000000179"/>
    <n v="136.42863849"/>
    <n v="-1.3859767000000178"/>
    <n v="-4.8674646900000011"/>
    <n v="136.42863849"/>
    <n v="137.81461519000004"/>
    <n v="-1.3859767000000431"/>
  </r>
  <r>
    <s v="1PM"/>
    <s v="Yes"/>
    <x v="37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32885137.42170599"/>
    <n v="286172410"/>
    <m/>
    <b v="0"/>
    <m/>
    <n v="-8096631.620000002"/>
    <n v="276712413"/>
    <n v="276.71241300000003"/>
    <n v="9459997"/>
    <n v="9459997"/>
    <n v="286.17241000000001"/>
    <n v="9.4599969999999995"/>
    <n v="-8.0966316200000019"/>
    <n v="286.17241000000001"/>
    <n v="276.71241300000003"/>
    <n v="9.4599969999999871"/>
  </r>
  <r>
    <s v="1QM"/>
    <s v="Yes"/>
    <x v="38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75215585.57200199"/>
    <n v="44621309"/>
    <m/>
    <b v="0"/>
    <m/>
    <n v="-915885.27000000014"/>
    <n v="44663645"/>
    <n v="44.663645000000002"/>
    <n v="-42336"/>
    <n v="-42336"/>
    <n v="44.621308999999997"/>
    <n v="-4.2335999999999999E-2"/>
    <n v="-0.91588527000000008"/>
    <n v="44.621308999999997"/>
    <n v="44.663645000000002"/>
    <n v="-4.2336000000005924E-2"/>
  </r>
  <r>
    <s v="1RM"/>
    <s v="Yes"/>
    <x v="39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0066014.82525399"/>
    <n v="29605967"/>
    <m/>
    <b v="0"/>
    <m/>
    <n v="-567692.13"/>
    <n v="29944309"/>
    <n v="29.944309000000001"/>
    <n v="-338342"/>
    <n v="-338342"/>
    <n v="29.605967"/>
    <n v="-0.33834199999999998"/>
    <n v="-0.56769212999999996"/>
    <n v="29.605967"/>
    <n v="29.944309000000001"/>
    <n v="-0.33834200000000081"/>
  </r>
  <r>
    <s v="R1M"/>
    <s v="Yes"/>
    <x v="40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55352140.60327399"/>
    <n v="20379176"/>
    <m/>
    <b v="0"/>
    <m/>
    <n v="-444459.29000000004"/>
    <n v="20364888"/>
    <n v="20.364888000000001"/>
    <n v="14288"/>
    <n v="14288"/>
    <n v="20.379176000000001"/>
    <n v="1.4288E-2"/>
    <n v="-0.44445929000000006"/>
    <n v="20.379176000000001"/>
    <n v="20.364888000000001"/>
    <n v="1.4288000000000523E-2"/>
  </r>
  <r>
    <s v="CCRESCITA"/>
    <s v="Yes"/>
    <x v="41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44033874.81555301"/>
    <n v="1259071"/>
    <m/>
    <b v="0"/>
    <m/>
    <n v="-19473.099999999995"/>
    <n v="1226192"/>
    <n v="1.2261919999999999"/>
    <n v="32879"/>
    <n v="32879"/>
    <n v="1.2590710000000001"/>
    <n v="3.2878999999999999E-2"/>
    <n v="-1.9473099999999993E-2"/>
    <n v="1.2590710000000001"/>
    <n v="1.2261919999999999"/>
    <n v="3.2879000000000103E-2"/>
  </r>
  <r>
    <s v="CMEDIUM"/>
    <s v="Yes"/>
    <x v="42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64099154.06433299"/>
    <n v="221348"/>
    <m/>
    <b v="0"/>
    <m/>
    <m/>
    <n v="215898"/>
    <n v="0.21589800000000001"/>
    <n v="5450"/>
    <n v="5450"/>
    <n v="0.22134799999999999"/>
    <n v="5.45E-3"/>
    <n v="0"/>
    <n v="0.22134799999999999"/>
    <n v="0.21589800000000001"/>
    <n v="5.4499999999999826E-3"/>
  </r>
  <r>
    <s v="COBBLEURO"/>
    <s v="Yes"/>
    <x v="43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1327249.913721"/>
    <n v="2649"/>
    <m/>
    <b v="0"/>
    <m/>
    <m/>
    <n v="2649"/>
    <n v="2.6489999999999999E-3"/>
    <n v="0"/>
    <n v="0"/>
    <n v="2.6489999999999999E-3"/>
    <n v="0"/>
    <n v="0"/>
    <n v="2.6489999999999999E-3"/>
    <n v="2.6489999999999999E-3"/>
    <n v="0"/>
  </r>
  <r>
    <s v="CREDDITO"/>
    <s v="Yes"/>
    <x v="44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8785755.166821"/>
    <n v="83275"/>
    <m/>
    <b v="0"/>
    <m/>
    <m/>
    <n v="82952"/>
    <n v="8.2951999999999998E-2"/>
    <n v="323"/>
    <n v="323"/>
    <n v="8.3275000000000002E-2"/>
    <n v="3.2299999999999999E-4"/>
    <n v="0"/>
    <n v="8.3275000000000002E-2"/>
    <n v="8.2951999999999998E-2"/>
    <n v="3.2300000000000384E-4"/>
  </r>
  <r>
    <s v="STEPONE"/>
    <s v="Yes"/>
    <x v="45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22766479.464708"/>
    <n v="78465"/>
    <m/>
    <b v="0"/>
    <m/>
    <m/>
    <n v="77392"/>
    <n v="7.7392000000000002E-2"/>
    <n v="1073"/>
    <n v="1073"/>
    <n v="7.8464999999999993E-2"/>
    <n v="1.073E-3"/>
    <n v="0"/>
    <n v="7.8464999999999993E-2"/>
    <n v="7.7392000000000002E-2"/>
    <n v="1.0729999999999906E-3"/>
  </r>
  <r>
    <s v="CSVILUPPO"/>
    <s v="Yes"/>
    <x v="46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20197773.695786"/>
    <n v="33771"/>
    <m/>
    <b v="0"/>
    <m/>
    <m/>
    <n v="33771"/>
    <n v="3.3771000000000002E-2"/>
    <n v="0"/>
    <n v="0"/>
    <n v="3.3771000000000002E-2"/>
    <n v="0"/>
    <n v="0"/>
    <n v="3.3771000000000002E-2"/>
    <n v="3.3771000000000002E-2"/>
    <n v="0"/>
  </r>
  <r>
    <s v="CTREND_20"/>
    <s v="Yes"/>
    <x v="47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26520197.485156"/>
    <n v="23564"/>
    <m/>
    <b v="0"/>
    <m/>
    <m/>
    <n v="23564"/>
    <n v="2.3564000000000002E-2"/>
    <n v="0"/>
    <n v="0"/>
    <n v="2.3564000000000002E-2"/>
    <n v="0"/>
    <n v="0"/>
    <n v="2.3564000000000002E-2"/>
    <n v="2.3564000000000002E-2"/>
    <n v="0"/>
  </r>
  <r>
    <s v="MLIFEBND"/>
    <s v="Yes"/>
    <x v="48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6344307.007341"/>
    <n v="86278219"/>
    <m/>
    <b v="0"/>
    <m/>
    <n v="-4047481.4800000009"/>
    <n v="89492990"/>
    <n v="89.492990000000006"/>
    <n v="-3214771"/>
    <n v="-3214771"/>
    <n v="86.278219000000007"/>
    <n v="-3.2147709999999998"/>
    <n v="-4.047481480000001"/>
    <n v="86.278219000000007"/>
    <n v="89.492990000000006"/>
    <n v="-3.2147709999999989"/>
  </r>
  <r>
    <s v="MLPFLEX"/>
    <s v="Yes"/>
    <x v="49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23139636.995855"/>
    <n v="24819922"/>
    <m/>
    <b v="0"/>
    <m/>
    <n v="-916591.71999999974"/>
    <n v="25631869"/>
    <n v="25.631868999999998"/>
    <n v="-811947"/>
    <n v="-811947"/>
    <n v="24.819921999999998"/>
    <n v="-0.81194699999999997"/>
    <n v="-0.91659171999999978"/>
    <n v="24.819921999999998"/>
    <n v="25.631868999999998"/>
    <n v="-0.81194699999999997"/>
  </r>
  <r>
    <s v="PP1-3Y"/>
    <s v="Yes"/>
    <x v="50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21277565.483007"/>
    <n v="87573063"/>
    <m/>
    <b v="0"/>
    <m/>
    <n v="-4628998.620000001"/>
    <n v="91452737"/>
    <n v="91.452736999999999"/>
    <n v="-3879674"/>
    <n v="-3879674"/>
    <n v="87.573063000000005"/>
    <n v="-3.8796740000000001"/>
    <n v="-4.6289986200000008"/>
    <n v="87.573063000000005"/>
    <n v="91.452736999999999"/>
    <n v="-3.8796739999999943"/>
  </r>
  <r>
    <s v="PLIC"/>
    <s v="Yes"/>
    <x v="51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203127455.50508699"/>
    <n v="33652386"/>
    <m/>
    <b v="0"/>
    <m/>
    <n v="-373108.55999999994"/>
    <n v="33951455"/>
    <n v="33.951455000000003"/>
    <n v="-299069"/>
    <n v="-299069"/>
    <n v="33.652386"/>
    <n v="-0.29906899999999997"/>
    <n v="-0.37310855999999992"/>
    <n v="33.652386"/>
    <n v="33.951455000000003"/>
    <n v="-0.29906900000000292"/>
  </r>
  <r>
    <s v="ULBIL"/>
    <s v="Yes"/>
    <x v="52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71772844.79818401"/>
    <n v="10517233"/>
    <m/>
    <b v="0"/>
    <m/>
    <n v="-614112.52"/>
    <n v="11114645"/>
    <n v="11.114644999999999"/>
    <n v="-597412"/>
    <n v="-597412"/>
    <n v="10.517232999999999"/>
    <n v="-0.59741200000000005"/>
    <n v="-0.61411252000000005"/>
    <n v="10.517232999999999"/>
    <n v="11.114644999999999"/>
    <n v="-0.59741200000000028"/>
  </r>
  <r>
    <s v="ULBILPIU"/>
    <s v="Yes"/>
    <x v="53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73815813.46287501"/>
    <n v="17251250"/>
    <m/>
    <b v="0"/>
    <m/>
    <n v="-514722.49999999988"/>
    <n v="17726631"/>
    <n v="17.726631000000001"/>
    <n v="-475381"/>
    <n v="-475381"/>
    <n v="17.251249999999999"/>
    <n v="-0.475381"/>
    <n v="-0.51472249999999986"/>
    <n v="17.251249999999999"/>
    <n v="17.726631000000001"/>
    <n v="-0.47538100000000227"/>
  </r>
  <r>
    <s v="ULDIN"/>
    <s v="Yes"/>
    <x v="54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78110589.65588099"/>
    <n v="18063937"/>
    <m/>
    <b v="0"/>
    <m/>
    <n v="-905874.80999999994"/>
    <n v="19013976"/>
    <n v="19.013976"/>
    <n v="-950039"/>
    <n v="-950039"/>
    <n v="18.063936999999999"/>
    <n v="-0.95003899999999997"/>
    <n v="-0.90587480999999992"/>
    <n v="18.063936999999999"/>
    <n v="19.013976"/>
    <n v="-0.9500390000000003"/>
  </r>
  <r>
    <s v="ULP"/>
    <s v="Yes"/>
    <x v="55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60292239.99039599"/>
    <n v="12030736"/>
    <m/>
    <b v="0"/>
    <m/>
    <n v="-668763.87000000011"/>
    <n v="12689996"/>
    <n v="12.689996000000001"/>
    <n v="-659260"/>
    <n v="-659260"/>
    <n v="12.030735999999999"/>
    <n v="-0.65925999999999996"/>
    <n v="-0.66876387000000015"/>
    <n v="12.030735999999999"/>
    <n v="12.689996000000001"/>
    <n v="-0.65926000000000151"/>
  </r>
  <r>
    <s v="ULPRUD"/>
    <s v="Yes"/>
    <x v="56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70166928.79846799"/>
    <n v="15554245"/>
    <m/>
    <b v="0"/>
    <m/>
    <n v="-673150.85"/>
    <n v="16167560"/>
    <n v="16.167560000000002"/>
    <n v="-613315"/>
    <n v="-613315"/>
    <n v="15.554245"/>
    <n v="-0.61331500000000005"/>
    <n v="-0.67315084999999997"/>
    <n v="15.554245"/>
    <n v="16.167560000000002"/>
    <n v="-0.61331500000000183"/>
  </r>
  <r>
    <s v="DINAR1TF"/>
    <s v="Yes"/>
    <x v="57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43350273.71078199"/>
    <n v="1363503"/>
    <m/>
    <b v="0"/>
    <m/>
    <n v="-8576.35"/>
    <n v="1364632"/>
    <n v="1.3646320000000001"/>
    <n v="-1129"/>
    <n v="-1129"/>
    <n v="1.3635029999999999"/>
    <n v="-1.129E-3"/>
    <n v="-8.5763499999999999E-3"/>
    <n v="1.3635029999999999"/>
    <n v="1.3646320000000001"/>
    <n v="-1.1290000000001577E-3"/>
  </r>
  <r>
    <s v="DINAR2TF"/>
    <s v="Yes"/>
    <x v="58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52499167.475393"/>
    <n v="26945800"/>
    <m/>
    <b v="0"/>
    <m/>
    <n v="-155507.10000000009"/>
    <n v="26955727"/>
    <n v="26.955727"/>
    <n v="-9927"/>
    <n v="-9927"/>
    <n v="26.945799999999998"/>
    <n v="-9.9270000000000001E-3"/>
    <n v="-0.15550710000000009"/>
    <n v="26.945799999999998"/>
    <n v="26.955727"/>
    <n v="-9.9270000000011294E-3"/>
  </r>
  <r>
    <s v="DINAR3TF"/>
    <s v="Yes"/>
    <x v="59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57395061.84757999"/>
    <n v="795570"/>
    <m/>
    <b v="0"/>
    <m/>
    <n v="-3761.6500000000005"/>
    <n v="794524"/>
    <n v="0.79452400000000001"/>
    <n v="1046"/>
    <n v="1046"/>
    <n v="0.79557"/>
    <n v="1.0460000000000001E-3"/>
    <n v="-3.7616500000000005E-3"/>
    <n v="0.79557"/>
    <n v="0.79452400000000001"/>
    <n v="1.0459999999999914E-3"/>
  </r>
  <r>
    <s v="MATRUNIP"/>
    <s v="Yes"/>
    <x v="60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23986749.370975"/>
    <n v="12280450"/>
    <m/>
    <b v="0"/>
    <m/>
    <n v="-644373.75999999989"/>
    <n v="12897265"/>
    <n v="12.897265000000001"/>
    <n v="-616815"/>
    <n v="-616815"/>
    <n v="12.28045"/>
    <n v="-0.616815"/>
    <n v="-0.64437375999999991"/>
    <n v="12.28045"/>
    <n v="12.897265000000001"/>
    <n v="-0.61681500000000078"/>
  </r>
  <r>
    <s v="MUNIP"/>
    <s v="Yes"/>
    <x v="61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62393071.78226301"/>
    <n v="255343"/>
    <m/>
    <b v="0"/>
    <m/>
    <n v="-17807.07"/>
    <n v="272765"/>
    <n v="0.27276499999999998"/>
    <n v="-17422"/>
    <n v="-17422"/>
    <n v="0.25534299999999999"/>
    <n v="-1.7422E-2"/>
    <n v="-1.7807070000000001E-2"/>
    <n v="0.25534299999999999"/>
    <n v="0.27276499999999998"/>
    <n v="-1.7421999999999993E-2"/>
  </r>
  <r>
    <s v="MEPF2N"/>
    <s v="Yes"/>
    <x v="62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6117570.69861901"/>
    <n v="7616069"/>
    <m/>
    <b v="0"/>
    <m/>
    <n v="-350635.67999999988"/>
    <n v="7920799"/>
    <n v="7.9207989999999997"/>
    <n v="-304730"/>
    <n v="-304730"/>
    <n v="7.6160690000000004"/>
    <n v="-0.30473"/>
    <n v="-0.35063567999999989"/>
    <n v="7.6160690000000004"/>
    <n v="7.9207989999999997"/>
    <n v="-0.30472999999999928"/>
  </r>
  <r>
    <s v="MEPF5"/>
    <s v="Yes"/>
    <x v="63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66141402.92062801"/>
    <n v="72484395"/>
    <m/>
    <b v="0"/>
    <m/>
    <n v="-1379157.7200000009"/>
    <n v="73864832"/>
    <n v="73.864832000000007"/>
    <n v="-1380437"/>
    <n v="-1380437"/>
    <n v="72.484395000000006"/>
    <n v="-1.3804369999999999"/>
    <n v="-1.3791577200000009"/>
    <n v="72.484395000000006"/>
    <n v="73.864832000000007"/>
    <n v="-1.3804370000000006"/>
  </r>
  <r>
    <s v="MEPF6"/>
    <s v="Yes"/>
    <x v="64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58113575.86113399"/>
    <n v="64408792"/>
    <m/>
    <b v="0"/>
    <m/>
    <n v="-1481691.5300000005"/>
    <n v="65910670"/>
    <n v="65.910669999999996"/>
    <n v="-1501878"/>
    <n v="-1501878"/>
    <n v="64.408792000000005"/>
    <n v="-1.501878"/>
    <n v="-1.4816915300000004"/>
    <n v="64.408792000000005"/>
    <n v="65.910669999999996"/>
    <n v="-1.5018779999999907"/>
  </r>
  <r>
    <s v="MEPF8"/>
    <s v="Yes"/>
    <x v="65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44184151.890834"/>
    <n v="128787502"/>
    <m/>
    <b v="0"/>
    <m/>
    <n v="-2446438.419999999"/>
    <n v="132733973"/>
    <n v="132.73397299999999"/>
    <n v="-3946471"/>
    <n v="-3946471"/>
    <n v="128.78750199999999"/>
    <n v="-3.9464709999999998"/>
    <n v="-2.4464384199999989"/>
    <n v="128.78750199999999"/>
    <n v="132.73397299999999"/>
    <n v="-3.9464710000000025"/>
  </r>
  <r>
    <s v="ULG4NEW"/>
    <s v="Yes"/>
    <x v="66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96970719.92772499"/>
    <n v="411051"/>
    <m/>
    <b v="0"/>
    <m/>
    <n v="-681.71"/>
    <n v="406916"/>
    <n v="0.406916"/>
    <n v="4135"/>
    <n v="4135"/>
    <n v="0.411051"/>
    <n v="4.1349999999999998E-3"/>
    <n v="-6.8171000000000008E-4"/>
    <n v="0.411051"/>
    <n v="0.406916"/>
    <n v="4.1349999999999998E-3"/>
  </r>
  <r>
    <s v="MEPF10"/>
    <s v="Yes"/>
    <x v="67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639044963.34446"/>
    <n v="395535"/>
    <m/>
    <b v="0"/>
    <m/>
    <n v="-1323.0099999999998"/>
    <n v="393174"/>
    <n v="0.39317400000000002"/>
    <n v="2361"/>
    <n v="2361"/>
    <n v="0.39553500000000003"/>
    <n v="2.3609999999999998E-3"/>
    <n v="-1.3230099999999997E-3"/>
    <n v="0.39553500000000003"/>
    <n v="0.39317400000000002"/>
    <n v="2.361000000000002E-3"/>
  </r>
  <r>
    <s v="MEPF4"/>
    <s v="Yes"/>
    <x v="68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9879073.65219"/>
    <n v="1067361"/>
    <m/>
    <b v="0"/>
    <m/>
    <n v="-182908.58999999997"/>
    <n v="1249574"/>
    <n v="1.249574"/>
    <n v="-182213"/>
    <n v="-182213"/>
    <n v="1.067361"/>
    <n v="-0.18221300000000001"/>
    <n v="-0.18290858999999995"/>
    <n v="1.067361"/>
    <n v="1.249574"/>
    <n v="-0.18221299999999996"/>
  </r>
  <r>
    <s v="UES20"/>
    <s v="Yes"/>
    <x v="69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17530297.356382"/>
    <n v="23044548"/>
    <m/>
    <b v="0"/>
    <m/>
    <n v="-1652714.3599999989"/>
    <n v="24509694"/>
    <n v="24.509694"/>
    <n v="-1465146"/>
    <n v="-1465146"/>
    <n v="23.044547999999999"/>
    <n v="-1.4651460000000001"/>
    <n v="-1.6527143599999989"/>
    <n v="23.044547999999999"/>
    <n v="24.509694"/>
    <n v="-1.4651460000000007"/>
  </r>
  <r>
    <s v="UES30"/>
    <s v="Yes"/>
    <x v="70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18165044.484503"/>
    <n v="234658014"/>
    <m/>
    <b v="0"/>
    <m/>
    <n v="-17940993.880000018"/>
    <n v="250680875"/>
    <n v="250.68087499999999"/>
    <n v="-16022861"/>
    <n v="-16022861"/>
    <n v="234.65801400000001"/>
    <n v="-16.022860999999999"/>
    <n v="-17.940993880000018"/>
    <n v="234.65801400000001"/>
    <n v="250.68087499999999"/>
    <n v="-16.022860999999978"/>
  </r>
  <r>
    <s v="UES40"/>
    <s v="Yes"/>
    <x v="71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32504447.23408601"/>
    <n v="17723615"/>
    <m/>
    <b v="0"/>
    <m/>
    <n v="-1681571.7899999993"/>
    <n v="19212387"/>
    <n v="19.212387"/>
    <n v="-1488772"/>
    <n v="-1488772"/>
    <n v="17.723614999999999"/>
    <n v="-1.488772"/>
    <n v="-1.6815717899999993"/>
    <n v="17.723614999999999"/>
    <n v="19.212387"/>
    <n v="-1.4887720000000009"/>
  </r>
  <r>
    <s v="UES70"/>
    <s v="Yes"/>
    <x v="72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55309118.75409299"/>
    <n v="328851184"/>
    <m/>
    <b v="0"/>
    <m/>
    <n v="-40659051.159999982"/>
    <n v="366473118"/>
    <n v="366.473118"/>
    <n v="-37621934"/>
    <n v="-37621934"/>
    <n v="328.85118399999999"/>
    <n v="-37.621934000000003"/>
    <n v="-40.659051159999983"/>
    <n v="328.85118399999999"/>
    <n v="366.473118"/>
    <n v="-37.62193400000001"/>
  </r>
  <r>
    <s v="UES50"/>
    <s v="Yes"/>
    <x v="73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42608981.84143099"/>
    <n v="550852602"/>
    <m/>
    <b v="0"/>
    <m/>
    <n v="-66777686.989999987"/>
    <n v="613264658"/>
    <n v="613.26465800000005"/>
    <n v="-62412056"/>
    <n v="-62412056"/>
    <n v="550.85260200000005"/>
    <n v="-62.412056"/>
    <n v="-66.777686989999992"/>
    <n v="550.85260200000005"/>
    <n v="613.26465800000005"/>
    <n v="-62.412056000000007"/>
  </r>
  <r>
    <s v="PP3Y"/>
    <s v="Yes"/>
    <x v="74"/>
    <s v="Model"/>
    <s v="On Original Risk List  "/>
    <s v="From Risk - Fund Responsibility - Model Portfolios"/>
    <s v="Allocation Driven Strategies"/>
    <s v="Conservative"/>
    <m/>
    <m/>
    <s v="AMUNDI.IRL/INV/MAS/PMG/PMG"/>
    <s v="CASEY RICHARD"/>
    <s v="To be Affected"/>
    <m/>
    <n v="173624542.66213301"/>
    <n v="122521317"/>
    <m/>
    <b v="0"/>
    <m/>
    <n v="-188585.52999999974"/>
    <n v="121839302"/>
    <n v="121.839302"/>
    <n v="682015"/>
    <n v="682015"/>
    <n v="122.521317"/>
    <n v="0.68201500000000004"/>
    <n v="-0.18858552999999972"/>
    <n v="122.521317"/>
    <n v="121.839302"/>
    <n v="0.68201499999999271"/>
  </r>
  <r>
    <s v="MAL"/>
    <s v="Yes"/>
    <x v="75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123064.31436101"/>
    <n v="142698"/>
    <m/>
    <b v="0"/>
    <m/>
    <n v="-1625.16"/>
    <n v="143073"/>
    <n v="0.14307300000000001"/>
    <n v="-375"/>
    <n v="-375"/>
    <n v="0.14269799999999999"/>
    <n v="-3.7500000000000001E-4"/>
    <n v="-1.6251600000000001E-3"/>
    <n v="0.14269799999999999"/>
    <n v="0.14307300000000001"/>
    <n v="-3.7500000000001421E-4"/>
  </r>
  <r>
    <s v="MAF"/>
    <s v="Yes"/>
    <x v="76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5431829.81326699"/>
    <n v="87215"/>
    <m/>
    <b v="0"/>
    <m/>
    <n v="-1505.89"/>
    <n v="87979"/>
    <n v="8.7979000000000002E-2"/>
    <n v="-764"/>
    <n v="-764"/>
    <n v="8.7215000000000001E-2"/>
    <n v="-7.6400000000000003E-4"/>
    <n v="-1.5058900000000002E-3"/>
    <n v="8.7215000000000001E-2"/>
    <n v="8.7979000000000002E-2"/>
    <n v="-7.6400000000000079E-4"/>
  </r>
  <r>
    <s v="MAB"/>
    <s v="Yes"/>
    <x v="77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257809.171958"/>
    <n v="4871246"/>
    <m/>
    <b v="0"/>
    <m/>
    <n v="-70599.200000000041"/>
    <n v="4891405"/>
    <n v="4.8914049999999998"/>
    <n v="-20159"/>
    <n v="-20159"/>
    <n v="4.8712460000000002"/>
    <n v="-2.0159E-2"/>
    <n v="-7.0599200000000042E-2"/>
    <n v="4.8712460000000002"/>
    <n v="4.8914049999999998"/>
    <n v="-2.0158999999999594E-2"/>
  </r>
  <r>
    <s v="MAD"/>
    <s v="Yes"/>
    <x v="78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6304444.90159"/>
    <n v="341235"/>
    <m/>
    <b v="0"/>
    <m/>
    <n v="-2087.83"/>
    <n v="340831"/>
    <n v="0.340831"/>
    <n v="404"/>
    <n v="404"/>
    <n v="0.34123500000000001"/>
    <n v="4.0400000000000001E-4"/>
    <n v="-2.0878299999999997E-3"/>
    <n v="0.34123500000000001"/>
    <n v="0.340831"/>
    <n v="4.0400000000001546E-4"/>
  </r>
  <r>
    <s v="MAC"/>
    <s v="Yes"/>
    <x v="79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5816999.138579"/>
    <n v="187778"/>
    <m/>
    <b v="0"/>
    <m/>
    <n v="-1740.22"/>
    <n v="187915"/>
    <n v="0.187915"/>
    <n v="-137"/>
    <n v="-137"/>
    <n v="0.187778"/>
    <n v="-1.37E-4"/>
    <n v="-1.74022E-3"/>
    <n v="0.187778"/>
    <n v="0.187915"/>
    <n v="-1.3699999999999823E-4"/>
  </r>
  <r>
    <s v="MAH"/>
    <s v="Yes"/>
    <x v="80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7971611.001837"/>
    <n v="634676"/>
    <m/>
    <b v="0"/>
    <m/>
    <n v="-2758.01"/>
    <n v="631685"/>
    <n v="0.63168500000000005"/>
    <n v="2991"/>
    <n v="2991"/>
    <n v="0.63467600000000002"/>
    <n v="2.9910000000000002E-3"/>
    <n v="-2.7580100000000004E-3"/>
    <n v="0.63467600000000002"/>
    <n v="0.63168500000000005"/>
    <n v="2.9909999999999659E-3"/>
  </r>
  <r>
    <s v="MAG"/>
    <s v="Yes"/>
    <x v="81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6807681.44795699"/>
    <n v="134904"/>
    <m/>
    <b v="0"/>
    <m/>
    <n v="-1605.7"/>
    <n v="135227"/>
    <n v="0.13522700000000001"/>
    <n v="-323"/>
    <n v="-323"/>
    <n v="0.134904"/>
    <n v="-3.2299999999999999E-4"/>
    <n v="-1.6057000000000001E-3"/>
    <n v="0.134904"/>
    <n v="0.13522700000000001"/>
    <n v="-3.2300000000001772E-4"/>
  </r>
  <r>
    <s v="MAE"/>
    <s v="Yes"/>
    <x v="82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5199855.064237"/>
    <n v="154948"/>
    <m/>
    <b v="0"/>
    <m/>
    <n v="-1644.49"/>
    <n v="155214"/>
    <n v="0.15521399999999999"/>
    <n v="-266"/>
    <n v="-266"/>
    <n v="0.154948"/>
    <n v="-2.6600000000000001E-4"/>
    <n v="-1.64449E-3"/>
    <n v="0.154948"/>
    <n v="0.15521399999999999"/>
    <n v="-2.6599999999998847E-4"/>
  </r>
  <r>
    <s v="MAA"/>
    <s v="Yes"/>
    <x v="83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11570275.28652801"/>
    <n v="279016"/>
    <m/>
    <b v="0"/>
    <m/>
    <n v="-1958.1100000000001"/>
    <n v="278072"/>
    <n v="0.27807199999999999"/>
    <n v="944"/>
    <n v="944"/>
    <n v="0.27901599999999999"/>
    <n v="9.4399999999999996E-4"/>
    <n v="-1.9581100000000003E-3"/>
    <n v="0.27901599999999999"/>
    <n v="0.27807199999999999"/>
    <n v="9.4400000000000039E-4"/>
  </r>
  <r>
    <s v="MAN"/>
    <s v="Yes"/>
    <x v="84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11414919.584572"/>
    <n v="28074"/>
    <m/>
    <b v="0"/>
    <m/>
    <n v="-1209.0000000000002"/>
    <n v="29020"/>
    <n v="2.9020000000000001E-2"/>
    <n v="-946"/>
    <n v="-946"/>
    <n v="2.8074000000000002E-2"/>
    <n v="-9.4600000000000001E-4"/>
    <n v="-1.2090000000000002E-3"/>
    <n v="2.8074000000000002E-2"/>
    <n v="2.9020000000000001E-2"/>
    <n v="-9.4599999999999893E-4"/>
  </r>
  <r>
    <s v="MAM"/>
    <s v="Yes"/>
    <x v="85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977985.737858"/>
    <n v="16557"/>
    <m/>
    <b v="0"/>
    <m/>
    <n v="-579.68999999999983"/>
    <n v="16991"/>
    <n v="1.6990999999999999E-2"/>
    <n v="-434"/>
    <n v="-434"/>
    <n v="1.6556999999999999E-2"/>
    <n v="-4.3399999999999998E-4"/>
    <n v="-5.7968999999999978E-4"/>
    <n v="1.6556999999999999E-2"/>
    <n v="1.6990999999999999E-2"/>
    <n v="-4.3400000000000036E-4"/>
  </r>
  <r>
    <s v="CNPTHEMPROT"/>
    <s v="Yes"/>
    <x v="86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195364106"/>
    <m/>
    <m/>
    <m/>
    <n v="-10521304.209999999"/>
    <n v="201751089"/>
    <n v="201.75108900000001"/>
    <n v="-6386983"/>
    <n v="-6386983"/>
    <n v="195.36410599999999"/>
    <n v="-6.3869829999999999"/>
    <n v="-10.521304209999998"/>
    <n v="195.36410599999999"/>
    <n v="0"/>
    <n v="195.36410599999999"/>
  </r>
  <r>
    <s v="CRVTHEMPROT"/>
    <s v="Yes"/>
    <x v="87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307505809"/>
    <m/>
    <m/>
    <m/>
    <n v="-11494400.819999998"/>
    <n v="312423908"/>
    <n v="312.42390799999998"/>
    <n v="-4918099"/>
    <n v="-4918099"/>
    <n v="307.505809"/>
    <n v="-4.9180989999999998"/>
    <n v="-11.494400819999999"/>
    <n v="307.505809"/>
    <n v="0"/>
    <n v="307.505809"/>
  </r>
  <r>
    <s v="CNPDYNPR80"/>
    <s v="Yes"/>
    <x v="88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n v="111167018.79302099"/>
    <n v="116832547"/>
    <m/>
    <b v="0"/>
    <m/>
    <n v="-16088829.240000004"/>
    <n v="132260888"/>
    <n v="132.26088799999999"/>
    <n v="-15428341"/>
    <n v="-15428341"/>
    <n v="116.83254700000001"/>
    <n v="-15.428341"/>
    <n v="-16.088829240000003"/>
    <n v="116.83254700000001"/>
    <n v="132.26088799999999"/>
    <n v="-15.428340999999989"/>
  </r>
  <r>
    <s v="CRVDYNPR80"/>
    <s v="Yes"/>
    <x v="89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n v="110734811.618277"/>
    <n v="279293562"/>
    <m/>
    <b v="0"/>
    <m/>
    <n v="-25728394.100000024"/>
    <n v="303707882"/>
    <n v="303.70788199999998"/>
    <n v="-24414320"/>
    <n v="-24414320"/>
    <n v="279.29356200000001"/>
    <n v="-24.41432"/>
    <n v="-25.728394100000024"/>
    <n v="279.29356200000001"/>
    <n v="303.70788199999998"/>
    <n v="-24.414319999999975"/>
  </r>
  <r>
    <s v="CNPPROT80"/>
    <s v="Yes"/>
    <x v="90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96897819"/>
    <m/>
    <b v="0"/>
    <m/>
    <n v="367906.5400000001"/>
    <n v="92942418"/>
    <n v="92.942418000000004"/>
    <n v="3955401"/>
    <n v="3955401"/>
    <n v="96.897818999999998"/>
    <n v="3.9554010000000002"/>
    <n v="0.36790654000000012"/>
    <n v="96.897818999999998"/>
    <n v="92.942418000000004"/>
    <n v="3.9554009999999948"/>
  </r>
  <r>
    <s v="CRVPROT80"/>
    <s v="Yes"/>
    <x v="91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106822030"/>
    <m/>
    <b v="0"/>
    <m/>
    <n v="1020637.6299999998"/>
    <n v="101671056"/>
    <n v="101.67105599999999"/>
    <n v="5150974"/>
    <n v="5150974"/>
    <n v="106.82203"/>
    <n v="5.1509739999999997"/>
    <n v="1.0206376299999997"/>
    <n v="106.82203"/>
    <n v="101.67105599999999"/>
    <n v="5.150974000000005"/>
  </r>
  <r>
    <s v="MLINC"/>
    <s v="Yes"/>
    <x v="92"/>
    <s v="Model"/>
    <s v="On Original Risk List  "/>
    <s v="From Risk - Fund Responsibility - Model Portfolios"/>
    <s v="Outcome Oriented Strategies"/>
    <s v="Income"/>
    <m/>
    <m/>
    <s v="AMUNDI.IRL/INV/MAS/PMG"/>
    <s v="BUONO SALVATORE"/>
    <s v="To be Affected"/>
    <m/>
    <n v="123428954.947797"/>
    <n v="215406941"/>
    <m/>
    <b v="0"/>
    <m/>
    <n v="-15247022.630000001"/>
    <n v="230490457"/>
    <n v="230.49045699999999"/>
    <n v="-15083516"/>
    <n v="-15083516"/>
    <n v="215.40694099999999"/>
    <n v="-15.083515999999999"/>
    <n v="-15.24702263"/>
    <n v="215.40694099999999"/>
    <n v="230.49045699999999"/>
    <n v="-15.083516000000003"/>
  </r>
  <r>
    <s v="MULLI360"/>
    <s v="Yes"/>
    <x v="93"/>
    <s v="Model"/>
    <s v="On Original Risk List  "/>
    <s v="From Risk - Fund Responsibility - Model Portfolios"/>
    <s v="Outcome Oriented Strategies"/>
    <s v="Income"/>
    <m/>
    <m/>
    <s v="AMUNDI.IRL/INV/MAS/PMG"/>
    <s v="BUONO SALVATORE"/>
    <s v="To be Affected"/>
    <m/>
    <n v="121179752.07127599"/>
    <n v="154991340"/>
    <m/>
    <b v="0"/>
    <m/>
    <n v="-14572498.070000004"/>
    <n v="170018725"/>
    <n v="170.01872499999999"/>
    <n v="-15027385"/>
    <n v="-15027385"/>
    <n v="154.99134000000001"/>
    <n v="-15.027385000000001"/>
    <n v="-14.572498070000004"/>
    <n v="154.99134000000001"/>
    <n v="170.01872499999999"/>
    <n v="-15.027384999999981"/>
  </r>
  <r>
    <s v="ULACCO"/>
    <s v="Yes"/>
    <x v="94"/>
    <s v="Model"/>
    <s v="On Original Risk List  "/>
    <s v="From Risk - Fund Responsibility - Model Portfolios"/>
    <s v="Outcome Oriented Strategies"/>
    <s v="Risk Accumulation"/>
    <m/>
    <m/>
    <s v="AMUNDI.IRL/INV/MAS/PMG"/>
    <s v="BUONO SALVATORE"/>
    <s v="To be Affected"/>
    <m/>
    <n v="118882703.590166"/>
    <n v="4704953"/>
    <m/>
    <b v="0"/>
    <m/>
    <n v="-340502.77"/>
    <n v="5173858"/>
    <n v="5.1738580000000001"/>
    <n v="-468905"/>
    <n v="-468905"/>
    <n v="4.7049529999999997"/>
    <n v="-0.46890500000000002"/>
    <n v="-0.34050277000000001"/>
    <n v="4.7049529999999997"/>
    <n v="5.1738580000000001"/>
    <n v="-0.46890500000000035"/>
  </r>
  <r>
    <s v="MUSI"/>
    <s v="Yes"/>
    <x v="95"/>
    <s v="Model"/>
    <s v="On Original Risk List  "/>
    <s v="From Risk - Fund Responsibility - Model Portfolios"/>
    <s v="Outcome Oriented Strategies"/>
    <s v="Income"/>
    <m/>
    <m/>
    <s v="AMUNDI.IRL/INV/MAS/PMG"/>
    <s v="BUONO SALVATORE"/>
    <s v="To be Affected"/>
    <m/>
    <n v="119055652.78436001"/>
    <n v="239238036"/>
    <m/>
    <b v="0"/>
    <m/>
    <n v="-24530124.020000018"/>
    <n v="263555955"/>
    <n v="263.55595499999998"/>
    <n v="-24317919"/>
    <n v="-24317919"/>
    <n v="239.23803599999999"/>
    <n v="-24.317919"/>
    <n v="-24.530124020000017"/>
    <n v="239.23803599999999"/>
    <n v="263.55595499999998"/>
    <n v="-24.317918999999989"/>
  </r>
  <r>
    <s v="PMAI"/>
    <s v="Yes"/>
    <x v="96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446631.677074"/>
    <n v="77561"/>
    <m/>
    <b v="0"/>
    <m/>
    <m/>
    <n v="78336"/>
    <n v="7.8336000000000003E-2"/>
    <n v="-775"/>
    <n v="-775"/>
    <n v="7.7561000000000005E-2"/>
    <n v="-7.7499999999999997E-4"/>
    <n v="0"/>
    <n v="7.7561000000000005E-2"/>
    <n v="7.8336000000000003E-2"/>
    <n v="-7.7499999999999791E-4"/>
  </r>
  <r>
    <s v="ULBER-"/>
    <s v="Yes"/>
    <x v="97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207709959.66864499"/>
    <n v="5017578"/>
    <m/>
    <b v="0"/>
    <m/>
    <m/>
    <n v="5017578"/>
    <n v="5.0175780000000003"/>
    <n v="0"/>
    <n v="0"/>
    <n v="5.0175780000000003"/>
    <n v="0"/>
    <n v="0"/>
    <n v="0"/>
    <n v="0"/>
    <n v="0"/>
  </r>
  <r>
    <s v="ULDER"/>
    <s v="Yes"/>
    <x v="98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51863210.81133899"/>
    <n v="0"/>
    <m/>
    <b v="0"/>
    <m/>
    <m/>
    <n v="0"/>
    <n v="0"/>
    <n v="0"/>
    <n v="0"/>
    <n v="0"/>
    <n v="0"/>
    <n v="0"/>
    <n v="0"/>
    <n v="0"/>
    <n v="0"/>
  </r>
  <r>
    <s v="ULPER"/>
    <s v="Yes"/>
    <x v="99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7209342.62897399"/>
    <n v="0"/>
    <m/>
    <b v="0"/>
    <m/>
    <m/>
    <n v="0"/>
    <n v="0"/>
    <n v="0"/>
    <n v="0"/>
    <n v="0"/>
    <n v="0"/>
    <n v="0"/>
    <n v="0"/>
    <n v="0"/>
    <n v="0"/>
  </r>
  <r>
    <s v="ULP-ER"/>
    <s v="Yes"/>
    <x v="100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76197956.52590799"/>
    <n v="0"/>
    <m/>
    <b v="0"/>
    <m/>
    <m/>
    <n v="0"/>
    <n v="0"/>
    <n v="0"/>
    <n v="0"/>
    <n v="0"/>
    <n v="0"/>
    <n v="0"/>
    <n v="0"/>
    <m/>
    <m/>
  </r>
  <r>
    <s v="R2M"/>
    <s v="Yes"/>
    <x v="101"/>
    <s v="Model"/>
    <s v="Added by Ronan"/>
    <s v="From Risk - Fund Responsibility - Model Portfolios"/>
    <s v="Allocation Driven Strategies"/>
    <s v="Growth"/>
    <m/>
    <m/>
    <m/>
    <m/>
    <m/>
    <m/>
    <m/>
    <n v="3991454"/>
    <m/>
    <b v="0"/>
    <m/>
    <n v="-34928.270000000019"/>
    <n v="3913810"/>
    <n v="3.9138099999999998"/>
    <n v="77644"/>
    <n v="77644"/>
    <n v="3.9914540000000001"/>
    <n v="7.7644000000000005E-2"/>
    <n v="-3.4928270000000018E-2"/>
    <n v="3.9914540000000001"/>
    <n v="3.9138099999999998"/>
    <n v="7.7644000000000268E-2"/>
  </r>
  <r>
    <s v="ULC"/>
    <s v="Yes"/>
    <x v="102"/>
    <s v="Model"/>
    <s v="On Original Risk List  "/>
    <s v="From Risk - Models master - Sheet 1"/>
    <s v="Allocation Driven Strategies"/>
    <s v="Conservative"/>
    <m/>
    <m/>
    <s v="AMUNDI.IRL/INV/MAS/PMG"/>
    <s v="BUONO SALVATORE"/>
    <s v="To be Affected"/>
    <m/>
    <n v="134854780.55061799"/>
    <n v="27311192"/>
    <m/>
    <b v="0"/>
    <m/>
    <n v="-523806.44999999984"/>
    <n v="27597514"/>
    <n v="27.597514"/>
    <n v="-286322"/>
    <n v="-286322"/>
    <n v="27.311191999999998"/>
    <n v="-0.28632200000000002"/>
    <n v="-0.52380644999999981"/>
    <n v="27.311191999999998"/>
    <n v="27.597514"/>
    <n v="-0.28632200000000196"/>
  </r>
  <r>
    <s v="UNGOALS"/>
    <s v="Yes"/>
    <x v="103"/>
    <s v="Model"/>
    <m/>
    <m/>
    <s v="Outcome Oriented Strategies"/>
    <s v="Thematic"/>
    <m/>
    <m/>
    <m/>
    <m/>
    <m/>
    <m/>
    <m/>
    <n v="909580051"/>
    <m/>
    <b v="0"/>
    <m/>
    <n v="8885720.7199999932"/>
    <n v="869067080"/>
    <n v="869.06708000000003"/>
    <n v="40512971"/>
    <n v="40512971"/>
    <n v="909.58005100000003"/>
    <n v="40.512971"/>
    <n v="8.885720719999993"/>
    <n v="909.58005100000003"/>
    <n v="869.06708000000003"/>
    <n v="40.512970999999993"/>
  </r>
  <r>
    <s v="ULMATREND"/>
    <s v="Yes"/>
    <x v="104"/>
    <s v="Model"/>
    <m/>
    <m/>
    <s v="Outcome Oriented Strategies"/>
    <s v="Thematic"/>
    <m/>
    <m/>
    <m/>
    <m/>
    <m/>
    <m/>
    <m/>
    <n v="252843377"/>
    <m/>
    <b v="0"/>
    <m/>
    <n v="6517412.1099999938"/>
    <n v="239873847"/>
    <n v="239.87384700000001"/>
    <n v="12969530"/>
    <n v="12969530"/>
    <n v="252.843377"/>
    <n v="12.969530000000001"/>
    <n v="6.5174121099999942"/>
    <n v="252.843377"/>
    <n v="239.87384700000001"/>
    <n v="12.969529999999992"/>
  </r>
  <r>
    <s v="ULFTREND "/>
    <s v="Yes"/>
    <x v="105"/>
    <s v="Model"/>
    <m/>
    <m/>
    <s v="Outcome Oriented Strategies"/>
    <s v="Thematic"/>
    <m/>
    <m/>
    <m/>
    <m/>
    <m/>
    <m/>
    <m/>
    <s v=""/>
    <m/>
    <b v="0"/>
    <m/>
    <n v="226891.29000000094"/>
    <s v=""/>
    <s v=""/>
    <s v=""/>
    <s v=""/>
    <s v=""/>
    <s v=""/>
    <n v="0.22689129000000094"/>
    <m/>
    <s v=""/>
    <s v=""/>
  </r>
  <r>
    <s v="Multhem"/>
    <s v="Yes"/>
    <x v="106"/>
    <s v="Model"/>
    <s v="On Original Risk List  "/>
    <s v="From Risk - Models master - Sheet 1"/>
    <s v="Outcome Oriented Strategies"/>
    <s v="Thematic"/>
    <m/>
    <m/>
    <m/>
    <m/>
    <m/>
    <m/>
    <m/>
    <m/>
    <m/>
    <b v="0"/>
    <m/>
    <m/>
    <m/>
    <n v="0"/>
    <n v="0"/>
    <n v="0"/>
    <n v="0"/>
    <n v="0"/>
    <n v="0"/>
    <n v="1795.6708269999999"/>
    <n v="1777.2550980000001"/>
    <n v="18.415728999999828"/>
  </r>
  <r>
    <s v="AAPROT80"/>
    <s v="Yes"/>
    <x v="107"/>
    <s v="Model"/>
    <s v="Added by Ronan"/>
    <s v="Models AUM - Desk Mapping"/>
    <s v="Outcome Oriented Strategies"/>
    <s v="Capital Guaranteed"/>
    <m/>
    <m/>
    <m/>
    <m/>
    <m/>
    <m/>
    <m/>
    <n v="105977735"/>
    <m/>
    <b v="0"/>
    <m/>
    <n v="-3090101.6899999995"/>
    <n v="108101631"/>
    <n v="108.101631"/>
    <n v="-2123896"/>
    <n v="-2123896"/>
    <n v="105.977735"/>
    <n v="-2.1238959999999998"/>
    <n v="-3.0901016899999996"/>
    <n v="105.977735"/>
    <n v="108.101631"/>
    <n v="-2.123896000000002"/>
  </r>
  <r>
    <s v="MULSTEP"/>
    <s v="Yes"/>
    <x v="108"/>
    <s v="Model"/>
    <s v="On Original Risk List  "/>
    <s v="Not on another list - but included verbally by Salva"/>
    <s v="Outcome Oriented Strategies"/>
    <s v="Risk Accumulation"/>
    <m/>
    <m/>
    <s v="AMUNDI.IRL/INV/MAS/PMG"/>
    <s v="BUONO SALVATORE"/>
    <s v="To be Affected"/>
    <m/>
    <n v="99030590.242356494"/>
    <m/>
    <m/>
    <b v="0"/>
    <m/>
    <n v="-334707.83"/>
    <m/>
    <n v="0"/>
    <n v="0"/>
    <n v="0"/>
    <n v="0"/>
    <n v="0"/>
    <n v="-0.33470783000000004"/>
    <n v="8.2036999999999995"/>
    <n v="8.3739450000000009"/>
    <n v="-0.17024500000000131"/>
  </r>
  <r>
    <s v="DIOP3"/>
    <s v="Yes"/>
    <x v="109"/>
    <s v="Model"/>
    <s v="On Original Risk List  "/>
    <s v="Not on another list - but included verbally by Salva"/>
    <s v="Outcome Oriented Strategies"/>
    <s v="Income"/>
    <m/>
    <m/>
    <s v="AMUNDI.IRL/INV/MAS/PMG"/>
    <s v="NICHOLAS POTHIER"/>
    <s v="To be Affected"/>
    <m/>
    <n v="102220704.24242701"/>
    <n v="5231379.8499999996"/>
    <m/>
    <b v="0"/>
    <m/>
    <m/>
    <n v="6968432.6399999997"/>
    <n v="6.9684326399999996"/>
    <n v="-1737052.79"/>
    <n v="-1737052.79"/>
    <n v="5.2313798499999997"/>
    <n v="-1.7370527900000001"/>
    <n v="0"/>
    <m/>
    <m/>
    <n v="0"/>
  </r>
  <r>
    <s v="DIOP4"/>
    <s v="Yes"/>
    <x v="110"/>
    <s v="Model"/>
    <s v="On Original Risk List  "/>
    <s v="Not on another list - but included verbally by Salva"/>
    <s v="Outcome Oriented Strategies"/>
    <s v="Thematic"/>
    <m/>
    <m/>
    <s v="AMUNDI.IRL/INV/MAS/PMG"/>
    <s v="NICHOLAS POTHIER"/>
    <s v="To be Affected"/>
    <m/>
    <n v="102840578.94022"/>
    <n v="9542350.5099999998"/>
    <m/>
    <b v="0"/>
    <m/>
    <m/>
    <n v="14185291.16"/>
    <n v="14.18529116"/>
    <n v="-4642940.6500000004"/>
    <n v="-4642940.6500000004"/>
    <n v="9.5423505100000003"/>
    <n v="-4.6429406500000008"/>
    <n v="0"/>
    <m/>
    <m/>
    <n v="0"/>
  </r>
  <r>
    <s v="BBSECCORE"/>
    <s v="Yes"/>
    <x v="111"/>
    <m/>
    <s v="On Original Risk List  "/>
    <s v="Not on another list - but included verbally by Salva"/>
    <m/>
    <m/>
    <m/>
    <m/>
    <s v="AMUNDI.IRL/INV/MAS/PMG/PMG"/>
    <s v="CASEY RICHARD"/>
    <s v="To be Affected"/>
    <m/>
    <n v="102684355.49557801"/>
    <n v="0"/>
    <m/>
    <e v="#N/A"/>
    <m/>
    <m/>
    <n v="0"/>
    <n v="0"/>
    <n v="0"/>
    <n v="0"/>
    <n v="0"/>
    <n v="0"/>
    <n v="0"/>
    <m/>
    <m/>
    <n v="0"/>
  </r>
  <r>
    <s v="BBSECPERIPH"/>
    <s v="Yes"/>
    <x v="112"/>
    <m/>
    <s v="On Original Risk List  "/>
    <s v="Not on another list - but included verbally by Salva"/>
    <m/>
    <m/>
    <m/>
    <m/>
    <s v="AMUNDI.IRL/INV/MAS/PMG/PMG"/>
    <s v="CASEY RICHARD"/>
    <s v="To be Affected"/>
    <m/>
    <n v="105073036.860901"/>
    <n v="0"/>
    <m/>
    <e v="#N/A"/>
    <m/>
    <m/>
    <n v="0"/>
    <n v="0"/>
    <n v="0"/>
    <n v="0"/>
    <n v="0"/>
    <n v="0"/>
    <n v="0"/>
    <m/>
    <m/>
    <n v="0"/>
  </r>
  <r>
    <s v="BBSECEURIG"/>
    <s v="Yes"/>
    <x v="113"/>
    <m/>
    <s v="On Original Risk List  "/>
    <s v="Not on another list - but included verbally by Salva"/>
    <m/>
    <m/>
    <m/>
    <m/>
    <s v="AMUNDI.IRL/INV/MAS/PMG/PMG"/>
    <s v="CASEY RICHARD"/>
    <s v="To be Affected"/>
    <m/>
    <n v="102950891.035953"/>
    <n v="0"/>
    <m/>
    <e v="#N/A"/>
    <m/>
    <m/>
    <n v="0"/>
    <n v="0"/>
    <n v="0"/>
    <n v="0"/>
    <n v="0"/>
    <n v="0"/>
    <n v="0"/>
    <m/>
    <m/>
    <n v="0"/>
  </r>
  <r>
    <s v="BBSECUSTBOND"/>
    <s v="Yes"/>
    <x v="114"/>
    <m/>
    <s v="On Original Risk List  "/>
    <s v="Not on another list - but included verbally by Salva"/>
    <m/>
    <m/>
    <m/>
    <m/>
    <s v="AMUNDI.IRL/INV/MAS/PMG/PMG"/>
    <s v="CASEY RICHARD"/>
    <s v="To be Affected"/>
    <m/>
    <n v="103916500.733969"/>
    <n v="0"/>
    <m/>
    <e v="#N/A"/>
    <m/>
    <m/>
    <n v="0"/>
    <n v="0"/>
    <n v="0"/>
    <n v="0"/>
    <n v="0"/>
    <n v="0"/>
    <n v="0"/>
    <m/>
    <m/>
    <n v="0"/>
  </r>
  <r>
    <s v="DIOP 1"/>
    <s v="Yes"/>
    <x v="115"/>
    <s v="Model"/>
    <s v="On Original Risk List  "/>
    <s v="Not on another list - but included verbally by Salva"/>
    <s v="Outcome Oriented Strategies"/>
    <s v="Income"/>
    <m/>
    <m/>
    <m/>
    <m/>
    <m/>
    <m/>
    <m/>
    <n v="9442288.8699999992"/>
    <m/>
    <b v="0"/>
    <m/>
    <m/>
    <n v="9783751.7300000004"/>
    <n v="9.7837517300000005"/>
    <n v="-341462.86000000127"/>
    <n v="-341462.86000000127"/>
    <n v="9.4422888699999987"/>
    <n v="-0.34146286000000126"/>
    <n v="0"/>
    <m/>
    <m/>
    <n v="0"/>
  </r>
  <r>
    <s v="DIOP 2"/>
    <s v="Yes"/>
    <x v="116"/>
    <s v="Model"/>
    <s v="On Original Risk List  "/>
    <s v="Not on another list - but included verbally by Salva"/>
    <s v="Outcome Oriented Strategies"/>
    <s v="Income"/>
    <m/>
    <m/>
    <m/>
    <m/>
    <m/>
    <m/>
    <m/>
    <n v="3345435.45"/>
    <m/>
    <b v="0"/>
    <m/>
    <m/>
    <n v="3901388.43"/>
    <n v="3.9013884300000004"/>
    <n v="-555952.98"/>
    <n v="-555952.98"/>
    <n v="3.3454354500000001"/>
    <n v="-0.55595297999999993"/>
    <n v="0"/>
    <m/>
    <m/>
    <n v="0"/>
  </r>
  <r>
    <s v="PF82304"/>
    <s v="Yes"/>
    <x v="117"/>
    <s v="Fund"/>
    <s v="On Original Risk List  "/>
    <s v="From Risk - Fund Responsibility - Dublin Funds"/>
    <m/>
    <m/>
    <m/>
    <m/>
    <m/>
    <s v="CASEY RICHARD"/>
    <s v="To be Affected"/>
    <s v="DUB EFI Absolute Return Aggregate"/>
    <m/>
    <m/>
    <m/>
    <b v="0"/>
    <m/>
    <m/>
    <m/>
    <m/>
    <m/>
    <m/>
    <m/>
    <m/>
    <m/>
    <m/>
    <m/>
    <m/>
  </r>
  <r>
    <s v="PF80513"/>
    <s v="Yes"/>
    <x v="118"/>
    <s v="Fund"/>
    <s v="On Original Risk List  "/>
    <s v="From Risk - Fund Responsibility - Dublin Funds"/>
    <m/>
    <m/>
    <m/>
    <m/>
    <m/>
    <s v="CASEY RICHARD"/>
    <s v="To be Affected"/>
    <s v="DUB EFI Absolute Return Aggregate"/>
    <m/>
    <m/>
    <m/>
    <b v="0"/>
    <m/>
    <m/>
    <m/>
    <m/>
    <m/>
    <m/>
    <m/>
    <m/>
    <m/>
    <m/>
    <m/>
    <m/>
  </r>
  <r>
    <s v="MUSG"/>
    <s v="Yes"/>
    <x v="119"/>
    <s v="Model"/>
    <s v="Added by Ronan"/>
    <s v="From Risk - Models Master - Sheet 2"/>
    <s v="Outcome Oriented Strategies"/>
    <s v="Thematic"/>
    <m/>
    <m/>
    <m/>
    <m/>
    <m/>
    <m/>
    <m/>
    <m/>
    <m/>
    <n v="0"/>
    <m/>
    <m/>
    <m/>
    <n v="0"/>
    <n v="0"/>
    <n v="0"/>
    <n v="0"/>
    <n v="0"/>
    <n v="0"/>
    <n v="486.69832250000002"/>
    <n v="540.05298000000005"/>
    <n v="-53.354657500000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E142"/>
    <s v="Yes"/>
    <s v="AMUNDI FUND SOLUTIONS - BALANCED"/>
    <s v="Fund"/>
    <s v="On Original Risk List  "/>
    <s v="From Risk - Fund Responsibility - Dublin Funds"/>
    <x v="0"/>
    <x v="0"/>
    <s v="BAL Multimanagement"/>
    <s v="DUB BAL Multimanagement SDA Fds de Fds"/>
    <s v="AMUNDI.IRL/INV/MAS"/>
    <s v="O'TOOLE JOHN"/>
    <s v="Global - Global Balanced 50"/>
    <s v="DUB BAL Multimanagement SDA Fds de Fds"/>
    <n v="176126455.22999999"/>
    <n v="324009437.85999995"/>
    <m/>
    <b v="0"/>
    <n v="169346773.31"/>
    <n v="-4401543.419829757"/>
    <n v="323150343.74000001"/>
    <n v="323.15034373999998"/>
    <n v="859094.11999994516"/>
    <n v="859094.11999994516"/>
    <n v="324.00943785999993"/>
    <n v="0.85909411999994512"/>
  </r>
  <r>
    <s v="E143"/>
    <s v="Yes"/>
    <s v="AMUNDI FUND SOLUTIONS - CONSERVATIVE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Global - Balanced Global Defensive 20"/>
    <s v="DUB BAL Multimanagement SDA Fds de Fds"/>
    <n v="200569592.62"/>
    <n v="242806300.35000002"/>
    <m/>
    <b v="0"/>
    <n v="191554138.88"/>
    <n v="-6585274.1259017717"/>
    <n v="247147097.27999997"/>
    <n v="247.14709727999997"/>
    <n v="-4340796.9299999475"/>
    <n v="-4340796.9299999475"/>
    <n v="242.80630035000001"/>
    <n v="-4.3407969299999474"/>
  </r>
  <r>
    <s v="E144"/>
    <s v="Yes"/>
    <s v="AMUNDI FUND SOLUTIONS - DIVERSIFIED GROWTH - A"/>
    <s v="Fund"/>
    <s v="On Original Risk List  "/>
    <s v="From Risk - Fund Responsibility - Dublin Funds"/>
    <x v="0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n v="68345861.700000003"/>
    <n v="83823203.900000006"/>
    <m/>
    <b v="0"/>
    <n v="66139608.709999993"/>
    <n v="-1199812.7503379725"/>
    <n v="85685108.980000004"/>
    <n v="85.68510898000001"/>
    <n v="-1861905.0799999982"/>
    <n v="-1861905.0799999982"/>
    <n v="83.82320390000001"/>
    <n v="-1.8619050799999981"/>
  </r>
  <r>
    <s v="PF101376"/>
    <s v="Yes"/>
    <s v="AFS ICAV Planet ESG Balanced"/>
    <s v="Fund"/>
    <s v="On Original Risk List  "/>
    <s v="From Risk - Fund Responsibility - Dublin Funds"/>
    <x v="0"/>
    <x v="0"/>
    <s v="BAL Multimanagement"/>
    <s v="DUB BAL Multimanagement SDA Fds de Fds"/>
    <s v="AMUNDI.IRL/INV/MAS"/>
    <s v="O'TOOLE JOHN"/>
    <s v="Global - Global Balanced 50"/>
    <s v="DUB BAL Multimanagement SDA Fds de Fds"/>
    <m/>
    <m/>
    <m/>
    <b v="0"/>
    <m/>
    <m/>
    <m/>
    <m/>
    <m/>
    <m/>
    <m/>
    <m/>
  </r>
  <r>
    <s v="PF101372"/>
    <s v="Yes"/>
    <s v="AFS ICAV Planet ESG Conservative 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Global - Balanced Global Defensive 20"/>
    <s v="DUB BAL Multimanagement SDA Fds de Fds"/>
    <m/>
    <m/>
    <m/>
    <b v="0"/>
    <m/>
    <m/>
    <m/>
    <m/>
    <m/>
    <m/>
    <m/>
    <m/>
  </r>
  <r>
    <s v="PF101380"/>
    <s v="Yes"/>
    <s v="AFS ICAV Planet ESG Dynamic "/>
    <s v="Fund"/>
    <s v="On Original Risk List  "/>
    <s v="From Risk - Fund Responsibility - Dublin Funds"/>
    <x v="0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m/>
    <m/>
    <b v="0"/>
    <m/>
    <m/>
    <m/>
    <m/>
    <m/>
    <m/>
    <m/>
    <m/>
  </r>
  <r>
    <s v="PF78195"/>
    <s v="Yes"/>
    <s v="AMUNDI SOLUZIONI ITALIA - PROGETTO AZIONE CAMBIAMENTO CLIMATICO - E"/>
    <s v="Fund"/>
    <s v="On Original Risk List  "/>
    <s v="From Risk - Fund Responsibility - Dublin Funds"/>
    <x v="1"/>
    <x v="3"/>
    <s v="EFI Absolute Return"/>
    <s v="DUB EFI Absolute Return Aggregate"/>
    <s v="AMUNDI.IRL/INV/MAS"/>
    <s v="O'TOOLE JOHN"/>
    <s v="To be Affected"/>
    <s v="DUB EFI Absolute Return Aggregate"/>
    <n v="336213704.19999999"/>
    <m/>
    <m/>
    <b v="0"/>
    <n v="335037348.60999995"/>
    <m/>
    <m/>
    <m/>
    <m/>
    <m/>
    <m/>
    <m/>
  </r>
  <r>
    <s v="PF103025"/>
    <s v="Yes"/>
    <s v="ASI - PROGETTO AZIONE FUTURO GREEN"/>
    <s v="Fund"/>
    <s v="On Original Risk List  "/>
    <s v="From Risk - Fund Responsibility - Dublin Funds"/>
    <x v="1"/>
    <x v="3"/>
    <m/>
    <m/>
    <s v="AMUNDI.IRL/INV/MAS/PMG/PMG"/>
    <s v="CASEY RICHARD"/>
    <s v="To be Affected"/>
    <m/>
    <m/>
    <n v="93538758.120000005"/>
    <m/>
    <m/>
    <m/>
    <n v="-18151357.009999994"/>
    <n v="111680002.01000001"/>
    <n v="111.68000201000001"/>
    <n v="-18141243.890000001"/>
    <n v="-18141243.890000001"/>
    <n v="93.538758120000011"/>
    <n v="-18.141243890000002"/>
  </r>
  <r>
    <s v="E118"/>
    <s v="Yes"/>
    <s v="AMUNDI UNICREDIT PREM PORT- PRUDENTIAL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Bond - myNext"/>
    <s v="DUB BAL Multimanagement SDA Fds de Fds"/>
    <n v="31835018.329999998"/>
    <n v="7495265.8199999994"/>
    <m/>
    <b v="0"/>
    <n v="33826169.170000002"/>
    <n v="-798922.5844135189"/>
    <n v="8321680.0100000007"/>
    <n v="8.3216800100000015"/>
    <n v="-826414.19000000134"/>
    <n v="-826414.19000000134"/>
    <n v="7.4952658199999993"/>
    <n v="-0.82641419000000138"/>
  </r>
  <r>
    <s v="E119"/>
    <s v="Yes"/>
    <s v="AMUNDI UNICREDIT PREMIUM PORT - DYNAMIC"/>
    <s v="Fund"/>
    <s v="On Original Risk List  "/>
    <s v="From Risk - Fund Responsibility - Dublin Funds"/>
    <x v="0"/>
    <x v="2"/>
    <s v="BAL Multimanagement"/>
    <s v="DUB BAL Multimanagement SDA Fds de Fds"/>
    <s v="AMUNDI.IRL/INV/MAS"/>
    <s v="O'TOOLE JOHN"/>
    <s v="Equity - myNext"/>
    <s v="DUB BAL Multimanagement SDA Fds de Fds"/>
    <n v="96972832.489999995"/>
    <n v="58236487.470000006"/>
    <m/>
    <b v="0"/>
    <n v="103255927.2"/>
    <n v="-1656568.0657256469"/>
    <n v="56591525.730000004"/>
    <n v="56.591525730000001"/>
    <n v="1644961.7400000021"/>
    <n v="1644961.7400000021"/>
    <n v="58.236487470000007"/>
    <n v="1.6449617400000021"/>
  </r>
  <r>
    <s v="E120"/>
    <s v="Yes"/>
    <s v="AMUNDI UNICREDIT PREM PORT- MULTI ASSET"/>
    <s v="Fund"/>
    <s v="On Original Risk List  "/>
    <s v="From Risk - Fund Responsibility - Dublin Funds"/>
    <x v="0"/>
    <x v="0"/>
    <s v="BAL Multimanagement"/>
    <s v="DUB BAL Multimanagement SDA Fds de Fds"/>
    <s v="AMUNDI.IRL/INV/MAS"/>
    <s v="O'TOOLE JOHN"/>
    <s v="Multi Asset - myNext"/>
    <s v="DUB BAL Multimanagement SDA Fds de Fds"/>
    <n v="288617594.88999999"/>
    <n v="121448782.71000001"/>
    <m/>
    <b v="0"/>
    <n v="312457504.01999998"/>
    <n v="-5424835.5633996008"/>
    <n v="123937506.37"/>
    <n v="123.93750637000001"/>
    <n v="-2488723.6599999964"/>
    <n v="-2488723.6599999964"/>
    <n v="121.44878271"/>
    <n v="-2.4887236599999962"/>
  </r>
  <r>
    <s v="PF115036"/>
    <m/>
    <s v="THE TRUSTHOUSE FDN CPI+4% MULTI-AST PTF"/>
    <s v="Fund"/>
    <m/>
    <m/>
    <x v="1"/>
    <x v="4"/>
    <m/>
    <m/>
    <m/>
    <m/>
    <m/>
    <m/>
    <m/>
    <n v="98145264.699999988"/>
    <m/>
    <m/>
    <m/>
    <n v="0"/>
    <n v="98124607.040000007"/>
    <n v="98.124607040000001"/>
    <n v="20657.659999981523"/>
    <n v="20657.659999981523"/>
    <n v="98.145264699999984"/>
    <n v="2.0657659999981523E-2"/>
  </r>
  <r>
    <s v="PF204806"/>
    <m/>
    <s v="AMUNDI-FUNDACION CAJA NAVARRA DYNAMIC"/>
    <s v="Fund"/>
    <m/>
    <m/>
    <x v="0"/>
    <x v="2"/>
    <m/>
    <m/>
    <m/>
    <m/>
    <m/>
    <m/>
    <m/>
    <n v="27952778.120000001"/>
    <m/>
    <m/>
    <m/>
    <n v="27952778.120000001"/>
    <m/>
    <n v="0"/>
    <n v="27952778.120000001"/>
    <n v="27952778.120000001"/>
    <n v="27.952778120000001"/>
    <n v="27.952778120000001"/>
  </r>
  <r>
    <s v="PF88524"/>
    <s v="Yes"/>
    <s v="AMUNDI ELITE THEMATIC MULTI ASSET"/>
    <s v="Fund"/>
    <s v="On Original Risk List  "/>
    <s v="From Risk - Fund Responsibility - Dublin Funds"/>
    <x v="1"/>
    <x v="5"/>
    <s v="BAL Multimanagement"/>
    <s v="AMU BAL SDA Fds de Fds (used absolute limits High risk)"/>
    <s v="AMUNDI.IRL/INV/MAS"/>
    <s v="O'TOOLE JOHN"/>
    <s v="AMUNDI ELITE THEMATIC MULTI ASSET"/>
    <s v="DUB BAL Multimanagement SDA Fds de Fds"/>
    <m/>
    <n v="651526087.88"/>
    <m/>
    <b v="0"/>
    <m/>
    <n v="-136912235.76999998"/>
    <n v="532844870.07000005"/>
    <n v="532.84487007000007"/>
    <n v="118681217.80999994"/>
    <n v="118681217.80999994"/>
    <n v="651.52608787999998"/>
    <n v="118.68121780999994"/>
  </r>
  <r>
    <s v="E209"/>
    <s v="Yes"/>
    <s v="PI INVESTMENT FUNDS - DYNAMIC ALLOCATION FUND - E"/>
    <s v="Fund"/>
    <s v="On Original Risk List  "/>
    <s v="From Risk - Fund Responsibility - Dublin Funds"/>
    <x v="2"/>
    <x v="6"/>
    <s v="TBD"/>
    <s v="Agreed a light touch with VaR and Leverage limits"/>
    <s v="AMUNDI.IRL/INV/MAS/PMG"/>
    <s v="BUONO SALVATORE"/>
    <s v="To be Affected"/>
    <s v="To Be Determined"/>
    <n v="623642733.23000002"/>
    <n v="198759201.82000002"/>
    <m/>
    <b v="0"/>
    <n v="402542016.44000006"/>
    <n v="-26306785.200000003"/>
    <n v="234214073.76000002"/>
    <n v="234.21407376000002"/>
    <n v="-35454871.939999998"/>
    <n v="-35454871.939999998"/>
    <n v="198.75920182000002"/>
    <n v="-35.454871939999997"/>
  </r>
  <r>
    <s v="PF87100"/>
    <s v="Yes"/>
    <s v="AMUNDI FUND SOLUTIONS - SABADELL URQUIJO ACUMULACION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Global - Balanced Global Defensive 20"/>
    <s v="DUB BAL Multimanagement SDA Fds de Fds"/>
    <m/>
    <n v="6970226.1600000001"/>
    <m/>
    <b v="0"/>
    <m/>
    <n v="0"/>
    <n v="6970226.1600000001"/>
    <n v="6.9702261600000002"/>
    <n v="0"/>
    <n v="0"/>
    <n v="6.9702261600000002"/>
    <n v="0"/>
  </r>
  <r>
    <s v="PF87115"/>
    <s v="Yes"/>
    <s v="AMUNDI FUND SOLUTIONS - SABADELL URQUIJO CRECIMIENTO"/>
    <s v="Fund"/>
    <s v="On Original Risk List  "/>
    <s v="From Risk - Fund Responsibility - Dublin Funds"/>
    <x v="0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n v="3927561.09"/>
    <m/>
    <b v="0"/>
    <m/>
    <n v="0"/>
    <n v="3927561.09"/>
    <n v="3.9275610899999998"/>
    <n v="0"/>
    <n v="0"/>
    <n v="3.9275610899999998"/>
    <n v="0"/>
  </r>
  <r>
    <s v="PF92127"/>
    <s v="Yes"/>
    <s v="AMUNDI SOLUZIONI ITALIA - PROGETTO AZIONE INFRASTRUTTURE SOSTENIBILI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m/>
    <n v="335146857.69"/>
    <m/>
    <b v="0"/>
    <m/>
    <n v="-114988408.88000004"/>
    <n v="473820490.07999998"/>
    <n v="473.82049007999996"/>
    <n v="-138673632.38999999"/>
    <n v="-138673632.38999999"/>
    <n v="335.14685768999999"/>
    <n v="-138.67363238999999"/>
  </r>
  <r>
    <s v="PF95239"/>
    <s v="Yes"/>
    <s v="AMUNDI SOLUZIONI ITALIA - PROGETTO AZIONE INFRASTRUTTURE SOSTENIBILI (II)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m/>
    <n v="319412485.87"/>
    <m/>
    <b v="0"/>
    <m/>
    <n v="-68314787.599999979"/>
    <n v="408635787.25"/>
    <n v="408.63578725000002"/>
    <n v="-89223301.379999995"/>
    <n v="-89223301.379999995"/>
    <n v="319.41248587000001"/>
    <n v="-89.223301379999995"/>
  </r>
  <r>
    <s v="PF201311"/>
    <s v="Yes"/>
    <s v="AMUNDI SENTIERO SOSTENIBILE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m/>
    <n v="290323179.13999999"/>
    <m/>
    <b v="0"/>
    <m/>
    <n v="-10126505.439999999"/>
    <n v="297654635.05000001"/>
    <n v="297.65463505000002"/>
    <n v="-7331455.9100000262"/>
    <n v="-7331455.9100000262"/>
    <n v="290.32317913999998"/>
    <n v="-7.3314559100000265"/>
  </r>
  <r>
    <s v="SAXO"/>
    <s v="Yes"/>
    <s v="SAXO EUROPE"/>
    <s v="Model"/>
    <s v="On Original Risk List  "/>
    <s v="From Risk - Fund Responsibility - Dublin Funds"/>
    <x v="0"/>
    <x v="1"/>
    <s v="BAL Multimanagement"/>
    <s v="DUB BAL Multimanagement Alt Greenway"/>
    <s v="AMUNDI.IRL/INV/MAS/PMG/PMG"/>
    <s v="Jen"/>
    <s v="To be Affected"/>
    <s v="DUB BAL Multimanagement Alt Greenway"/>
    <m/>
    <n v="192199661.30000001"/>
    <m/>
    <b v="0"/>
    <n v="0"/>
    <n v="-7061169.119999975"/>
    <n v="199260830.41999999"/>
    <n v="199.26083041999999"/>
    <n v="-7061169.119999975"/>
    <n v="-7061169.119999975"/>
    <n v="192.1996613"/>
    <n v="-7.0611691199999749"/>
  </r>
  <r>
    <m/>
    <m/>
    <m/>
    <m/>
    <m/>
    <m/>
    <x v="3"/>
    <x v="7"/>
    <m/>
    <m/>
    <m/>
    <m/>
    <m/>
    <m/>
    <m/>
    <m/>
    <m/>
    <m/>
    <m/>
    <m/>
    <m/>
    <m/>
    <m/>
    <m/>
    <m/>
    <m/>
  </r>
  <r>
    <s v="PSUKLD1"/>
    <s v="Yes"/>
    <s v="Amundi Invensys Broad Bond Portfolio"/>
    <s v="Fund"/>
    <s v="On Original Risk List  "/>
    <s v="From Risk - Fund Responsibility - Dublin Funds"/>
    <x v="0"/>
    <x v="6"/>
    <s v="BAL Multimanagement"/>
    <s v="AMU BAL SDA Fds de Fds (used some absolute limits with Low Rik)"/>
    <s v="AMUNDI.IRL/INV/MAS/PMG/PMG"/>
    <s v="CASEY RICHARD"/>
    <s v="To be Affected"/>
    <s v="DUB BAL Multimanagement SDA Fds de Fds"/>
    <n v="0"/>
    <n v="169200994.27920362"/>
    <m/>
    <b v="0"/>
    <m/>
    <n v="0"/>
    <n v="165771172.4394339"/>
    <n v="165.77117243943391"/>
    <n v="3429821.839769721"/>
    <n v="3429821.839769721"/>
    <n v="169.20099427920363"/>
    <n v="3.4298218397697209"/>
  </r>
  <r>
    <s v="PF79139"/>
    <s v="Yes"/>
    <s v="AMUNDI SOLUZIONI ITALIA - PROGETTO AZIONE CAMBIAMENTO CLIMATICO (II) - E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n v="143903806.97"/>
    <m/>
    <s v="Needs a Macro &amp; Micro Process assigned?"/>
    <b v="0"/>
    <n v="59757669.739999995"/>
    <m/>
    <m/>
    <m/>
    <m/>
    <m/>
    <m/>
    <m/>
  </r>
  <r>
    <s v="PF71664"/>
    <s v="Yes"/>
    <s v="AMUNDI SOLUZIONI ITALIA - PROGETTO AZIONE MEGATREND - E"/>
    <s v="Fund"/>
    <s v="On Original Risk List  "/>
    <s v="From Risk - Fund Responsibility - Dublin Funds"/>
    <x v="1"/>
    <x v="3"/>
    <s v="EFI Absolute Return"/>
    <s v="DUB EFI Absolute Return Aggregate"/>
    <s v="AMUNDI.IRL/INV/MAS/PMG/PMG"/>
    <s v="CASEY RICHARD"/>
    <s v="To be Affected"/>
    <s v="DUB EFI Absolute Return Aggregate"/>
    <n v="493754015.27999997"/>
    <m/>
    <m/>
    <b v="0"/>
    <n v="493807009.17000002"/>
    <m/>
    <m/>
    <m/>
    <m/>
    <m/>
    <m/>
    <m/>
  </r>
  <r>
    <s v="PF76580"/>
    <s v="Yes"/>
    <s v="AMUNDI SOLUZIONI ITALIA - PROGETTO AZIONE MEGATREND (II) - E"/>
    <s v="Fund"/>
    <s v="On Original Risk List  "/>
    <s v="From Risk - Fund Responsibility - Dublin Funds"/>
    <x v="1"/>
    <x v="3"/>
    <s v="EFI Absolute Return"/>
    <s v="DUB EFI Absolute Return Aggregate"/>
    <s v="AMUNDI.IRL/INV/MAS/PMG/PMG"/>
    <s v="CASEY RICHARD"/>
    <s v="To be Affected"/>
    <s v="DUB EFI Absolute Return Aggregate"/>
    <n v="291181937.61000001"/>
    <m/>
    <m/>
    <b v="0"/>
    <n v="290503113.68999994"/>
    <m/>
    <m/>
    <m/>
    <m/>
    <m/>
    <m/>
    <m/>
  </r>
  <r>
    <s v="PF88300"/>
    <s v="Yes"/>
    <s v="ASI - PROGETTO AZIONE ENERGY TRANSITION"/>
    <s v="Fund"/>
    <s v="On Original Risk List  "/>
    <s v="From Risk - Fund Responsibility - Dublin Funds"/>
    <x v="1"/>
    <x v="3"/>
    <s v="EFI Absolute Return"/>
    <m/>
    <s v="AMUNDI.IRL/INV/MAS/PMG/PMG"/>
    <s v="CASEY RICHARD"/>
    <s v="To be Affected"/>
    <s v="DUB EFI Absolute Return Aggregate"/>
    <n v="0"/>
    <n v="451980230.57999998"/>
    <m/>
    <b v="0"/>
    <m/>
    <n v="-75897228.409999982"/>
    <n v="555495066.75999999"/>
    <n v="555.49506675999999"/>
    <n v="-103514836.18000001"/>
    <n v="-103514836.18000001"/>
    <n v="451.98023058000001"/>
    <n v="-103.51483618"/>
  </r>
  <r>
    <s v="PF89408"/>
    <s v="Yes"/>
    <s v="ASI - PROGETTO AZIONE ENERGY TRANSITION (II)"/>
    <s v="Fund"/>
    <s v="On Original Risk List  "/>
    <s v="From Risk - Fund Responsibility - Dublin Funds"/>
    <x v="1"/>
    <x v="3"/>
    <s v="EFI Absolute Return"/>
    <m/>
    <s v="AMUNDI.IRL/INV/MAS/PMG/PMG"/>
    <s v="CASEY RICHARD"/>
    <s v="To be Affected"/>
    <s v="DUB EFI Absolute Return Aggregate"/>
    <n v="0"/>
    <n v="277938223.63"/>
    <m/>
    <b v="0"/>
    <m/>
    <n v="-47534278.330000006"/>
    <n v="341822371.30000001"/>
    <n v="341.82237129999999"/>
    <n v="-63884147.670000017"/>
    <n v="-63884147.670000017"/>
    <n v="277.93822362999998"/>
    <n v="-63.884147670000019"/>
  </r>
  <r>
    <s v="E224"/>
    <s v="Yes"/>
    <s v="PI INVESTMENT FUNDS - TACTICAL ALLOCATION PILLAR - E"/>
    <s v="Fund"/>
    <s v="On Original Risk List  "/>
    <s v="From Risk - Fund Responsibility - Dublin Funds"/>
    <x v="2"/>
    <x v="4"/>
    <s v="TBD"/>
    <s v="Agreed a light touch with VaR and Leverage limits"/>
    <s v="AMUNDI.IRL/INV/MAS/PMG/PMG"/>
    <s v="CASEY RICHARD"/>
    <s v="To be Affected"/>
    <s v="To Be Determined"/>
    <n v="336518902.05000001"/>
    <n v="59556669.140000001"/>
    <m/>
    <b v="0"/>
    <n v="367376593.58999997"/>
    <n v="-6138586.8300000001"/>
    <n v="74824881.549999997"/>
    <n v="74.824881550000001"/>
    <n v="-15268212.409999996"/>
    <n v="-15268212.409999996"/>
    <n v="59.556669140000004"/>
    <n v="-15.268212409999997"/>
  </r>
  <r>
    <s v="E208"/>
    <s v="Yes"/>
    <s v="PI INVESTMENT FUNDS - TACTICAL ALLOCATION BOND FUND - H"/>
    <s v="Fund"/>
    <s v="On Original Risk List  "/>
    <s v="From Risk - Fund Responsibility - Dublin Funds"/>
    <x v="2"/>
    <x v="8"/>
    <s v="TBD"/>
    <s v="Agreed a light touch with VaR and Leverage limits"/>
    <s v="AMUNDI.IRL/INV/MAS/PMG/PMG"/>
    <s v="PAQUOT BERTRAND"/>
    <s v="To be Affected"/>
    <s v="To Be Determined"/>
    <n v="199913822.47999999"/>
    <n v="74247835.579999998"/>
    <m/>
    <b v="0"/>
    <n v="450365694.73000002"/>
    <n v="-2977460.7300000018"/>
    <n v="77232789.670000002"/>
    <n v="77.232789670000003"/>
    <n v="-2984954.0900000036"/>
    <n v="-2984954.0900000036"/>
    <n v="74.24783558"/>
    <n v="-2.9849540900000036"/>
  </r>
  <r>
    <s v="ULECSTARS"/>
    <s v="Yes"/>
    <s v="UL Global Equity Dividend &amp; Subordinated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1901251614"/>
    <m/>
    <b v="0"/>
    <m/>
    <n v="-32352755.369999997"/>
    <n v="1877332566"/>
    <n v="1877.332566"/>
    <n v="23919048"/>
    <n v="23919048"/>
    <n v="1901.251614"/>
    <n v="23.919048"/>
  </r>
  <r>
    <s v="F100123"/>
    <s v="Yes"/>
    <s v="Amundi Env and Climate Change Sol Fund"/>
    <s v="Fund"/>
    <s v="On Original Risk List  "/>
    <s v="From Risk - Fund Responsibility - Dublin Funds"/>
    <x v="0"/>
    <x v="9"/>
    <s v="TBD"/>
    <m/>
    <s v="AMUNDI.IRL/INV/MAS/PMG/PMG"/>
    <s v="NICHOLAS POTHIER"/>
    <s v="To be Affected"/>
    <s v="To Be Determined"/>
    <m/>
    <n v="66105969.392638035"/>
    <m/>
    <b v="0"/>
    <m/>
    <n v="-14474433.773006134"/>
    <n v="80580403.165644169"/>
    <n v="80.580403165644171"/>
    <n v="-14474433.773006134"/>
    <n v="-14474433.773006134"/>
    <n v="66.105969392638031"/>
    <n v="-14.474433773006133"/>
  </r>
  <r>
    <s v="UDM6"/>
    <s v="Yes"/>
    <s v="Unidiamond + Azionaria America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1100006489"/>
    <m/>
    <b v="0"/>
    <m/>
    <n v="1008111.8999999951"/>
    <n v="1020119648"/>
    <n v="1020.119648"/>
    <n v="79886841"/>
    <n v="79886841"/>
    <n v="1100.0064890000001"/>
    <n v="79.886841000000004"/>
  </r>
  <r>
    <s v="UDM7"/>
    <s v="Yes"/>
    <s v="Life Program Azionario Pacifico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46360523"/>
    <m/>
    <b v="0"/>
    <m/>
    <n v="-74993.419999999984"/>
    <n v="49761394"/>
    <n v="49.761394000000003"/>
    <n v="-3400871"/>
    <n v="-3400871"/>
    <n v="46.360523000000001"/>
    <n v="-3.400871"/>
  </r>
  <r>
    <s v="UDM9"/>
    <s v="Yes"/>
    <s v="Unidiamond + Azionaria Intl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173792904"/>
    <m/>
    <b v="0"/>
    <m/>
    <n v="-4429190.5399999972"/>
    <n v="173466024"/>
    <n v="173.466024"/>
    <n v="326880"/>
    <n v="326880"/>
    <n v="173.79290399999999"/>
    <n v="0.32688"/>
  </r>
  <r>
    <s v="E207"/>
    <s v="Yes"/>
    <s v="PI INVESTMENT FUNDS - TACTICAL ALLOCATION FUND - H"/>
    <s v="Fund"/>
    <s v="On Original Risk List  "/>
    <s v="From Risk - Fund Responsibility - Dublin Funds"/>
    <x v="2"/>
    <x v="9"/>
    <s v="TBD"/>
    <s v="Agreed a light touch with VaR and Leverage limits"/>
    <s v="AMUNDI.IRL/INV/MAS/PMG/PMG"/>
    <s v="PAQUOT BERTRAND"/>
    <s v="To be Affected"/>
    <s v="To Be Determined"/>
    <n v="103113709.33"/>
    <n v="53160977.919999994"/>
    <m/>
    <b v="0"/>
    <n v="316671363.03000009"/>
    <n v="-446651.58000000013"/>
    <n v="56764604.780000001"/>
    <n v="56.764604779999999"/>
    <n v="-3603626.8600000069"/>
    <n v="-3603626.8600000069"/>
    <n v="53.160977919999993"/>
    <n v="-3.603626860000007"/>
  </r>
  <r>
    <s v="E193"/>
    <s v="Yes"/>
    <s v="Amundi Fund Solutions - Diversified Income Best Select 2022"/>
    <s v="Fund"/>
    <s v="Added by Ronan"/>
    <s v="From Risk - Fund Responsibility - Dublin Funds"/>
    <x v="1"/>
    <x v="4"/>
    <s v="BAL Multimanagement"/>
    <s v="AMU BAL SDA Fds de Fds (used absolute limits mixed medium/High risk)"/>
    <m/>
    <m/>
    <m/>
    <m/>
    <m/>
    <n v="136428638.49000001"/>
    <m/>
    <b v="0"/>
    <n v="294308339.36000001"/>
    <n v="-4867464.6900000013"/>
    <n v="137814615.19000003"/>
    <n v="137.81461519000004"/>
    <n v="-1385976.7000000179"/>
    <n v="-1385976.7000000179"/>
    <n v="136.42863849"/>
    <n v="-1.3859767000000178"/>
  </r>
  <r>
    <s v="1PM"/>
    <s v="Yes"/>
    <s v="CAM ARES RISPARMIO ATTIVO M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32885137.42170599"/>
    <n v="286172410"/>
    <m/>
    <b v="0"/>
    <m/>
    <n v="-8096631.620000002"/>
    <n v="276712413"/>
    <n v="276.71241300000003"/>
    <n v="9459997"/>
    <n v="9459997"/>
    <n v="286.17241000000001"/>
    <n v="9.4599969999999995"/>
  </r>
  <r>
    <s v="1QM"/>
    <s v="Yes"/>
    <s v="CAM ARES RISPARMIO BILANCIATO M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75215585.57200199"/>
    <n v="44621309"/>
    <m/>
    <b v="0"/>
    <m/>
    <n v="-915885.27000000014"/>
    <n v="44663645"/>
    <n v="44.663645000000002"/>
    <n v="-42336"/>
    <n v="-42336"/>
    <n v="44.621308999999997"/>
    <n v="-4.2335999999999999E-2"/>
  </r>
  <r>
    <s v="1RM"/>
    <s v="Yes"/>
    <s v="CAM ARES RISPARMIO OBBLIGAZ. M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0066014.82525399"/>
    <n v="29605967"/>
    <m/>
    <b v="0"/>
    <m/>
    <n v="-567692.13"/>
    <n v="29944309"/>
    <n v="29.944309000000001"/>
    <n v="-338342"/>
    <n v="-338342"/>
    <n v="29.605967"/>
    <n v="-0.33834199999999998"/>
  </r>
  <r>
    <s v="R1M"/>
    <s v="Yes"/>
    <s v="CAM CNP - LINEA  DINAMICA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55352140.60327399"/>
    <n v="20379176"/>
    <m/>
    <b v="0"/>
    <m/>
    <n v="-444459.29000000004"/>
    <n v="20364888"/>
    <n v="20.364888000000001"/>
    <n v="14288"/>
    <n v="14288"/>
    <n v="20.379176000000001"/>
    <n v="1.4288E-2"/>
  </r>
  <r>
    <s v="CCRESCITA"/>
    <s v="Yes"/>
    <s v="CAM CRESCITA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44033874.81555301"/>
    <n v="1259071"/>
    <m/>
    <b v="0"/>
    <m/>
    <n v="-19473.099999999995"/>
    <n v="1226192"/>
    <n v="1.2261919999999999"/>
    <n v="32879"/>
    <n v="32879"/>
    <n v="1.2590710000000001"/>
    <n v="3.2878999999999999E-2"/>
  </r>
  <r>
    <s v="CMEDIUM"/>
    <s v="Yes"/>
    <s v="CAM MEDIUM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64099154.06433299"/>
    <n v="221348"/>
    <m/>
    <b v="0"/>
    <m/>
    <m/>
    <n v="215898"/>
    <n v="0.21589800000000001"/>
    <n v="5450"/>
    <n v="5450"/>
    <n v="0.22134799999999999"/>
    <n v="5.45E-3"/>
  </r>
  <r>
    <s v="COBBLEURO"/>
    <s v="Yes"/>
    <s v="CAM OBBLIGAZIONARIA EUR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1327249.913721"/>
    <n v="2649"/>
    <m/>
    <b v="0"/>
    <m/>
    <m/>
    <n v="2649"/>
    <n v="2.6489999999999999E-3"/>
    <n v="0"/>
    <n v="0"/>
    <n v="2.6489999999999999E-3"/>
    <n v="0"/>
  </r>
  <r>
    <s v="CREDDITO"/>
    <s v="Yes"/>
    <s v="CAM REDDIT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8785755.166821"/>
    <n v="83275"/>
    <m/>
    <b v="0"/>
    <m/>
    <m/>
    <n v="82952"/>
    <n v="8.2951999999999998E-2"/>
    <n v="323"/>
    <n v="323"/>
    <n v="8.3275000000000002E-2"/>
    <n v="3.2299999999999999E-4"/>
  </r>
  <r>
    <s v="STEPONE"/>
    <s v="Yes"/>
    <s v="CAM STEP ONE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22766479.464708"/>
    <n v="78465"/>
    <m/>
    <b v="0"/>
    <m/>
    <m/>
    <n v="77392"/>
    <n v="7.7392000000000002E-2"/>
    <n v="1073"/>
    <n v="1073"/>
    <n v="7.8464999999999993E-2"/>
    <n v="1.073E-3"/>
  </r>
  <r>
    <s v="CSVILUPPO"/>
    <s v="Yes"/>
    <s v="CAM SVILUPPO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20197773.695786"/>
    <n v="33771"/>
    <m/>
    <b v="0"/>
    <m/>
    <m/>
    <n v="33771"/>
    <n v="3.3771000000000002E-2"/>
    <n v="0"/>
    <n v="0"/>
    <n v="3.3771000000000002E-2"/>
    <n v="0"/>
  </r>
  <r>
    <s v="CTREND_20"/>
    <s v="Yes"/>
    <s v="CAM TREND 20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26520197.485156"/>
    <n v="23564"/>
    <m/>
    <b v="0"/>
    <m/>
    <m/>
    <n v="23564"/>
    <n v="2.3564000000000002E-2"/>
    <n v="0"/>
    <n v="0"/>
    <n v="2.3564000000000002E-2"/>
    <n v="0"/>
  </r>
  <r>
    <s v="MLIFEBND"/>
    <s v="Yes"/>
    <s v="Life Program Bond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6344307.007341"/>
    <n v="86278219"/>
    <m/>
    <b v="0"/>
    <m/>
    <n v="-4047481.4800000009"/>
    <n v="89492990"/>
    <n v="89.492990000000006"/>
    <n v="-3214771"/>
    <n v="-3214771"/>
    <n v="86.278219000000007"/>
    <n v="-3.2147709999999998"/>
  </r>
  <r>
    <s v="MLPFLEX"/>
    <s v="Yes"/>
    <s v="Life Program Flessibile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23139636.995855"/>
    <n v="24819922"/>
    <m/>
    <b v="0"/>
    <m/>
    <n v="-916591.71999999974"/>
    <n v="25631869"/>
    <n v="25.631868999999998"/>
    <n v="-811947"/>
    <n v="-811947"/>
    <n v="24.819921999999998"/>
    <n v="-0.81194699999999997"/>
  </r>
  <r>
    <s v="PP1-3Y"/>
    <s v="Yes"/>
    <s v="PL Euro Bond 1 to 3 years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21277565.483007"/>
    <n v="87573063"/>
    <m/>
    <b v="0"/>
    <m/>
    <n v="-4628998.620000001"/>
    <n v="91452737"/>
    <n v="91.452736999999999"/>
    <n v="-3879674"/>
    <n v="-3879674"/>
    <n v="87.573063000000005"/>
    <n v="-3.8796740000000001"/>
  </r>
  <r>
    <s v="PLIC"/>
    <s v="Yes"/>
    <s v="PL Income Clock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203127455.50508699"/>
    <n v="33652386"/>
    <m/>
    <b v="0"/>
    <m/>
    <n v="-373108.55999999994"/>
    <n v="33951455"/>
    <n v="33.951455000000003"/>
    <n v="-299069"/>
    <n v="-299069"/>
    <n v="33.652386"/>
    <n v="-0.29906899999999997"/>
  </r>
  <r>
    <s v="ULBIL"/>
    <s v="Yes"/>
    <s v="UL BILANCIATA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71772844.79818401"/>
    <n v="10517233"/>
    <m/>
    <b v="0"/>
    <m/>
    <n v="-614112.52"/>
    <n v="11114645"/>
    <n v="11.114644999999999"/>
    <n v="-597412"/>
    <n v="-597412"/>
    <n v="10.517232999999999"/>
    <n v="-0.59741200000000005"/>
  </r>
  <r>
    <s v="ULBILPIU"/>
    <s v="Yes"/>
    <s v="UL BILANCIATA PIU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73815813.46287501"/>
    <n v="17251250"/>
    <m/>
    <b v="0"/>
    <m/>
    <n v="-514722.49999999988"/>
    <n v="17726631"/>
    <n v="17.726631000000001"/>
    <n v="-475381"/>
    <n v="-475381"/>
    <n v="17.251249999999999"/>
    <n v="-0.475381"/>
  </r>
  <r>
    <s v="ULDIN"/>
    <s v="Yes"/>
    <s v="UL DINAMICA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78110589.65588099"/>
    <n v="18063937"/>
    <m/>
    <b v="0"/>
    <m/>
    <n v="-905874.80999999994"/>
    <n v="19013976"/>
    <n v="19.013976"/>
    <n v="-950039"/>
    <n v="-950039"/>
    <n v="18.063936999999999"/>
    <n v="-0.95003899999999997"/>
  </r>
  <r>
    <s v="ULP"/>
    <s v="Yes"/>
    <s v="UL PRUDENTE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60292239.99039599"/>
    <n v="12030736"/>
    <m/>
    <b v="0"/>
    <m/>
    <n v="-668763.87000000011"/>
    <n v="12689996"/>
    <n v="12.689996000000001"/>
    <n v="-659260"/>
    <n v="-659260"/>
    <n v="12.030735999999999"/>
    <n v="-0.65925999999999996"/>
  </r>
  <r>
    <s v="ULPRUD"/>
    <s v="Yes"/>
    <s v="UL PRUDENTE PIU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70166928.79846799"/>
    <n v="15554245"/>
    <m/>
    <b v="0"/>
    <m/>
    <n v="-673150.85"/>
    <n v="16167560"/>
    <n v="16.167560000000002"/>
    <n v="-613315"/>
    <n v="-613315"/>
    <n v="15.554245"/>
    <n v="-0.61331500000000005"/>
  </r>
  <r>
    <s v="DINAR1TF"/>
    <s v="Yes"/>
    <s v="UNIFLEX ACTIVE 1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43350273.71078199"/>
    <n v="1363503"/>
    <m/>
    <b v="0"/>
    <m/>
    <n v="-8576.35"/>
    <n v="1364632"/>
    <n v="1.3646320000000001"/>
    <n v="-1129"/>
    <n v="-1129"/>
    <n v="1.3635029999999999"/>
    <n v="-1.129E-3"/>
  </r>
  <r>
    <s v="DINAR2TF"/>
    <s v="Yes"/>
    <s v="UNIFLEX ACTIVE 2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52499167.475393"/>
    <n v="26945800"/>
    <m/>
    <b v="0"/>
    <m/>
    <n v="-155507.10000000009"/>
    <n v="26955727"/>
    <n v="26.955727"/>
    <n v="-9927"/>
    <n v="-9927"/>
    <n v="26.945799999999998"/>
    <n v="-9.9270000000000001E-3"/>
  </r>
  <r>
    <s v="DINAR3TF"/>
    <s v="Yes"/>
    <s v="UNIFLEX ACTIVE 3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57395061.84757999"/>
    <n v="795570"/>
    <m/>
    <b v="0"/>
    <m/>
    <n v="-3761.6500000000005"/>
    <n v="794524"/>
    <n v="0.79452400000000001"/>
    <n v="1046"/>
    <n v="1046"/>
    <n v="0.79557"/>
    <n v="1.0460000000000001E-3"/>
  </r>
  <r>
    <s v="MATRUNIP"/>
    <s v="Yes"/>
    <s v="Unit Linked A TR UNIPLAN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23986749.370975"/>
    <n v="12280450"/>
    <m/>
    <b v="0"/>
    <m/>
    <n v="-644373.75999999989"/>
    <n v="12897265"/>
    <n v="12.897265000000001"/>
    <n v="-616815"/>
    <n v="-616815"/>
    <n v="12.28045"/>
    <n v="-0.616815"/>
  </r>
  <r>
    <s v="MUNIP"/>
    <s v="Yes"/>
    <s v="Unit Linked AMix UNIPLAN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62393071.78226301"/>
    <n v="255343"/>
    <m/>
    <b v="0"/>
    <m/>
    <n v="-17807.07"/>
    <n v="272765"/>
    <n v="0.27276499999999998"/>
    <n v="-17422"/>
    <n v="-17422"/>
    <n v="0.25534299999999999"/>
    <n v="-1.7422E-2"/>
  </r>
  <r>
    <s v="MEPF2N"/>
    <s v="Yes"/>
    <s v="UNIT LINKED E2 NEW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6117570.69861901"/>
    <n v="7616069"/>
    <m/>
    <b v="0"/>
    <m/>
    <n v="-350635.67999999988"/>
    <n v="7920799"/>
    <n v="7.9207989999999997"/>
    <n v="-304730"/>
    <n v="-304730"/>
    <n v="7.6160690000000004"/>
    <n v="-0.30473"/>
  </r>
  <r>
    <s v="MEPF5"/>
    <s v="Yes"/>
    <s v="UNIT LINKED E3 NEW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66141402.92062801"/>
    <n v="72484395"/>
    <m/>
    <b v="0"/>
    <m/>
    <n v="-1379157.7200000009"/>
    <n v="73864832"/>
    <n v="73.864832000000007"/>
    <n v="-1380437"/>
    <n v="-1380437"/>
    <n v="72.484395000000006"/>
    <n v="-1.3804369999999999"/>
  </r>
  <r>
    <s v="MEPF6"/>
    <s v="Yes"/>
    <s v="UNIT LINKED E4 NEW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58113575.86113399"/>
    <n v="64408792"/>
    <m/>
    <b v="0"/>
    <m/>
    <n v="-1481691.5300000005"/>
    <n v="65910670"/>
    <n v="65.910669999999996"/>
    <n v="-1501878"/>
    <n v="-1501878"/>
    <n v="64.408792000000005"/>
    <n v="-1.501878"/>
  </r>
  <r>
    <s v="MEPF8"/>
    <s v="Yes"/>
    <s v="UNIT LINKED E6 NEW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44184151.890834"/>
    <n v="128787502"/>
    <m/>
    <b v="0"/>
    <m/>
    <n v="-2446438.419999999"/>
    <n v="132733973"/>
    <n v="132.73397299999999"/>
    <n v="-3946471"/>
    <n v="-3946471"/>
    <n v="128.78750199999999"/>
    <n v="-3.9464709999999998"/>
  </r>
  <r>
    <s v="ULG4NEW"/>
    <s v="Yes"/>
    <s v="UNIT LINKED G4 NEW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96970719.92772499"/>
    <n v="411051"/>
    <m/>
    <b v="0"/>
    <m/>
    <n v="-681.71"/>
    <n v="406916"/>
    <n v="0.406916"/>
    <n v="4135"/>
    <n v="4135"/>
    <n v="0.411051"/>
    <n v="4.1349999999999998E-3"/>
  </r>
  <r>
    <s v="MEPF10"/>
    <s v="Yes"/>
    <s v="UNIT LINKED G5 NEW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639044963.34446"/>
    <n v="395535"/>
    <m/>
    <b v="0"/>
    <m/>
    <n v="-1323.0099999999998"/>
    <n v="393174"/>
    <n v="0.39317400000000002"/>
    <n v="2361"/>
    <n v="2361"/>
    <n v="0.39553500000000003"/>
    <n v="2.3609999999999998E-3"/>
  </r>
  <r>
    <s v="MEPF4"/>
    <s v="Yes"/>
    <s v="Unit Linked OLD 4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9879073.65219"/>
    <n v="1067361"/>
    <m/>
    <b v="0"/>
    <m/>
    <n v="-182908.58999999997"/>
    <n v="1249574"/>
    <n v="1.249574"/>
    <n v="-182213"/>
    <n v="-182213"/>
    <n v="1.067361"/>
    <n v="-0.18221300000000001"/>
  </r>
  <r>
    <s v="UES20"/>
    <s v="Yes"/>
    <s v="Univalore E Strategia 2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17530297.356382"/>
    <n v="23044548"/>
    <m/>
    <b v="0"/>
    <m/>
    <n v="-1652714.3599999989"/>
    <n v="24509694"/>
    <n v="24.509694"/>
    <n v="-1465146"/>
    <n v="-1465146"/>
    <n v="23.044547999999999"/>
    <n v="-1.4651460000000001"/>
  </r>
  <r>
    <s v="UES30"/>
    <s v="Yes"/>
    <s v="Univalore E Strategia 3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18165044.484503"/>
    <n v="234658014"/>
    <m/>
    <b v="0"/>
    <m/>
    <n v="-17940993.880000018"/>
    <n v="250680875"/>
    <n v="250.68087499999999"/>
    <n v="-16022861"/>
    <n v="-16022861"/>
    <n v="234.65801400000001"/>
    <n v="-16.022860999999999"/>
  </r>
  <r>
    <s v="UES40"/>
    <s v="Yes"/>
    <s v="Univalore E Strategia 4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32504447.23408601"/>
    <n v="17723615"/>
    <m/>
    <b v="0"/>
    <m/>
    <n v="-1681571.7899999993"/>
    <n v="19212387"/>
    <n v="19.212387"/>
    <n v="-1488772"/>
    <n v="-1488772"/>
    <n v="17.723614999999999"/>
    <n v="-1.488772"/>
  </r>
  <r>
    <s v="UES70"/>
    <s v="Yes"/>
    <s v="Univalore E Strategia 7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55309118.75409299"/>
    <n v="328851184"/>
    <m/>
    <b v="0"/>
    <m/>
    <n v="-40659051.159999982"/>
    <n v="366473118"/>
    <n v="366.473118"/>
    <n v="-37621934"/>
    <n v="-37621934"/>
    <n v="328.85118399999999"/>
    <n v="-37.621934000000003"/>
  </r>
  <r>
    <s v="UES50"/>
    <s v="Yes"/>
    <s v="Univalore Stars Balanced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42608981.84143099"/>
    <n v="550852602"/>
    <m/>
    <b v="0"/>
    <m/>
    <n v="-66777686.989999987"/>
    <n v="613264658"/>
    <n v="613.26465800000005"/>
    <n v="-62412056"/>
    <n v="-62412056"/>
    <n v="550.85260200000005"/>
    <n v="-62.412056"/>
  </r>
  <r>
    <s v="PP3Y"/>
    <s v="Yes"/>
    <s v="PL Euro Bond over 3 years"/>
    <s v="Model"/>
    <s v="On Original Risk List  "/>
    <s v="From Risk - Fund Responsibility - Model Portfolios"/>
    <x v="0"/>
    <x v="1"/>
    <m/>
    <m/>
    <s v="AMUNDI.IRL/INV/MAS/PMG/PMG"/>
    <s v="CASEY RICHARD"/>
    <s v="To be Affected"/>
    <m/>
    <n v="173624542.66213301"/>
    <n v="122521317"/>
    <m/>
    <b v="0"/>
    <m/>
    <n v="-188585.52999999974"/>
    <n v="121839302"/>
    <n v="121.839302"/>
    <n v="682015"/>
    <n v="682015"/>
    <n v="122.521317"/>
    <n v="0.68201500000000004"/>
  </r>
  <r>
    <s v="MAL"/>
    <s v="Yes"/>
    <s v="CAM Agost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123064.31436101"/>
    <n v="142698"/>
    <m/>
    <b v="0"/>
    <m/>
    <n v="-1625.16"/>
    <n v="143073"/>
    <n v="0.14307300000000001"/>
    <n v="-375"/>
    <n v="-375"/>
    <n v="0.14269799999999999"/>
    <n v="-3.7500000000000001E-4"/>
  </r>
  <r>
    <s v="MAF"/>
    <s v="Yes"/>
    <s v="CAM April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5431829.81326699"/>
    <n v="87215"/>
    <m/>
    <b v="0"/>
    <m/>
    <n v="-1505.89"/>
    <n v="87979"/>
    <n v="8.7979000000000002E-2"/>
    <n v="-764"/>
    <n v="-764"/>
    <n v="8.7215000000000001E-2"/>
    <n v="-7.6400000000000003E-4"/>
  </r>
  <r>
    <s v="MAB"/>
    <s v="Yes"/>
    <s v="CAM Dicem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257809.171958"/>
    <n v="4871246"/>
    <m/>
    <b v="0"/>
    <m/>
    <n v="-70599.200000000041"/>
    <n v="4891405"/>
    <n v="4.8914049999999998"/>
    <n v="-20159"/>
    <n v="-20159"/>
    <n v="4.8712460000000002"/>
    <n v="-2.0159E-2"/>
  </r>
  <r>
    <s v="MAD"/>
    <s v="Yes"/>
    <s v="CAM Febbra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6304444.90159"/>
    <n v="341235"/>
    <m/>
    <b v="0"/>
    <m/>
    <n v="-2087.83"/>
    <n v="340831"/>
    <n v="0.340831"/>
    <n v="404"/>
    <n v="404"/>
    <n v="0.34123500000000001"/>
    <n v="4.0400000000000001E-4"/>
  </r>
  <r>
    <s v="MAC"/>
    <s v="Yes"/>
    <s v="CAM Genna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5816999.138579"/>
    <n v="187778"/>
    <m/>
    <b v="0"/>
    <m/>
    <n v="-1740.22"/>
    <n v="187915"/>
    <n v="0.187915"/>
    <n v="-137"/>
    <n v="-137"/>
    <n v="0.187778"/>
    <n v="-1.37E-4"/>
  </r>
  <r>
    <s v="MAH"/>
    <s v="Yes"/>
    <s v="CAM Giugn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7971611.001837"/>
    <n v="634676"/>
    <m/>
    <b v="0"/>
    <m/>
    <n v="-2758.01"/>
    <n v="631685"/>
    <n v="0.63168500000000005"/>
    <n v="2991"/>
    <n v="2991"/>
    <n v="0.63467600000000002"/>
    <n v="2.9910000000000002E-3"/>
  </r>
  <r>
    <s v="MAG"/>
    <s v="Yes"/>
    <s v="CAM Magg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6807681.44795699"/>
    <n v="134904"/>
    <m/>
    <b v="0"/>
    <m/>
    <n v="-1605.7"/>
    <n v="135227"/>
    <n v="0.13522700000000001"/>
    <n v="-323"/>
    <n v="-323"/>
    <n v="0.134904"/>
    <n v="-3.2299999999999999E-4"/>
  </r>
  <r>
    <s v="MAE"/>
    <s v="Yes"/>
    <s v="CAM Marz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5199855.064237"/>
    <n v="154948"/>
    <m/>
    <b v="0"/>
    <m/>
    <n v="-1644.49"/>
    <n v="155214"/>
    <n v="0.15521399999999999"/>
    <n v="-266"/>
    <n v="-266"/>
    <n v="0.154948"/>
    <n v="-2.6600000000000001E-4"/>
  </r>
  <r>
    <s v="MAA"/>
    <s v="Yes"/>
    <s v="CAM Novem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11570275.28652801"/>
    <n v="279016"/>
    <m/>
    <b v="0"/>
    <m/>
    <n v="-1958.1100000000001"/>
    <n v="278072"/>
    <n v="0.27807199999999999"/>
    <n v="944"/>
    <n v="944"/>
    <n v="0.27901599999999999"/>
    <n v="9.4399999999999996E-4"/>
  </r>
  <r>
    <s v="MAN"/>
    <s v="Yes"/>
    <s v="CAM Otto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11414919.584572"/>
    <n v="28074"/>
    <m/>
    <b v="0"/>
    <m/>
    <n v="-1209.0000000000002"/>
    <n v="29020"/>
    <n v="2.9020000000000001E-2"/>
    <n v="-946"/>
    <n v="-946"/>
    <n v="2.8074000000000002E-2"/>
    <n v="-9.4600000000000001E-4"/>
  </r>
  <r>
    <s v="MAM"/>
    <s v="Yes"/>
    <s v="CAM Settem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977985.737858"/>
    <n v="16557"/>
    <m/>
    <b v="0"/>
    <m/>
    <n v="-579.68999999999983"/>
    <n v="16991"/>
    <n v="1.6990999999999999E-2"/>
    <n v="-434"/>
    <n v="-434"/>
    <n v="1.6556999999999999E-2"/>
    <n v="-4.3399999999999998E-4"/>
  </r>
  <r>
    <s v="CNPTHEMPROT"/>
    <s v="Yes"/>
    <s v="CNP THEMAT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195364106"/>
    <m/>
    <m/>
    <m/>
    <n v="-10521304.209999999"/>
    <n v="201751089"/>
    <n v="201.75108900000001"/>
    <n v="-6386983"/>
    <n v="-6386983"/>
    <n v="195.36410599999999"/>
    <n v="-6.3869829999999999"/>
  </r>
  <r>
    <s v="CRVTHEMPROT"/>
    <s v="Yes"/>
    <s v="CRV THEMAT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307505809"/>
    <m/>
    <m/>
    <m/>
    <n v="-11494400.819999998"/>
    <n v="312423908"/>
    <n v="312.42390799999998"/>
    <n v="-4918099"/>
    <n v="-4918099"/>
    <n v="307.505809"/>
    <n v="-4.9180989999999998"/>
  </r>
  <r>
    <s v="CNPDYNPR80"/>
    <s v="Yes"/>
    <s v="CNP Dynam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n v="111167018.79302099"/>
    <n v="116832547"/>
    <m/>
    <b v="0"/>
    <m/>
    <n v="-16088829.240000004"/>
    <n v="132260888"/>
    <n v="132.26088799999999"/>
    <n v="-15428341"/>
    <n v="-15428341"/>
    <n v="116.83254700000001"/>
    <n v="-15.428341"/>
  </r>
  <r>
    <s v="CRVDYNPR80"/>
    <s v="Yes"/>
    <s v="CRV Dynam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n v="110734811.618277"/>
    <n v="279293562"/>
    <m/>
    <b v="0"/>
    <m/>
    <n v="-25728394.100000024"/>
    <n v="303707882"/>
    <n v="303.70788199999998"/>
    <n v="-24414320"/>
    <n v="-24414320"/>
    <n v="279.29356200000001"/>
    <n v="-24.41432"/>
  </r>
  <r>
    <s v="CNPPROT80"/>
    <s v="Yes"/>
    <s v="CNP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96897819"/>
    <m/>
    <b v="0"/>
    <m/>
    <n v="367906.5400000001"/>
    <n v="92942418"/>
    <n v="92.942418000000004"/>
    <n v="3955401"/>
    <n v="3955401"/>
    <n v="96.897818999999998"/>
    <n v="3.9554010000000002"/>
  </r>
  <r>
    <s v="CRVPROT80"/>
    <s v="Yes"/>
    <s v="CRV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106822030"/>
    <m/>
    <b v="0"/>
    <m/>
    <n v="1020637.6299999998"/>
    <n v="101671056"/>
    <n v="101.67105599999999"/>
    <n v="5150974"/>
    <n v="5150974"/>
    <n v="106.82203"/>
    <n v="5.1509739999999997"/>
  </r>
  <r>
    <s v="MLINC"/>
    <s v="Yes"/>
    <s v="UL Life Income"/>
    <s v="Model"/>
    <s v="On Original Risk List  "/>
    <s v="From Risk - Fund Responsibility - Model Portfolios"/>
    <x v="1"/>
    <x v="4"/>
    <m/>
    <m/>
    <s v="AMUNDI.IRL/INV/MAS/PMG"/>
    <s v="BUONO SALVATORE"/>
    <s v="To be Affected"/>
    <m/>
    <n v="123428954.947797"/>
    <n v="215406941"/>
    <m/>
    <b v="0"/>
    <m/>
    <n v="-15247022.630000001"/>
    <n v="230490457"/>
    <n v="230.49045699999999"/>
    <n v="-15083516"/>
    <n v="-15083516"/>
    <n v="215.40694099999999"/>
    <n v="-15.083515999999999"/>
  </r>
  <r>
    <s v="MULLI360"/>
    <s v="Yes"/>
    <s v="UL Life Income 360"/>
    <s v="Model"/>
    <s v="On Original Risk List  "/>
    <s v="From Risk - Fund Responsibility - Model Portfolios"/>
    <x v="1"/>
    <x v="4"/>
    <m/>
    <m/>
    <s v="AMUNDI.IRL/INV/MAS/PMG"/>
    <s v="BUONO SALVATORE"/>
    <s v="To be Affected"/>
    <m/>
    <n v="121179752.07127599"/>
    <n v="154991340"/>
    <m/>
    <b v="0"/>
    <m/>
    <n v="-14572498.070000004"/>
    <n v="170018725"/>
    <n v="170.01872499999999"/>
    <n v="-15027385"/>
    <n v="-15027385"/>
    <n v="154.99134000000001"/>
    <n v="-15.027385000000001"/>
  </r>
  <r>
    <s v="ULACCO"/>
    <s v="Yes"/>
    <s v="Unit Linked Multi Equity Accumulation"/>
    <s v="Model"/>
    <s v="On Original Risk List  "/>
    <s v="From Risk - Fund Responsibility - Model Portfolios"/>
    <x v="1"/>
    <x v="3"/>
    <m/>
    <m/>
    <s v="AMUNDI.IRL/INV/MAS/PMG"/>
    <s v="BUONO SALVATORE"/>
    <s v="To be Affected"/>
    <m/>
    <n v="118882703.590166"/>
    <n v="4704953"/>
    <m/>
    <b v="0"/>
    <m/>
    <n v="-340502.77"/>
    <n v="5173858"/>
    <n v="5.1738580000000001"/>
    <n v="-468905"/>
    <n v="-468905"/>
    <n v="4.7049529999999997"/>
    <n v="-0.46890500000000002"/>
  </r>
  <r>
    <s v="MUSI"/>
    <s v="Yes"/>
    <s v="Univalore Stars Income"/>
    <s v="Model"/>
    <s v="On Original Risk List  "/>
    <s v="From Risk - Fund Responsibility - Model Portfolios"/>
    <x v="1"/>
    <x v="4"/>
    <m/>
    <m/>
    <s v="AMUNDI.IRL/INV/MAS/PMG"/>
    <s v="BUONO SALVATORE"/>
    <s v="To be Affected"/>
    <m/>
    <n v="119055652.78436001"/>
    <n v="239238036"/>
    <m/>
    <b v="0"/>
    <m/>
    <n v="-24530124.020000018"/>
    <n v="263555955"/>
    <n v="263.55595499999998"/>
    <n v="-24317919"/>
    <n v="-24317919"/>
    <n v="239.23803599999999"/>
    <n v="-24.317919"/>
  </r>
  <r>
    <s v="PMAI"/>
    <s v="Yes"/>
    <s v="CAM Lugl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446631.677074"/>
    <n v="77561"/>
    <m/>
    <b v="0"/>
    <m/>
    <m/>
    <n v="78336"/>
    <n v="7.8336000000000003E-2"/>
    <n v="-775"/>
    <n v="-775"/>
    <n v="7.7561000000000005E-2"/>
    <n v="-7.7499999999999997E-4"/>
  </r>
  <r>
    <s v="ULBER-"/>
    <s v="Yes"/>
    <s v="UL_Bilanciata_+ERGO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207709959.66864499"/>
    <n v="5017578"/>
    <m/>
    <b v="0"/>
    <m/>
    <m/>
    <n v="5017578"/>
    <n v="5.0175780000000003"/>
    <n v="0"/>
    <n v="0"/>
    <n v="5.0175780000000003"/>
    <n v="0"/>
  </r>
  <r>
    <s v="ULDER"/>
    <s v="Yes"/>
    <s v="UL_Dinamica ERGO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51863210.81133899"/>
    <n v="0"/>
    <m/>
    <b v="0"/>
    <m/>
    <m/>
    <n v="0"/>
    <n v="0"/>
    <n v="0"/>
    <n v="0"/>
    <n v="0"/>
    <n v="0"/>
  </r>
  <r>
    <s v="ULPER"/>
    <s v="Yes"/>
    <s v="UL_Prudente ERG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7209342.62897399"/>
    <n v="0"/>
    <m/>
    <b v="0"/>
    <m/>
    <m/>
    <n v="0"/>
    <n v="0"/>
    <n v="0"/>
    <n v="0"/>
    <n v="0"/>
    <n v="0"/>
  </r>
  <r>
    <s v="ULP-ER"/>
    <s v="Yes"/>
    <s v="UL_Prudente_+ ERG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76197956.52590799"/>
    <n v="0"/>
    <m/>
    <b v="0"/>
    <m/>
    <m/>
    <n v="0"/>
    <n v="0"/>
    <n v="0"/>
    <n v="0"/>
    <n v="0"/>
    <n v="0"/>
  </r>
  <r>
    <s v="R2M"/>
    <s v="Yes"/>
    <s v="CNP Linea Protetta Dinamica Plus"/>
    <s v="Model"/>
    <s v="Added by Ronan"/>
    <s v="From Risk - Fund Responsibility - Model Portfolios"/>
    <x v="0"/>
    <x v="2"/>
    <m/>
    <m/>
    <m/>
    <m/>
    <m/>
    <m/>
    <m/>
    <n v="3991454"/>
    <m/>
    <b v="0"/>
    <m/>
    <n v="-34928.270000000019"/>
    <n v="3913810"/>
    <n v="3.9138099999999998"/>
    <n v="77644"/>
    <n v="77644"/>
    <n v="3.9914540000000001"/>
    <n v="7.7644000000000005E-2"/>
  </r>
  <r>
    <s v="ULC"/>
    <s v="Yes"/>
    <s v="UL CAUTA"/>
    <s v="Model"/>
    <s v="On Original Risk List  "/>
    <s v="From Risk - Models master - Sheet 1"/>
    <x v="0"/>
    <x v="1"/>
    <m/>
    <m/>
    <s v="AMUNDI.IRL/INV/MAS/PMG"/>
    <s v="BUONO SALVATORE"/>
    <s v="To be Affected"/>
    <m/>
    <n v="134854780.55061799"/>
    <n v="27311192"/>
    <m/>
    <b v="0"/>
    <m/>
    <n v="-523806.44999999984"/>
    <n v="27597514"/>
    <n v="27.597514"/>
    <n v="-286322"/>
    <n v="-286322"/>
    <n v="27.311191999999998"/>
    <n v="-0.28632200000000002"/>
  </r>
  <r>
    <s v="UNGOALS"/>
    <s v="Yes"/>
    <s v="Unit Linked UN GOALS"/>
    <s v="Model"/>
    <m/>
    <m/>
    <x v="1"/>
    <x v="5"/>
    <m/>
    <m/>
    <m/>
    <m/>
    <m/>
    <m/>
    <m/>
    <n v="909580051"/>
    <m/>
    <b v="0"/>
    <m/>
    <n v="8885720.7199999932"/>
    <n v="869067080"/>
    <n v="869.06708000000003"/>
    <n v="40512971"/>
    <n v="40512971"/>
    <n v="909.58005100000003"/>
    <n v="40.512971"/>
  </r>
  <r>
    <s v="ULMATREND"/>
    <s v="Yes"/>
    <s v="Unit Linked Multi Asset Trend"/>
    <s v="Model"/>
    <m/>
    <m/>
    <x v="1"/>
    <x v="5"/>
    <m/>
    <m/>
    <m/>
    <m/>
    <m/>
    <m/>
    <m/>
    <n v="252843377"/>
    <m/>
    <b v="0"/>
    <m/>
    <n v="6517412.1099999938"/>
    <n v="239873847"/>
    <n v="239.87384700000001"/>
    <n v="12969530"/>
    <n v="12969530"/>
    <n v="252.843377"/>
    <n v="12.969530000000001"/>
  </r>
  <r>
    <s v="ULFTREND "/>
    <s v="Yes"/>
    <s v="Unit Linked Future Trend"/>
    <s v="Model"/>
    <m/>
    <m/>
    <x v="1"/>
    <x v="5"/>
    <m/>
    <m/>
    <m/>
    <m/>
    <m/>
    <m/>
    <m/>
    <s v=""/>
    <m/>
    <b v="0"/>
    <m/>
    <n v="226891.29000000094"/>
    <s v=""/>
    <s v=""/>
    <s v=""/>
    <s v=""/>
    <s v=""/>
    <s v=""/>
  </r>
  <r>
    <s v="Multhem"/>
    <s v="Yes"/>
    <s v="Unit Linked Multi Thematic Global Eq"/>
    <s v="Model"/>
    <s v="On Original Risk List  "/>
    <s v="From Risk - Models master - Sheet 1"/>
    <x v="1"/>
    <x v="5"/>
    <m/>
    <m/>
    <m/>
    <m/>
    <m/>
    <m/>
    <m/>
    <m/>
    <m/>
    <b v="0"/>
    <m/>
    <m/>
    <m/>
    <n v="0"/>
    <n v="0"/>
    <n v="0"/>
    <n v="0"/>
    <n v="0"/>
  </r>
  <r>
    <s v="AAPROT80"/>
    <s v="Yes"/>
    <s v="ASSET ALLOCATION MODEL PROTETTO 80"/>
    <s v="Model"/>
    <s v="Added by Ronan"/>
    <s v="Models AUM - Desk Mapping"/>
    <x v="1"/>
    <x v="11"/>
    <m/>
    <m/>
    <m/>
    <m/>
    <m/>
    <m/>
    <m/>
    <n v="105977735"/>
    <m/>
    <b v="0"/>
    <m/>
    <n v="-3090101.6899999995"/>
    <n v="108101631"/>
    <n v="108.101631"/>
    <n v="-2123896"/>
    <n v="-2123896"/>
    <n v="105.977735"/>
    <n v="-2.1238959999999998"/>
  </r>
  <r>
    <s v="MULSTEP"/>
    <s v="Yes"/>
    <s v="STEP CRESCITA"/>
    <s v="Model"/>
    <s v="On Original Risk List  "/>
    <s v="Not on another list - but included verbally by Salva"/>
    <x v="1"/>
    <x v="3"/>
    <m/>
    <m/>
    <s v="AMUNDI.IRL/INV/MAS/PMG"/>
    <s v="BUONO SALVATORE"/>
    <s v="To be Affected"/>
    <m/>
    <n v="99030590.242356494"/>
    <m/>
    <m/>
    <b v="0"/>
    <m/>
    <n v="-334707.83"/>
    <m/>
    <n v="0"/>
    <n v="0"/>
    <n v="0"/>
    <n v="0"/>
    <n v="0"/>
  </r>
  <r>
    <s v="DIOP3"/>
    <s v="Yes"/>
    <s v="DISCRETIONARY INCOME ORIENTED PRODUCTS 3"/>
    <s v="Model"/>
    <s v="On Original Risk List  "/>
    <s v="Not on another list - but included verbally by Salva"/>
    <x v="1"/>
    <x v="4"/>
    <m/>
    <m/>
    <s v="AMUNDI.IRL/INV/MAS/PMG"/>
    <s v="NICHOLAS POTHIER"/>
    <s v="To be Affected"/>
    <m/>
    <n v="102220704.24242701"/>
    <n v="5231379.8499999996"/>
    <m/>
    <b v="0"/>
    <m/>
    <m/>
    <n v="6968432.6399999997"/>
    <n v="6.9684326399999996"/>
    <n v="-1737052.79"/>
    <n v="-1737052.79"/>
    <n v="5.2313798499999997"/>
    <n v="-1.7370527900000001"/>
  </r>
  <r>
    <s v="DIOP4"/>
    <s v="Yes"/>
    <s v="DISCRETIONARY INCOME ORIENTED PRODUCTS 4"/>
    <s v="Model"/>
    <s v="On Original Risk List  "/>
    <s v="Not on another list - but included verbally by Salva"/>
    <x v="1"/>
    <x v="5"/>
    <m/>
    <m/>
    <s v="AMUNDI.IRL/INV/MAS/PMG"/>
    <s v="NICHOLAS POTHIER"/>
    <s v="To be Affected"/>
    <m/>
    <n v="102840578.94022"/>
    <n v="9542350.5099999998"/>
    <m/>
    <b v="0"/>
    <m/>
    <m/>
    <n v="14185291.16"/>
    <n v="14.18529116"/>
    <n v="-4642940.6500000004"/>
    <n v="-4642940.6500000004"/>
    <n v="9.5423505100000003"/>
    <n v="-4.6429406500000008"/>
  </r>
  <r>
    <s v="BBSECCORE"/>
    <s v="Yes"/>
    <s v="BB SECURITIES EURO GOVT CORE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2684355.49557801"/>
    <n v="0"/>
    <m/>
    <e v="#N/A"/>
    <m/>
    <m/>
    <n v="0"/>
    <n v="0"/>
    <n v="0"/>
    <n v="0"/>
    <n v="0"/>
    <n v="0"/>
  </r>
  <r>
    <s v="BBSECPERIPH"/>
    <s v="Yes"/>
    <s v="BB SECURITIES EURO GOVT PERIPHERAL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5073036.860901"/>
    <n v="0"/>
    <m/>
    <e v="#N/A"/>
    <m/>
    <m/>
    <n v="0"/>
    <n v="0"/>
    <n v="0"/>
    <n v="0"/>
    <n v="0"/>
    <n v="0"/>
  </r>
  <r>
    <s v="BBSECEURIG"/>
    <s v="Yes"/>
    <s v="BB SECURITIES EURO IG CREDIT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2950891.035953"/>
    <n v="0"/>
    <m/>
    <e v="#N/A"/>
    <m/>
    <m/>
    <n v="0"/>
    <n v="0"/>
    <n v="0"/>
    <n v="0"/>
    <n v="0"/>
    <n v="0"/>
  </r>
  <r>
    <s v="BBSECUSTBOND"/>
    <s v="Yes"/>
    <s v="BB SECURITIES US TREASURY BOND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3916500.733969"/>
    <n v="0"/>
    <m/>
    <e v="#N/A"/>
    <m/>
    <m/>
    <n v="0"/>
    <n v="0"/>
    <n v="0"/>
    <n v="0"/>
    <n v="0"/>
    <n v="0"/>
  </r>
  <r>
    <s v="DIOP 1"/>
    <s v="Yes"/>
    <s v="DISCRETIONARY INCOME ORIENTED PRODUCTS 1"/>
    <s v="Model"/>
    <s v="On Original Risk List  "/>
    <s v="Not on another list - but included verbally by Salva"/>
    <x v="1"/>
    <x v="4"/>
    <m/>
    <m/>
    <m/>
    <m/>
    <m/>
    <m/>
    <m/>
    <n v="9442288.8699999992"/>
    <m/>
    <b v="0"/>
    <m/>
    <m/>
    <n v="9783751.7300000004"/>
    <n v="9.7837517300000005"/>
    <n v="-341462.86000000127"/>
    <n v="-341462.86000000127"/>
    <n v="9.4422888699999987"/>
    <n v="-0.34146286000000126"/>
  </r>
  <r>
    <s v="DIOP 2"/>
    <s v="Yes"/>
    <s v="DISCRETIONARY INCOME ORIENTED PRODUCTS 2"/>
    <s v="Model"/>
    <s v="On Original Risk List  "/>
    <s v="Not on another list - but included verbally by Salva"/>
    <x v="1"/>
    <x v="4"/>
    <m/>
    <m/>
    <m/>
    <m/>
    <m/>
    <m/>
    <m/>
    <n v="3345435.45"/>
    <m/>
    <b v="0"/>
    <m/>
    <m/>
    <n v="3901388.43"/>
    <n v="3.9013884300000004"/>
    <n v="-555952.98"/>
    <n v="-555952.98"/>
    <n v="3.3454354500000001"/>
    <n v="-0.55595297999999993"/>
  </r>
  <r>
    <s v="PF82304"/>
    <s v="Yes"/>
    <s v="ASI - PROGETTO AZION MILLENNIALS II"/>
    <s v="Fund"/>
    <s v="On Original Risk List  "/>
    <s v="From Risk - Fund Responsibility - Dublin Funds"/>
    <x v="3"/>
    <x v="7"/>
    <m/>
    <m/>
    <m/>
    <s v="CASEY RICHARD"/>
    <s v="To be Affected"/>
    <s v="DUB EFI Absolute Return Aggregate"/>
    <m/>
    <m/>
    <m/>
    <b v="0"/>
    <m/>
    <m/>
    <m/>
    <m/>
    <m/>
    <m/>
    <m/>
    <m/>
  </r>
  <r>
    <s v="PF80513"/>
    <s v="Yes"/>
    <s v="ASI - PROGETTO AZION MILLENNIALS"/>
    <s v="Fund"/>
    <s v="On Original Risk List  "/>
    <s v="From Risk - Fund Responsibility - Dublin Funds"/>
    <x v="3"/>
    <x v="7"/>
    <m/>
    <m/>
    <m/>
    <s v="CASEY RICHARD"/>
    <s v="To be Affected"/>
    <s v="DUB EFI Absolute Return Aggregate"/>
    <m/>
    <m/>
    <m/>
    <b v="0"/>
    <m/>
    <m/>
    <m/>
    <m/>
    <m/>
    <m/>
    <m/>
    <m/>
  </r>
  <r>
    <s v="MUSG"/>
    <s v="Yes"/>
    <s v="Univalore Stars Growth - Comanaged with Fund Selection -"/>
    <s v="Model"/>
    <s v="Added by Ronan"/>
    <s v="From Risk - Models Master - Sheet 2"/>
    <x v="1"/>
    <x v="5"/>
    <m/>
    <m/>
    <m/>
    <m/>
    <m/>
    <m/>
    <m/>
    <m/>
    <m/>
    <n v="0"/>
    <m/>
    <m/>
    <m/>
    <n v="0"/>
    <n v="0"/>
    <n v="0"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E142"/>
    <s v="Yes"/>
    <x v="0"/>
    <s v="Fund"/>
    <s v="On Original Risk List  "/>
    <s v="From Risk - Fund Responsibility - Dublin Funds"/>
    <s v="Allocation Driven Strategies"/>
    <s v="Moderate"/>
    <s v="BAL Multimanagement"/>
    <s v="DUB BAL Multimanagement SDA Fds de Fds"/>
    <s v="AMUNDI.IRL/INV/MAS"/>
    <s v="O'TOOLE JOHN"/>
    <s v="Global - Global Balanced 50"/>
    <s v="DUB BAL Multimanagement SDA Fds de Fds"/>
    <n v="176126455.22999999"/>
    <n v="324009437.85999995"/>
    <m/>
    <b v="0"/>
    <n v="169346773.31"/>
    <n v="-4401543.419829757"/>
    <n v="323150343.74000001"/>
    <n v="323.15034373999998"/>
    <n v="859094.11999994516"/>
    <n v="859094.11999994516"/>
    <n v="324.00943785999993"/>
    <n v="0.85909411999994512"/>
  </r>
  <r>
    <s v="E143"/>
    <s v="Yes"/>
    <x v="1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Global - Balanced Global Defensive 20"/>
    <s v="DUB BAL Multimanagement SDA Fds de Fds"/>
    <n v="200569592.62"/>
    <n v="242806300.35000002"/>
    <m/>
    <b v="0"/>
    <n v="191554138.88"/>
    <n v="-6585274.1259017717"/>
    <n v="247147097.27999997"/>
    <n v="247.14709727999997"/>
    <n v="-4340796.9299999475"/>
    <n v="-4340796.9299999475"/>
    <n v="242.80630035000001"/>
    <n v="-4.3407969299999474"/>
  </r>
  <r>
    <s v="E144"/>
    <s v="Yes"/>
    <x v="2"/>
    <s v="Fund"/>
    <s v="On Original Risk List  "/>
    <s v="From Risk - Fund Responsibility - Dublin Funds"/>
    <s v="Allocation Driven Strategies"/>
    <s v="Growth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n v="68345861.700000003"/>
    <n v="83823203.900000006"/>
    <m/>
    <b v="0"/>
    <n v="66139608.709999993"/>
    <n v="-1199812.7503379725"/>
    <n v="85685108.980000004"/>
    <n v="85.68510898000001"/>
    <n v="-1861905.0799999982"/>
    <n v="-1861905.0799999982"/>
    <n v="83.82320390000001"/>
    <n v="-1.8619050799999981"/>
  </r>
  <r>
    <s v="PF101376"/>
    <s v="Yes"/>
    <x v="3"/>
    <s v="Fund"/>
    <s v="On Original Risk List  "/>
    <s v="From Risk - Fund Responsibility - Dublin Funds"/>
    <s v="Allocation Driven Strategies"/>
    <s v="Moderate"/>
    <s v="BAL Multimanagement"/>
    <s v="DUB BAL Multimanagement SDA Fds de Fds"/>
    <s v="AMUNDI.IRL/INV/MAS"/>
    <s v="O'TOOLE JOHN"/>
    <s v="Global - Global Balanced 50"/>
    <s v="DUB BAL Multimanagement SDA Fds de Fds"/>
    <m/>
    <m/>
    <m/>
    <b v="0"/>
    <m/>
    <m/>
    <m/>
    <m/>
    <m/>
    <m/>
    <m/>
    <m/>
  </r>
  <r>
    <s v="PF101372"/>
    <s v="Yes"/>
    <x v="4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Global - Balanced Global Defensive 20"/>
    <s v="DUB BAL Multimanagement SDA Fds de Fds"/>
    <m/>
    <m/>
    <m/>
    <b v="0"/>
    <m/>
    <m/>
    <m/>
    <m/>
    <m/>
    <m/>
    <m/>
    <m/>
  </r>
  <r>
    <s v="PF101380"/>
    <s v="Yes"/>
    <x v="5"/>
    <s v="Fund"/>
    <s v="On Original Risk List  "/>
    <s v="From Risk - Fund Responsibility - Dublin Funds"/>
    <s v="Allocation Driven Strategies"/>
    <s v="Growth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m/>
    <m/>
    <b v="0"/>
    <m/>
    <m/>
    <m/>
    <m/>
    <m/>
    <m/>
    <m/>
    <m/>
  </r>
  <r>
    <s v="PF78195"/>
    <s v="Yes"/>
    <x v="6"/>
    <s v="Fund"/>
    <s v="On Original Risk List  "/>
    <s v="From Risk - Fund Responsibility - Dublin Funds"/>
    <s v="Outcome Oriented Strategies"/>
    <s v="Risk Accumulation"/>
    <s v="EFI Absolute Return"/>
    <s v="DUB EFI Absolute Return Aggregate"/>
    <s v="AMUNDI.IRL/INV/MAS"/>
    <s v="O'TOOLE JOHN"/>
    <s v="To be Affected"/>
    <s v="DUB EFI Absolute Return Aggregate"/>
    <n v="336213704.19999999"/>
    <m/>
    <m/>
    <b v="0"/>
    <n v="335037348.60999995"/>
    <m/>
    <m/>
    <m/>
    <m/>
    <m/>
    <m/>
    <m/>
  </r>
  <r>
    <s v="PF103025"/>
    <s v="Yes"/>
    <x v="7"/>
    <s v="Fund"/>
    <s v="On Original Risk List  "/>
    <s v="From Risk - Fund Responsibility - Dublin Funds"/>
    <s v="Outcome Oriented Strategies"/>
    <s v="Risk Accumulation"/>
    <m/>
    <m/>
    <s v="AMUNDI.IRL/INV/MAS/PMG/PMG"/>
    <s v="CASEY RICHARD"/>
    <s v="To be Affected"/>
    <m/>
    <m/>
    <n v="93538758.120000005"/>
    <m/>
    <m/>
    <m/>
    <n v="-18151357.009999994"/>
    <n v="111680002.01000001"/>
    <n v="111.68000201000001"/>
    <n v="-18141243.890000001"/>
    <n v="-18141243.890000001"/>
    <n v="93.538758120000011"/>
    <n v="-18.141243890000002"/>
  </r>
  <r>
    <s v="E118"/>
    <s v="Yes"/>
    <x v="8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Bond - myNext"/>
    <s v="DUB BAL Multimanagement SDA Fds de Fds"/>
    <n v="31835018.329999998"/>
    <n v="7495265.8199999994"/>
    <m/>
    <b v="0"/>
    <n v="33826169.170000002"/>
    <n v="-798922.5844135189"/>
    <n v="8321680.0100000007"/>
    <n v="8.3216800100000015"/>
    <n v="-826414.19000000134"/>
    <n v="-826414.19000000134"/>
    <n v="7.4952658199999993"/>
    <n v="-0.82641419000000138"/>
  </r>
  <r>
    <s v="E119"/>
    <s v="Yes"/>
    <x v="9"/>
    <s v="Fund"/>
    <s v="On Original Risk List  "/>
    <s v="From Risk - Fund Responsibility - Dublin Funds"/>
    <s v="Allocation Driven Strategies"/>
    <s v="Growth"/>
    <s v="BAL Multimanagement"/>
    <s v="DUB BAL Multimanagement SDA Fds de Fds"/>
    <s v="AMUNDI.IRL/INV/MAS"/>
    <s v="O'TOOLE JOHN"/>
    <s v="Equity - myNext"/>
    <s v="DUB BAL Multimanagement SDA Fds de Fds"/>
    <n v="96972832.489999995"/>
    <n v="58236487.470000006"/>
    <m/>
    <b v="0"/>
    <n v="103255927.2"/>
    <n v="-1656568.0657256469"/>
    <n v="56591525.730000004"/>
    <n v="56.591525730000001"/>
    <n v="1644961.7400000021"/>
    <n v="1644961.7400000021"/>
    <n v="58.236487470000007"/>
    <n v="1.6449617400000021"/>
  </r>
  <r>
    <s v="E120"/>
    <s v="Yes"/>
    <x v="10"/>
    <s v="Fund"/>
    <s v="On Original Risk List  "/>
    <s v="From Risk - Fund Responsibility - Dublin Funds"/>
    <s v="Allocation Driven Strategies"/>
    <s v="Moderate"/>
    <s v="BAL Multimanagement"/>
    <s v="DUB BAL Multimanagement SDA Fds de Fds"/>
    <s v="AMUNDI.IRL/INV/MAS"/>
    <s v="O'TOOLE JOHN"/>
    <s v="Multi Asset - myNext"/>
    <s v="DUB BAL Multimanagement SDA Fds de Fds"/>
    <n v="288617594.88999999"/>
    <n v="121448782.71000001"/>
    <m/>
    <b v="0"/>
    <n v="312457504.01999998"/>
    <n v="-5424835.5633996008"/>
    <n v="123937506.37"/>
    <n v="123.93750637000001"/>
    <n v="-2488723.6599999964"/>
    <n v="-2488723.6599999964"/>
    <n v="121.44878271"/>
    <n v="-2.4887236599999962"/>
  </r>
  <r>
    <s v="PF115036"/>
    <m/>
    <x v="11"/>
    <s v="Fund"/>
    <m/>
    <m/>
    <s v="Outcome Oriented Strategies"/>
    <s v="Income"/>
    <m/>
    <m/>
    <m/>
    <m/>
    <m/>
    <m/>
    <m/>
    <n v="98145264.699999988"/>
    <m/>
    <m/>
    <m/>
    <n v="0"/>
    <n v="98124607.040000007"/>
    <n v="98.124607040000001"/>
    <n v="20657.659999981523"/>
    <n v="20657.659999981523"/>
    <n v="98.145264699999984"/>
    <n v="2.0657659999981523E-2"/>
  </r>
  <r>
    <s v="PF204806"/>
    <m/>
    <x v="12"/>
    <s v="Fund"/>
    <m/>
    <m/>
    <s v="Allocation Driven Strategies"/>
    <s v="Growth"/>
    <m/>
    <m/>
    <m/>
    <m/>
    <m/>
    <m/>
    <m/>
    <n v="27952778.120000001"/>
    <m/>
    <m/>
    <m/>
    <n v="27952778.120000001"/>
    <m/>
    <n v="0"/>
    <n v="27952778.120000001"/>
    <n v="27952778.120000001"/>
    <n v="27.952778120000001"/>
    <n v="27.952778120000001"/>
  </r>
  <r>
    <s v="PF88524"/>
    <s v="Yes"/>
    <x v="13"/>
    <s v="Fund"/>
    <s v="On Original Risk List  "/>
    <s v="From Risk - Fund Responsibility - Dublin Funds"/>
    <s v="Outcome Oriented Strategies"/>
    <s v="Thematic"/>
    <s v="BAL Multimanagement"/>
    <s v="AMU BAL SDA Fds de Fds (used absolute limits High risk)"/>
    <s v="AMUNDI.IRL/INV/MAS"/>
    <s v="O'TOOLE JOHN"/>
    <s v="AMUNDI ELITE THEMATIC MULTI ASSET"/>
    <s v="DUB BAL Multimanagement SDA Fds de Fds"/>
    <m/>
    <n v="651526087.88"/>
    <m/>
    <b v="0"/>
    <m/>
    <n v="-136912235.76999998"/>
    <n v="532844870.07000005"/>
    <n v="532.84487007000007"/>
    <n v="118681217.80999994"/>
    <n v="118681217.80999994"/>
    <n v="651.52608787999998"/>
    <n v="118.68121780999994"/>
  </r>
  <r>
    <s v="E209"/>
    <s v="Yes"/>
    <x v="14"/>
    <s v="Fund"/>
    <s v="On Original Risk List  "/>
    <s v="From Risk - Fund Responsibility - Dublin Funds"/>
    <s v="Service Fund"/>
    <s v="Flexible"/>
    <s v="TBD"/>
    <s v="Agreed a light touch with VaR and Leverage limits"/>
    <s v="AMUNDI.IRL/INV/MAS/PMG"/>
    <s v="BUONO SALVATORE"/>
    <s v="To be Affected"/>
    <s v="To Be Determined"/>
    <n v="623642733.23000002"/>
    <n v="198759201.82000002"/>
    <m/>
    <b v="0"/>
    <n v="402542016.44000006"/>
    <n v="-26306785.200000003"/>
    <n v="234214073.76000002"/>
    <n v="234.21407376000002"/>
    <n v="-35454871.939999998"/>
    <n v="-35454871.939999998"/>
    <n v="198.75920182000002"/>
    <n v="-35.454871939999997"/>
  </r>
  <r>
    <s v="PF87100"/>
    <s v="Yes"/>
    <x v="15"/>
    <s v="Fund"/>
    <s v="On Original Risk List  "/>
    <s v="From Risk - Fund Responsibility - Dublin Funds"/>
    <s v="Allocation Driven Strategies"/>
    <s v="Conservative"/>
    <s v="BAL Multimanagement"/>
    <s v="DUB BAL Multimanagement SDA Fds de Fds"/>
    <s v="AMUNDI.IRL/INV/MAS"/>
    <s v="O'TOOLE JOHN"/>
    <s v="Global - Balanced Global Defensive 20"/>
    <s v="DUB BAL Multimanagement SDA Fds de Fds"/>
    <m/>
    <n v="6970226.1600000001"/>
    <m/>
    <b v="0"/>
    <m/>
    <n v="0"/>
    <n v="6970226.1600000001"/>
    <n v="6.9702261600000002"/>
    <n v="0"/>
    <n v="0"/>
    <n v="6.9702261600000002"/>
    <n v="0"/>
  </r>
  <r>
    <s v="PF87115"/>
    <s v="Yes"/>
    <x v="16"/>
    <s v="Fund"/>
    <s v="On Original Risk List  "/>
    <s v="From Risk - Fund Responsibility - Dublin Funds"/>
    <s v="Allocation Driven Strategies"/>
    <s v="Growth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n v="3927561.09"/>
    <m/>
    <b v="0"/>
    <m/>
    <n v="0"/>
    <n v="3927561.09"/>
    <n v="3.9275610899999998"/>
    <n v="0"/>
    <n v="0"/>
    <n v="3.9275610899999998"/>
    <n v="0"/>
  </r>
  <r>
    <s v="PF92127"/>
    <s v="Yes"/>
    <x v="17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m/>
    <n v="335146857.69"/>
    <m/>
    <b v="0"/>
    <m/>
    <n v="-114988408.88000004"/>
    <n v="473820490.07999998"/>
    <n v="473.82049007999996"/>
    <n v="-138673632.38999999"/>
    <n v="-138673632.38999999"/>
    <n v="335.14685768999999"/>
    <n v="-138.67363238999999"/>
  </r>
  <r>
    <s v="PF95239"/>
    <s v="Yes"/>
    <x v="18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m/>
    <n v="319412485.87"/>
    <m/>
    <b v="0"/>
    <m/>
    <n v="-68314787.599999979"/>
    <n v="408635787.25"/>
    <n v="408.63578725000002"/>
    <n v="-89223301.379999995"/>
    <n v="-89223301.379999995"/>
    <n v="319.41248587000001"/>
    <n v="-89.223301379999995"/>
  </r>
  <r>
    <s v="PF201311"/>
    <s v="Yes"/>
    <x v="19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m/>
    <n v="290323179.13999999"/>
    <m/>
    <b v="0"/>
    <m/>
    <n v="-10126505.439999999"/>
    <n v="297654635.05000001"/>
    <n v="297.65463505000002"/>
    <n v="-7331455.9100000262"/>
    <n v="-7331455.9100000262"/>
    <n v="290.32317913999998"/>
    <n v="-7.3314559100000265"/>
  </r>
  <r>
    <s v="SAXO"/>
    <s v="Yes"/>
    <x v="20"/>
    <s v="Model"/>
    <s v="On Original Risk List  "/>
    <s v="From Risk - Fund Responsibility - Dublin Funds"/>
    <s v="Allocation Driven Strategies"/>
    <s v="Conservative"/>
    <s v="BAL Multimanagement"/>
    <s v="DUB BAL Multimanagement Alt Greenway"/>
    <s v="AMUNDI.IRL/INV/MAS/PMG/PMG"/>
    <s v="Jen"/>
    <s v="To be Affected"/>
    <s v="DUB BAL Multimanagement Alt Greenway"/>
    <m/>
    <n v="192199661.30000001"/>
    <m/>
    <b v="0"/>
    <n v="0"/>
    <n v="-7061169.119999975"/>
    <n v="199260830.41999999"/>
    <n v="199.26083041999999"/>
    <n v="-7061169.119999975"/>
    <n v="-7061169.119999975"/>
    <n v="192.1996613"/>
    <n v="-7.0611691199999749"/>
  </r>
  <r>
    <m/>
    <m/>
    <x v="21"/>
    <m/>
    <m/>
    <m/>
    <m/>
    <m/>
    <m/>
    <m/>
    <m/>
    <m/>
    <m/>
    <m/>
    <m/>
    <m/>
    <m/>
    <m/>
    <m/>
    <m/>
    <m/>
    <m/>
    <m/>
    <m/>
    <m/>
    <m/>
  </r>
  <r>
    <s v="PSUKLD1"/>
    <s v="Yes"/>
    <x v="22"/>
    <s v="Fund"/>
    <s v="On Original Risk List  "/>
    <s v="From Risk - Fund Responsibility - Dublin Funds"/>
    <s v="Allocation Driven Strategies"/>
    <s v="Flexible"/>
    <s v="BAL Multimanagement"/>
    <s v="AMU BAL SDA Fds de Fds (used some absolute limits with Low Rik)"/>
    <s v="AMUNDI.IRL/INV/MAS/PMG/PMG"/>
    <s v="CASEY RICHARD"/>
    <s v="To be Affected"/>
    <s v="DUB BAL Multimanagement SDA Fds de Fds"/>
    <n v="0"/>
    <n v="169200994.27920362"/>
    <m/>
    <b v="0"/>
    <m/>
    <n v="0"/>
    <n v="165771172.4394339"/>
    <n v="165.77117243943391"/>
    <n v="3429821.839769721"/>
    <n v="3429821.839769721"/>
    <n v="169.20099427920363"/>
    <n v="3.4298218397697209"/>
  </r>
  <r>
    <s v="PF79139"/>
    <s v="Yes"/>
    <x v="23"/>
    <s v="Fund"/>
    <s v="On Original Risk List  "/>
    <s v="From Risk - Fund Responsibility - Dublin Funds"/>
    <s v="Outcome Oriented Strategies"/>
    <s v="Risk Accumulation"/>
    <n v="0"/>
    <n v="0"/>
    <s v="AMUNDI.IRL/INV/MAS/PMG/PMG"/>
    <s v="CASEY RICHARD"/>
    <s v="To be Affected"/>
    <s v="DUB EFI Absolute Return Aggregate"/>
    <n v="143903806.97"/>
    <m/>
    <s v="Needs a Macro &amp; Micro Process assigned?"/>
    <b v="0"/>
    <n v="59757669.739999995"/>
    <m/>
    <m/>
    <m/>
    <m/>
    <m/>
    <m/>
    <m/>
  </r>
  <r>
    <s v="PF71664"/>
    <s v="Yes"/>
    <x v="24"/>
    <s v="Fund"/>
    <s v="On Original Risk List  "/>
    <s v="From Risk - Fund Responsibility - Dublin Funds"/>
    <s v="Outcome Oriented Strategies"/>
    <s v="Risk Accumulation"/>
    <s v="EFI Absolute Return"/>
    <s v="DUB EFI Absolute Return Aggregate"/>
    <s v="AMUNDI.IRL/INV/MAS/PMG/PMG"/>
    <s v="CASEY RICHARD"/>
    <s v="To be Affected"/>
    <s v="DUB EFI Absolute Return Aggregate"/>
    <n v="493754015.27999997"/>
    <m/>
    <m/>
    <b v="0"/>
    <n v="493807009.17000002"/>
    <m/>
    <m/>
    <m/>
    <m/>
    <m/>
    <m/>
    <m/>
  </r>
  <r>
    <s v="PF76580"/>
    <s v="Yes"/>
    <x v="25"/>
    <s v="Fund"/>
    <s v="On Original Risk List  "/>
    <s v="From Risk - Fund Responsibility - Dublin Funds"/>
    <s v="Outcome Oriented Strategies"/>
    <s v="Risk Accumulation"/>
    <s v="EFI Absolute Return"/>
    <s v="DUB EFI Absolute Return Aggregate"/>
    <s v="AMUNDI.IRL/INV/MAS/PMG/PMG"/>
    <s v="CASEY RICHARD"/>
    <s v="To be Affected"/>
    <s v="DUB EFI Absolute Return Aggregate"/>
    <n v="291181937.61000001"/>
    <m/>
    <m/>
    <b v="0"/>
    <n v="290503113.68999994"/>
    <m/>
    <m/>
    <m/>
    <m/>
    <m/>
    <m/>
    <m/>
  </r>
  <r>
    <s v="PF88300"/>
    <s v="Yes"/>
    <x v="26"/>
    <s v="Fund"/>
    <s v="On Original Risk List  "/>
    <s v="From Risk - Fund Responsibility - Dublin Funds"/>
    <s v="Outcome Oriented Strategies"/>
    <s v="Risk Accumulation"/>
    <s v="EFI Absolute Return"/>
    <m/>
    <s v="AMUNDI.IRL/INV/MAS/PMG/PMG"/>
    <s v="CASEY RICHARD"/>
    <s v="To be Affected"/>
    <s v="DUB EFI Absolute Return Aggregate"/>
    <n v="0"/>
    <n v="451980230.57999998"/>
    <m/>
    <b v="0"/>
    <m/>
    <n v="-75897228.409999982"/>
    <n v="555495066.75999999"/>
    <n v="555.49506675999999"/>
    <n v="-103514836.18000001"/>
    <n v="-103514836.18000001"/>
    <n v="451.98023058000001"/>
    <n v="-103.51483618"/>
  </r>
  <r>
    <s v="PF89408"/>
    <s v="Yes"/>
    <x v="27"/>
    <s v="Fund"/>
    <s v="On Original Risk List  "/>
    <s v="From Risk - Fund Responsibility - Dublin Funds"/>
    <s v="Outcome Oriented Strategies"/>
    <s v="Risk Accumulation"/>
    <s v="EFI Absolute Return"/>
    <m/>
    <s v="AMUNDI.IRL/INV/MAS/PMG/PMG"/>
    <s v="CASEY RICHARD"/>
    <s v="To be Affected"/>
    <s v="DUB EFI Absolute Return Aggregate"/>
    <n v="0"/>
    <n v="277938223.63"/>
    <m/>
    <b v="0"/>
    <m/>
    <n v="-47534278.330000006"/>
    <n v="341822371.30000001"/>
    <n v="341.82237129999999"/>
    <n v="-63884147.670000017"/>
    <n v="-63884147.670000017"/>
    <n v="277.93822362999998"/>
    <n v="-63.884147670000019"/>
  </r>
  <r>
    <s v="E224"/>
    <s v="Yes"/>
    <x v="28"/>
    <s v="Fund"/>
    <s v="On Original Risk List  "/>
    <s v="From Risk - Fund Responsibility - Dublin Funds"/>
    <s v="Service Fund"/>
    <s v="Income"/>
    <s v="TBD"/>
    <s v="Agreed a light touch with VaR and Leverage limits"/>
    <s v="AMUNDI.IRL/INV/MAS/PMG/PMG"/>
    <s v="CASEY RICHARD"/>
    <s v="To be Affected"/>
    <s v="To Be Determined"/>
    <n v="336518902.05000001"/>
    <n v="59556669.140000001"/>
    <m/>
    <b v="0"/>
    <n v="367376593.58999997"/>
    <n v="-6138586.8300000001"/>
    <n v="74824881.549999997"/>
    <n v="74.824881550000001"/>
    <n v="-15268212.409999996"/>
    <n v="-15268212.409999996"/>
    <n v="59.556669140000004"/>
    <n v="-15.268212409999997"/>
  </r>
  <r>
    <s v="E208"/>
    <s v="Yes"/>
    <x v="29"/>
    <s v="Fund"/>
    <s v="On Original Risk List  "/>
    <s v="From Risk - Fund Responsibility - Dublin Funds"/>
    <s v="Service Fund"/>
    <s v="Bond"/>
    <s v="TBD"/>
    <s v="Agreed a light touch with VaR and Leverage limits"/>
    <s v="AMUNDI.IRL/INV/MAS/PMG/PMG"/>
    <s v="PAQUOT BERTRAND"/>
    <s v="To be Affected"/>
    <s v="To Be Determined"/>
    <n v="199913822.47999999"/>
    <n v="74247835.579999998"/>
    <m/>
    <b v="0"/>
    <n v="450365694.73000002"/>
    <n v="-2977460.7300000018"/>
    <n v="77232789.670000002"/>
    <n v="77.232789670000003"/>
    <n v="-2984954.0900000036"/>
    <n v="-2984954.0900000036"/>
    <n v="74.24783558"/>
    <n v="-2.9849540900000036"/>
  </r>
  <r>
    <s v="ULECSTARS"/>
    <s v="Yes"/>
    <x v="30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1901251614"/>
    <m/>
    <b v="0"/>
    <m/>
    <n v="-32352755.369999997"/>
    <n v="1877332566"/>
    <n v="1877.332566"/>
    <n v="23919048"/>
    <n v="23919048"/>
    <n v="1901.251614"/>
    <n v="23.919048"/>
  </r>
  <r>
    <s v="F100123"/>
    <s v="Yes"/>
    <x v="31"/>
    <s v="Fund"/>
    <s v="On Original Risk List  "/>
    <s v="From Risk - Fund Responsibility - Dublin Funds"/>
    <s v="Allocation Driven Strategies"/>
    <s v="Equity"/>
    <s v="TBD"/>
    <m/>
    <s v="AMUNDI.IRL/INV/MAS/PMG/PMG"/>
    <s v="NICHOLAS POTHIER"/>
    <s v="To be Affected"/>
    <s v="To Be Determined"/>
    <m/>
    <n v="66105969.392638035"/>
    <m/>
    <b v="0"/>
    <m/>
    <n v="-14474433.773006134"/>
    <n v="80580403.165644169"/>
    <n v="80.580403165644171"/>
    <n v="-14474433.773006134"/>
    <n v="-14474433.773006134"/>
    <n v="66.105969392638031"/>
    <n v="-14.474433773006133"/>
  </r>
  <r>
    <s v="UDM6"/>
    <s v="Yes"/>
    <x v="32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1100006489"/>
    <m/>
    <b v="0"/>
    <m/>
    <n v="1008111.8999999951"/>
    <n v="1020119648"/>
    <n v="1020.119648"/>
    <n v="79886841"/>
    <n v="79886841"/>
    <n v="1100.0064890000001"/>
    <n v="79.886841000000004"/>
  </r>
  <r>
    <s v="UDM7"/>
    <s v="Yes"/>
    <x v="33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46360523"/>
    <m/>
    <b v="0"/>
    <m/>
    <n v="-74993.419999999984"/>
    <n v="49761394"/>
    <n v="49.761394000000003"/>
    <n v="-3400871"/>
    <n v="-3400871"/>
    <n v="46.360523000000001"/>
    <n v="-3.400871"/>
  </r>
  <r>
    <s v="UDM9"/>
    <s v="Yes"/>
    <x v="34"/>
    <s v="Model"/>
    <s v="On Original Risk List  "/>
    <s v="From Risk - Fund Responsibility - Dublin Funds"/>
    <s v="Allocation Driven Strategies"/>
    <s v="Equity"/>
    <s v="TBD"/>
    <m/>
    <s v="AMUNDI.IRL/INV/MAS/PMG/PMG"/>
    <s v="PAQUOT BERTRAND"/>
    <s v="To be Affected"/>
    <s v="To Be Determined"/>
    <m/>
    <n v="173792904"/>
    <m/>
    <b v="0"/>
    <m/>
    <n v="-4429190.5399999972"/>
    <n v="173466024"/>
    <n v="173.466024"/>
    <n v="326880"/>
    <n v="326880"/>
    <n v="173.79290399999999"/>
    <n v="0.32688"/>
  </r>
  <r>
    <s v="E207"/>
    <s v="Yes"/>
    <x v="35"/>
    <s v="Fund"/>
    <s v="On Original Risk List  "/>
    <s v="From Risk - Fund Responsibility - Dublin Funds"/>
    <s v="Service Fund"/>
    <s v="Equity"/>
    <s v="TBD"/>
    <s v="Agreed a light touch with VaR and Leverage limits"/>
    <s v="AMUNDI.IRL/INV/MAS/PMG/PMG"/>
    <s v="PAQUOT BERTRAND"/>
    <s v="To be Affected"/>
    <s v="To Be Determined"/>
    <n v="103113709.33"/>
    <n v="53160977.919999994"/>
    <m/>
    <b v="0"/>
    <n v="316671363.03000009"/>
    <n v="-446651.58000000013"/>
    <n v="56764604.780000001"/>
    <n v="56.764604779999999"/>
    <n v="-3603626.8600000069"/>
    <n v="-3603626.8600000069"/>
    <n v="53.160977919999993"/>
    <n v="-3.603626860000007"/>
  </r>
  <r>
    <s v="E193"/>
    <s v="Yes"/>
    <x v="36"/>
    <s v="Fund"/>
    <s v="Added by Ronan"/>
    <s v="From Risk - Fund Responsibility - Dublin Funds"/>
    <s v="Outcome Oriented Strategies"/>
    <s v="Income"/>
    <s v="BAL Multimanagement"/>
    <s v="AMU BAL SDA Fds de Fds (used absolute limits mixed medium/High risk)"/>
    <m/>
    <m/>
    <m/>
    <m/>
    <m/>
    <n v="136428638.49000001"/>
    <m/>
    <b v="0"/>
    <n v="294308339.36000001"/>
    <n v="-4867464.6900000013"/>
    <n v="137814615.19000003"/>
    <n v="137.81461519000004"/>
    <n v="-1385976.7000000179"/>
    <n v="-1385976.7000000179"/>
    <n v="136.42863849"/>
    <n v="-1.3859767000000178"/>
  </r>
  <r>
    <s v="1PM"/>
    <s v="Yes"/>
    <x v="37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32885137.42170599"/>
    <n v="286172410"/>
    <m/>
    <b v="0"/>
    <m/>
    <n v="-8096631.620000002"/>
    <n v="276712413"/>
    <n v="276.71241300000003"/>
    <n v="9459997"/>
    <n v="9459997"/>
    <n v="286.17241000000001"/>
    <n v="9.4599969999999995"/>
  </r>
  <r>
    <s v="1QM"/>
    <s v="Yes"/>
    <x v="38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75215585.57200199"/>
    <n v="44621309"/>
    <m/>
    <b v="0"/>
    <m/>
    <n v="-915885.27000000014"/>
    <n v="44663645"/>
    <n v="44.663645000000002"/>
    <n v="-42336"/>
    <n v="-42336"/>
    <n v="44.621308999999997"/>
    <n v="-4.2335999999999999E-2"/>
  </r>
  <r>
    <s v="1RM"/>
    <s v="Yes"/>
    <x v="39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0066014.82525399"/>
    <n v="29605967"/>
    <m/>
    <b v="0"/>
    <m/>
    <n v="-567692.13"/>
    <n v="29944309"/>
    <n v="29.944309000000001"/>
    <n v="-338342"/>
    <n v="-338342"/>
    <n v="29.605967"/>
    <n v="-0.33834199999999998"/>
  </r>
  <r>
    <s v="R1M"/>
    <s v="Yes"/>
    <x v="40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55352140.60327399"/>
    <n v="20379176"/>
    <m/>
    <b v="0"/>
    <m/>
    <n v="-444459.29000000004"/>
    <n v="20364888"/>
    <n v="20.364888000000001"/>
    <n v="14288"/>
    <n v="14288"/>
    <n v="20.379176000000001"/>
    <n v="1.4288E-2"/>
  </r>
  <r>
    <s v="CCRESCITA"/>
    <s v="Yes"/>
    <x v="41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44033874.81555301"/>
    <n v="1259071"/>
    <m/>
    <b v="0"/>
    <m/>
    <n v="-19473.099999999995"/>
    <n v="1226192"/>
    <n v="1.2261919999999999"/>
    <n v="32879"/>
    <n v="32879"/>
    <n v="1.2590710000000001"/>
    <n v="3.2878999999999999E-2"/>
  </r>
  <r>
    <s v="CMEDIUM"/>
    <s v="Yes"/>
    <x v="42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64099154.06433299"/>
    <n v="221348"/>
    <m/>
    <b v="0"/>
    <m/>
    <m/>
    <n v="215898"/>
    <n v="0.21589800000000001"/>
    <n v="5450"/>
    <n v="5450"/>
    <n v="0.22134799999999999"/>
    <n v="5.45E-3"/>
  </r>
  <r>
    <s v="COBBLEURO"/>
    <s v="Yes"/>
    <x v="43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1327249.913721"/>
    <n v="2649"/>
    <m/>
    <b v="0"/>
    <m/>
    <m/>
    <n v="2649"/>
    <n v="2.6489999999999999E-3"/>
    <n v="0"/>
    <n v="0"/>
    <n v="2.6489999999999999E-3"/>
    <n v="0"/>
  </r>
  <r>
    <s v="CREDDITO"/>
    <s v="Yes"/>
    <x v="44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8785755.166821"/>
    <n v="83275"/>
    <m/>
    <b v="0"/>
    <m/>
    <m/>
    <n v="82952"/>
    <n v="8.2951999999999998E-2"/>
    <n v="323"/>
    <n v="323"/>
    <n v="8.3275000000000002E-2"/>
    <n v="3.2299999999999999E-4"/>
  </r>
  <r>
    <s v="STEPONE"/>
    <s v="Yes"/>
    <x v="45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22766479.464708"/>
    <n v="78465"/>
    <m/>
    <b v="0"/>
    <m/>
    <m/>
    <n v="77392"/>
    <n v="7.7392000000000002E-2"/>
    <n v="1073"/>
    <n v="1073"/>
    <n v="7.8464999999999993E-2"/>
    <n v="1.073E-3"/>
  </r>
  <r>
    <s v="CSVILUPPO"/>
    <s v="Yes"/>
    <x v="46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20197773.695786"/>
    <n v="33771"/>
    <m/>
    <b v="0"/>
    <m/>
    <m/>
    <n v="33771"/>
    <n v="3.3771000000000002E-2"/>
    <n v="0"/>
    <n v="0"/>
    <n v="3.3771000000000002E-2"/>
    <n v="0"/>
  </r>
  <r>
    <s v="CTREND_20"/>
    <s v="Yes"/>
    <x v="47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26520197.485156"/>
    <n v="23564"/>
    <m/>
    <b v="0"/>
    <m/>
    <m/>
    <n v="23564"/>
    <n v="2.3564000000000002E-2"/>
    <n v="0"/>
    <n v="0"/>
    <n v="2.3564000000000002E-2"/>
    <n v="0"/>
  </r>
  <r>
    <s v="MLIFEBND"/>
    <s v="Yes"/>
    <x v="48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6344307.007341"/>
    <n v="86278219"/>
    <m/>
    <b v="0"/>
    <m/>
    <n v="-4047481.4800000009"/>
    <n v="89492990"/>
    <n v="89.492990000000006"/>
    <n v="-3214771"/>
    <n v="-3214771"/>
    <n v="86.278219000000007"/>
    <n v="-3.2147709999999998"/>
  </r>
  <r>
    <s v="MLPFLEX"/>
    <s v="Yes"/>
    <x v="49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23139636.995855"/>
    <n v="24819922"/>
    <m/>
    <b v="0"/>
    <m/>
    <n v="-916591.71999999974"/>
    <n v="25631869"/>
    <n v="25.631868999999998"/>
    <n v="-811947"/>
    <n v="-811947"/>
    <n v="24.819921999999998"/>
    <n v="-0.81194699999999997"/>
  </r>
  <r>
    <s v="PP1-3Y"/>
    <s v="Yes"/>
    <x v="50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21277565.483007"/>
    <n v="87573063"/>
    <m/>
    <b v="0"/>
    <m/>
    <n v="-4628998.620000001"/>
    <n v="91452737"/>
    <n v="91.452736999999999"/>
    <n v="-3879674"/>
    <n v="-3879674"/>
    <n v="87.573063000000005"/>
    <n v="-3.8796740000000001"/>
  </r>
  <r>
    <s v="PLIC"/>
    <s v="Yes"/>
    <x v="51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203127455.50508699"/>
    <n v="33652386"/>
    <m/>
    <b v="0"/>
    <m/>
    <n v="-373108.55999999994"/>
    <n v="33951455"/>
    <n v="33.951455000000003"/>
    <n v="-299069"/>
    <n v="-299069"/>
    <n v="33.652386"/>
    <n v="-0.29906899999999997"/>
  </r>
  <r>
    <s v="ULBIL"/>
    <s v="Yes"/>
    <x v="52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71772844.79818401"/>
    <n v="10517233"/>
    <m/>
    <b v="0"/>
    <m/>
    <n v="-614112.52"/>
    <n v="11114645"/>
    <n v="11.114644999999999"/>
    <n v="-597412"/>
    <n v="-597412"/>
    <n v="10.517232999999999"/>
    <n v="-0.59741200000000005"/>
  </r>
  <r>
    <s v="ULBILPIU"/>
    <s v="Yes"/>
    <x v="53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73815813.46287501"/>
    <n v="17251250"/>
    <m/>
    <b v="0"/>
    <m/>
    <n v="-514722.49999999988"/>
    <n v="17726631"/>
    <n v="17.726631000000001"/>
    <n v="-475381"/>
    <n v="-475381"/>
    <n v="17.251249999999999"/>
    <n v="-0.475381"/>
  </r>
  <r>
    <s v="ULDIN"/>
    <s v="Yes"/>
    <x v="54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78110589.65588099"/>
    <n v="18063937"/>
    <m/>
    <b v="0"/>
    <m/>
    <n v="-905874.80999999994"/>
    <n v="19013976"/>
    <n v="19.013976"/>
    <n v="-950039"/>
    <n v="-950039"/>
    <n v="18.063936999999999"/>
    <n v="-0.95003899999999997"/>
  </r>
  <r>
    <s v="ULP"/>
    <s v="Yes"/>
    <x v="55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60292239.99039599"/>
    <n v="12030736"/>
    <m/>
    <b v="0"/>
    <m/>
    <n v="-668763.87000000011"/>
    <n v="12689996"/>
    <n v="12.689996000000001"/>
    <n v="-659260"/>
    <n v="-659260"/>
    <n v="12.030735999999999"/>
    <n v="-0.65925999999999996"/>
  </r>
  <r>
    <s v="ULPRUD"/>
    <s v="Yes"/>
    <x v="56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70166928.79846799"/>
    <n v="15554245"/>
    <m/>
    <b v="0"/>
    <m/>
    <n v="-673150.85"/>
    <n v="16167560"/>
    <n v="16.167560000000002"/>
    <n v="-613315"/>
    <n v="-613315"/>
    <n v="15.554245"/>
    <n v="-0.61331500000000005"/>
  </r>
  <r>
    <s v="DINAR1TF"/>
    <s v="Yes"/>
    <x v="57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43350273.71078199"/>
    <n v="1363503"/>
    <m/>
    <b v="0"/>
    <m/>
    <n v="-8576.35"/>
    <n v="1364632"/>
    <n v="1.3646320000000001"/>
    <n v="-1129"/>
    <n v="-1129"/>
    <n v="1.3635029999999999"/>
    <n v="-1.129E-3"/>
  </r>
  <r>
    <s v="DINAR2TF"/>
    <s v="Yes"/>
    <x v="58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52499167.475393"/>
    <n v="26945800"/>
    <m/>
    <b v="0"/>
    <m/>
    <n v="-155507.10000000009"/>
    <n v="26955727"/>
    <n v="26.955727"/>
    <n v="-9927"/>
    <n v="-9927"/>
    <n v="26.945799999999998"/>
    <n v="-9.9270000000000001E-3"/>
  </r>
  <r>
    <s v="DINAR3TF"/>
    <s v="Yes"/>
    <x v="59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57395061.84757999"/>
    <n v="795570"/>
    <m/>
    <b v="0"/>
    <m/>
    <n v="-3761.6500000000005"/>
    <n v="794524"/>
    <n v="0.79452400000000001"/>
    <n v="1046"/>
    <n v="1046"/>
    <n v="0.79557"/>
    <n v="1.0460000000000001E-3"/>
  </r>
  <r>
    <s v="MATRUNIP"/>
    <s v="Yes"/>
    <x v="60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23986749.370975"/>
    <n v="12280450"/>
    <m/>
    <b v="0"/>
    <m/>
    <n v="-644373.75999999989"/>
    <n v="12897265"/>
    <n v="12.897265000000001"/>
    <n v="-616815"/>
    <n v="-616815"/>
    <n v="12.28045"/>
    <n v="-0.616815"/>
  </r>
  <r>
    <s v="MUNIP"/>
    <s v="Yes"/>
    <x v="61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62393071.78226301"/>
    <n v="255343"/>
    <m/>
    <b v="0"/>
    <m/>
    <n v="-17807.07"/>
    <n v="272765"/>
    <n v="0.27276499999999998"/>
    <n v="-17422"/>
    <n v="-17422"/>
    <n v="0.25534299999999999"/>
    <n v="-1.7422E-2"/>
  </r>
  <r>
    <s v="MEPF2N"/>
    <s v="Yes"/>
    <x v="62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6117570.69861901"/>
    <n v="7616069"/>
    <m/>
    <b v="0"/>
    <m/>
    <n v="-350635.67999999988"/>
    <n v="7920799"/>
    <n v="7.9207989999999997"/>
    <n v="-304730"/>
    <n v="-304730"/>
    <n v="7.6160690000000004"/>
    <n v="-0.30473"/>
  </r>
  <r>
    <s v="MEPF5"/>
    <s v="Yes"/>
    <x v="63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66141402.92062801"/>
    <n v="72484395"/>
    <m/>
    <b v="0"/>
    <m/>
    <n v="-1379157.7200000009"/>
    <n v="73864832"/>
    <n v="73.864832000000007"/>
    <n v="-1380437"/>
    <n v="-1380437"/>
    <n v="72.484395000000006"/>
    <n v="-1.3804369999999999"/>
  </r>
  <r>
    <s v="MEPF6"/>
    <s v="Yes"/>
    <x v="64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158113575.86113399"/>
    <n v="64408792"/>
    <m/>
    <b v="0"/>
    <m/>
    <n v="-1481691.5300000005"/>
    <n v="65910670"/>
    <n v="65.910669999999996"/>
    <n v="-1501878"/>
    <n v="-1501878"/>
    <n v="64.408792000000005"/>
    <n v="-1.501878"/>
  </r>
  <r>
    <s v="MEPF8"/>
    <s v="Yes"/>
    <x v="65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44184151.890834"/>
    <n v="128787502"/>
    <m/>
    <b v="0"/>
    <m/>
    <n v="-2446438.419999999"/>
    <n v="132733973"/>
    <n v="132.73397299999999"/>
    <n v="-3946471"/>
    <n v="-3946471"/>
    <n v="128.78750199999999"/>
    <n v="-3.9464709999999998"/>
  </r>
  <r>
    <s v="ULG4NEW"/>
    <s v="Yes"/>
    <x v="66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96970719.92772499"/>
    <n v="411051"/>
    <m/>
    <b v="0"/>
    <m/>
    <n v="-681.71"/>
    <n v="406916"/>
    <n v="0.406916"/>
    <n v="4135"/>
    <n v="4135"/>
    <n v="0.411051"/>
    <n v="4.1349999999999998E-3"/>
  </r>
  <r>
    <s v="MEPF10"/>
    <s v="Yes"/>
    <x v="67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1639044963.34446"/>
    <n v="395535"/>
    <m/>
    <b v="0"/>
    <m/>
    <n v="-1323.0099999999998"/>
    <n v="393174"/>
    <n v="0.39317400000000002"/>
    <n v="2361"/>
    <n v="2361"/>
    <n v="0.39553500000000003"/>
    <n v="2.3609999999999998E-3"/>
  </r>
  <r>
    <s v="MEPF4"/>
    <s v="Yes"/>
    <x v="68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9879073.65219"/>
    <n v="1067361"/>
    <m/>
    <b v="0"/>
    <m/>
    <n v="-182908.58999999997"/>
    <n v="1249574"/>
    <n v="1.249574"/>
    <n v="-182213"/>
    <n v="-182213"/>
    <n v="1.067361"/>
    <n v="-0.18221300000000001"/>
  </r>
  <r>
    <s v="UES20"/>
    <s v="Yes"/>
    <x v="69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17530297.356382"/>
    <n v="23044548"/>
    <m/>
    <b v="0"/>
    <m/>
    <n v="-1652714.3599999989"/>
    <n v="24509694"/>
    <n v="24.509694"/>
    <n v="-1465146"/>
    <n v="-1465146"/>
    <n v="23.044547999999999"/>
    <n v="-1.4651460000000001"/>
  </r>
  <r>
    <s v="UES30"/>
    <s v="Yes"/>
    <x v="70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18165044.484503"/>
    <n v="234658014"/>
    <m/>
    <b v="0"/>
    <m/>
    <n v="-17940993.880000018"/>
    <n v="250680875"/>
    <n v="250.68087499999999"/>
    <n v="-16022861"/>
    <n v="-16022861"/>
    <n v="234.65801400000001"/>
    <n v="-16.022860999999999"/>
  </r>
  <r>
    <s v="UES40"/>
    <s v="Yes"/>
    <x v="71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32504447.23408601"/>
    <n v="17723615"/>
    <m/>
    <b v="0"/>
    <m/>
    <n v="-1681571.7899999993"/>
    <n v="19212387"/>
    <n v="19.212387"/>
    <n v="-1488772"/>
    <n v="-1488772"/>
    <n v="17.723614999999999"/>
    <n v="-1.488772"/>
  </r>
  <r>
    <s v="UES70"/>
    <s v="Yes"/>
    <x v="72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55309118.75409299"/>
    <n v="328851184"/>
    <m/>
    <b v="0"/>
    <m/>
    <n v="-40659051.159999982"/>
    <n v="366473118"/>
    <n v="366.473118"/>
    <n v="-37621934"/>
    <n v="-37621934"/>
    <n v="328.85118399999999"/>
    <n v="-37.621934000000003"/>
  </r>
  <r>
    <s v="UES50"/>
    <s v="Yes"/>
    <x v="73"/>
    <s v="Model"/>
    <s v="On Original Risk List  "/>
    <s v="From Risk - Fund Responsibility - Model Portfolios"/>
    <s v="Allocation Driven Strategies"/>
    <s v="Flexible"/>
    <m/>
    <m/>
    <s v="AMUNDI.IRL/INV/MAS/PMG"/>
    <s v="BUONO SALVATORE"/>
    <s v="To be Affected"/>
    <m/>
    <n v="142608981.84143099"/>
    <n v="550852602"/>
    <m/>
    <b v="0"/>
    <m/>
    <n v="-66777686.989999987"/>
    <n v="613264658"/>
    <n v="613.26465800000005"/>
    <n v="-62412056"/>
    <n v="-62412056"/>
    <n v="550.85260200000005"/>
    <n v="-62.412056"/>
  </r>
  <r>
    <s v="PP3Y"/>
    <s v="Yes"/>
    <x v="74"/>
    <s v="Model"/>
    <s v="On Original Risk List  "/>
    <s v="From Risk - Fund Responsibility - Model Portfolios"/>
    <s v="Allocation Driven Strategies"/>
    <s v="Conservative"/>
    <m/>
    <m/>
    <s v="AMUNDI.IRL/INV/MAS/PMG/PMG"/>
    <s v="CASEY RICHARD"/>
    <s v="To be Affected"/>
    <m/>
    <n v="173624542.66213301"/>
    <n v="122521317"/>
    <m/>
    <b v="0"/>
    <m/>
    <n v="-188585.52999999974"/>
    <n v="121839302"/>
    <n v="121.839302"/>
    <n v="682015"/>
    <n v="682015"/>
    <n v="122.521317"/>
    <n v="0.68201500000000004"/>
  </r>
  <r>
    <s v="MAL"/>
    <s v="Yes"/>
    <x v="75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123064.31436101"/>
    <n v="142698"/>
    <m/>
    <b v="0"/>
    <m/>
    <n v="-1625.16"/>
    <n v="143073"/>
    <n v="0.14307300000000001"/>
    <n v="-375"/>
    <n v="-375"/>
    <n v="0.14269799999999999"/>
    <n v="-3.7500000000000001E-4"/>
  </r>
  <r>
    <s v="MAF"/>
    <s v="Yes"/>
    <x v="76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5431829.81326699"/>
    <n v="87215"/>
    <m/>
    <b v="0"/>
    <m/>
    <n v="-1505.89"/>
    <n v="87979"/>
    <n v="8.7979000000000002E-2"/>
    <n v="-764"/>
    <n v="-764"/>
    <n v="8.7215000000000001E-2"/>
    <n v="-7.6400000000000003E-4"/>
  </r>
  <r>
    <s v="MAB"/>
    <s v="Yes"/>
    <x v="77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257809.171958"/>
    <n v="4871246"/>
    <m/>
    <b v="0"/>
    <m/>
    <n v="-70599.200000000041"/>
    <n v="4891405"/>
    <n v="4.8914049999999998"/>
    <n v="-20159"/>
    <n v="-20159"/>
    <n v="4.8712460000000002"/>
    <n v="-2.0159E-2"/>
  </r>
  <r>
    <s v="MAD"/>
    <s v="Yes"/>
    <x v="78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6304444.90159"/>
    <n v="341235"/>
    <m/>
    <b v="0"/>
    <m/>
    <n v="-2087.83"/>
    <n v="340831"/>
    <n v="0.340831"/>
    <n v="404"/>
    <n v="404"/>
    <n v="0.34123500000000001"/>
    <n v="4.0400000000000001E-4"/>
  </r>
  <r>
    <s v="MAC"/>
    <s v="Yes"/>
    <x v="79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5816999.138579"/>
    <n v="187778"/>
    <m/>
    <b v="0"/>
    <m/>
    <n v="-1740.22"/>
    <n v="187915"/>
    <n v="0.187915"/>
    <n v="-137"/>
    <n v="-137"/>
    <n v="0.187778"/>
    <n v="-1.37E-4"/>
  </r>
  <r>
    <s v="MAH"/>
    <s v="Yes"/>
    <x v="80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7971611.001837"/>
    <n v="634676"/>
    <m/>
    <b v="0"/>
    <m/>
    <n v="-2758.01"/>
    <n v="631685"/>
    <n v="0.63168500000000005"/>
    <n v="2991"/>
    <n v="2991"/>
    <n v="0.63467600000000002"/>
    <n v="2.9910000000000002E-3"/>
  </r>
  <r>
    <s v="MAG"/>
    <s v="Yes"/>
    <x v="81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6807681.44795699"/>
    <n v="134904"/>
    <m/>
    <b v="0"/>
    <m/>
    <n v="-1605.7"/>
    <n v="135227"/>
    <n v="0.13522700000000001"/>
    <n v="-323"/>
    <n v="-323"/>
    <n v="0.134904"/>
    <n v="-3.2299999999999999E-4"/>
  </r>
  <r>
    <s v="MAE"/>
    <s v="Yes"/>
    <x v="82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5199855.064237"/>
    <n v="154948"/>
    <m/>
    <b v="0"/>
    <m/>
    <n v="-1644.49"/>
    <n v="155214"/>
    <n v="0.15521399999999999"/>
    <n v="-266"/>
    <n v="-266"/>
    <n v="0.154948"/>
    <n v="-2.6600000000000001E-4"/>
  </r>
  <r>
    <s v="MAA"/>
    <s v="Yes"/>
    <x v="83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11570275.28652801"/>
    <n v="279016"/>
    <m/>
    <b v="0"/>
    <m/>
    <n v="-1958.1100000000001"/>
    <n v="278072"/>
    <n v="0.27807199999999999"/>
    <n v="944"/>
    <n v="944"/>
    <n v="0.27901599999999999"/>
    <n v="9.4399999999999996E-4"/>
  </r>
  <r>
    <s v="MAN"/>
    <s v="Yes"/>
    <x v="84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11414919.584572"/>
    <n v="28074"/>
    <m/>
    <b v="0"/>
    <m/>
    <n v="-1209.0000000000002"/>
    <n v="29020"/>
    <n v="2.9020000000000001E-2"/>
    <n v="-946"/>
    <n v="-946"/>
    <n v="2.8074000000000002E-2"/>
    <n v="-9.4600000000000001E-4"/>
  </r>
  <r>
    <s v="MAM"/>
    <s v="Yes"/>
    <x v="85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977985.737858"/>
    <n v="16557"/>
    <m/>
    <b v="0"/>
    <m/>
    <n v="-579.68999999999983"/>
    <n v="16991"/>
    <n v="1.6990999999999999E-2"/>
    <n v="-434"/>
    <n v="-434"/>
    <n v="1.6556999999999999E-2"/>
    <n v="-4.3399999999999998E-4"/>
  </r>
  <r>
    <s v="CNPTHEMPROT"/>
    <s v="Yes"/>
    <x v="86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195364106"/>
    <m/>
    <m/>
    <m/>
    <n v="-10521304.209999999"/>
    <n v="201751089"/>
    <n v="201.75108900000001"/>
    <n v="-6386983"/>
    <n v="-6386983"/>
    <n v="195.36410599999999"/>
    <n v="-6.3869829999999999"/>
  </r>
  <r>
    <s v="CRVTHEMPROT"/>
    <s v="Yes"/>
    <x v="87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307505809"/>
    <m/>
    <m/>
    <m/>
    <n v="-11494400.819999998"/>
    <n v="312423908"/>
    <n v="312.42390799999998"/>
    <n v="-4918099"/>
    <n v="-4918099"/>
    <n v="307.505809"/>
    <n v="-4.9180989999999998"/>
  </r>
  <r>
    <s v="CNPDYNPR80"/>
    <s v="Yes"/>
    <x v="88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n v="111167018.79302099"/>
    <n v="116832547"/>
    <m/>
    <b v="0"/>
    <m/>
    <n v="-16088829.240000004"/>
    <n v="132260888"/>
    <n v="132.26088799999999"/>
    <n v="-15428341"/>
    <n v="-15428341"/>
    <n v="116.83254700000001"/>
    <n v="-15.428341"/>
  </r>
  <r>
    <s v="CRVDYNPR80"/>
    <s v="Yes"/>
    <x v="89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n v="110734811.618277"/>
    <n v="279293562"/>
    <m/>
    <b v="0"/>
    <m/>
    <n v="-25728394.100000024"/>
    <n v="303707882"/>
    <n v="303.70788199999998"/>
    <n v="-24414320"/>
    <n v="-24414320"/>
    <n v="279.29356200000001"/>
    <n v="-24.41432"/>
  </r>
  <r>
    <s v="CNPPROT80"/>
    <s v="Yes"/>
    <x v="90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96897819"/>
    <m/>
    <b v="0"/>
    <m/>
    <n v="367906.5400000001"/>
    <n v="92942418"/>
    <n v="92.942418000000004"/>
    <n v="3955401"/>
    <n v="3955401"/>
    <n v="96.897818999999998"/>
    <n v="3.9554010000000002"/>
  </r>
  <r>
    <s v="CRVPROT80"/>
    <s v="Yes"/>
    <x v="91"/>
    <s v="Model"/>
    <s v="On Original Risk List  "/>
    <s v="From Risk - Fund Responsibility - Model Portfolios"/>
    <s v="Outcome Oriented Strategies"/>
    <s v="Capital Guaranteed"/>
    <m/>
    <m/>
    <s v="AMUNDI.IRL/INV/MAS/PMG"/>
    <s v="BUONO SALVATORE"/>
    <s v="To be Affected"/>
    <m/>
    <m/>
    <n v="106822030"/>
    <m/>
    <b v="0"/>
    <m/>
    <n v="1020637.6299999998"/>
    <n v="101671056"/>
    <n v="101.67105599999999"/>
    <n v="5150974"/>
    <n v="5150974"/>
    <n v="106.82203"/>
    <n v="5.1509739999999997"/>
  </r>
  <r>
    <s v="MLINC"/>
    <s v="Yes"/>
    <x v="92"/>
    <s v="Model"/>
    <s v="On Original Risk List  "/>
    <s v="From Risk - Fund Responsibility - Model Portfolios"/>
    <s v="Outcome Oriented Strategies"/>
    <s v="Income"/>
    <m/>
    <m/>
    <s v="AMUNDI.IRL/INV/MAS/PMG"/>
    <s v="BUONO SALVATORE"/>
    <s v="To be Affected"/>
    <m/>
    <n v="123428954.947797"/>
    <n v="215406941"/>
    <m/>
    <b v="0"/>
    <m/>
    <n v="-15247022.630000001"/>
    <n v="230490457"/>
    <n v="230.49045699999999"/>
    <n v="-15083516"/>
    <n v="-15083516"/>
    <n v="215.40694099999999"/>
    <n v="-15.083515999999999"/>
  </r>
  <r>
    <s v="MULLI360"/>
    <s v="Yes"/>
    <x v="93"/>
    <s v="Model"/>
    <s v="On Original Risk List  "/>
    <s v="From Risk - Fund Responsibility - Model Portfolios"/>
    <s v="Outcome Oriented Strategies"/>
    <s v="Income"/>
    <m/>
    <m/>
    <s v="AMUNDI.IRL/INV/MAS/PMG"/>
    <s v="BUONO SALVATORE"/>
    <s v="To be Affected"/>
    <m/>
    <n v="121179752.07127599"/>
    <n v="154991340"/>
    <m/>
    <b v="0"/>
    <m/>
    <n v="-14572498.070000004"/>
    <n v="170018725"/>
    <n v="170.01872499999999"/>
    <n v="-15027385"/>
    <n v="-15027385"/>
    <n v="154.99134000000001"/>
    <n v="-15.027385000000001"/>
  </r>
  <r>
    <s v="ULACCO"/>
    <s v="Yes"/>
    <x v="94"/>
    <s v="Model"/>
    <s v="On Original Risk List  "/>
    <s v="From Risk - Fund Responsibility - Model Portfolios"/>
    <s v="Outcome Oriented Strategies"/>
    <s v="Risk Accumulation"/>
    <m/>
    <m/>
    <s v="AMUNDI.IRL/INV/MAS/PMG"/>
    <s v="BUONO SALVATORE"/>
    <s v="To be Affected"/>
    <m/>
    <n v="118882703.590166"/>
    <n v="4704953"/>
    <m/>
    <b v="0"/>
    <m/>
    <n v="-340502.77"/>
    <n v="5173858"/>
    <n v="5.1738580000000001"/>
    <n v="-468905"/>
    <n v="-468905"/>
    <n v="4.7049529999999997"/>
    <n v="-0.46890500000000002"/>
  </r>
  <r>
    <s v="MUSI"/>
    <s v="Yes"/>
    <x v="95"/>
    <s v="Model"/>
    <s v="On Original Risk List  "/>
    <s v="From Risk - Fund Responsibility - Model Portfolios"/>
    <s v="Outcome Oriented Strategies"/>
    <s v="Income"/>
    <m/>
    <m/>
    <s v="AMUNDI.IRL/INV/MAS/PMG"/>
    <s v="BUONO SALVATORE"/>
    <s v="To be Affected"/>
    <m/>
    <n v="119055652.78436001"/>
    <n v="239238036"/>
    <m/>
    <b v="0"/>
    <m/>
    <n v="-24530124.020000018"/>
    <n v="263555955"/>
    <n v="263.55595499999998"/>
    <n v="-24317919"/>
    <n v="-24317919"/>
    <n v="239.23803599999999"/>
    <n v="-24.317919"/>
  </r>
  <r>
    <s v="PMAI"/>
    <s v="Yes"/>
    <x v="96"/>
    <s v="Model"/>
    <s v="On Original Risk List  "/>
    <s v="From Risk - Fund Responsibility - Model Portfolios"/>
    <s v="Outcome Oriented Strategies"/>
    <s v="Capital Protection"/>
    <m/>
    <m/>
    <s v="AMUNDI.IRL/INV/MAS/PMG"/>
    <s v="BUONO SALVATORE"/>
    <s v="To be Affected"/>
    <m/>
    <n v="108446631.677074"/>
    <n v="77561"/>
    <m/>
    <b v="0"/>
    <m/>
    <m/>
    <n v="78336"/>
    <n v="7.8336000000000003E-2"/>
    <n v="-775"/>
    <n v="-775"/>
    <n v="7.7561000000000005E-2"/>
    <n v="-7.7499999999999997E-4"/>
  </r>
  <r>
    <s v="ULBER-"/>
    <s v="Yes"/>
    <x v="97"/>
    <s v="Model"/>
    <s v="On Original Risk List  "/>
    <s v="From Risk - Fund Responsibility - Model Portfolios"/>
    <s v="Allocation Driven Strategies"/>
    <s v="Moderate"/>
    <m/>
    <m/>
    <s v="AMUNDI.IRL/INV/MAS/PMG"/>
    <s v="BUONO SALVATORE"/>
    <s v="To be Affected"/>
    <m/>
    <n v="207709959.66864499"/>
    <n v="5017578"/>
    <m/>
    <b v="0"/>
    <m/>
    <m/>
    <n v="5017578"/>
    <n v="5.0175780000000003"/>
    <n v="0"/>
    <n v="0"/>
    <n v="5.0175780000000003"/>
    <n v="0"/>
  </r>
  <r>
    <s v="ULDER"/>
    <s v="Yes"/>
    <x v="98"/>
    <s v="Model"/>
    <s v="On Original Risk List  "/>
    <s v="From Risk - Fund Responsibility - Model Portfolios"/>
    <s v="Allocation Driven Strategies"/>
    <s v="Growth"/>
    <m/>
    <m/>
    <s v="AMUNDI.IRL/INV/MAS/PMG"/>
    <s v="BUONO SALVATORE"/>
    <s v="To be Affected"/>
    <m/>
    <n v="251863210.81133899"/>
    <n v="0"/>
    <m/>
    <b v="0"/>
    <m/>
    <m/>
    <n v="0"/>
    <n v="0"/>
    <n v="0"/>
    <n v="0"/>
    <n v="0"/>
    <n v="0"/>
  </r>
  <r>
    <s v="ULPER"/>
    <s v="Yes"/>
    <x v="99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57209342.62897399"/>
    <n v="0"/>
    <m/>
    <b v="0"/>
    <m/>
    <m/>
    <n v="0"/>
    <n v="0"/>
    <n v="0"/>
    <n v="0"/>
    <n v="0"/>
    <n v="0"/>
  </r>
  <r>
    <s v="ULP-ER"/>
    <s v="Yes"/>
    <x v="100"/>
    <s v="Model"/>
    <s v="On Original Risk List  "/>
    <s v="From Risk - Fund Responsibility - Model Portfolios"/>
    <s v="Allocation Driven Strategies"/>
    <s v="Conservative"/>
    <m/>
    <m/>
    <s v="AMUNDI.IRL/INV/MAS/PMG"/>
    <s v="BUONO SALVATORE"/>
    <s v="To be Affected"/>
    <m/>
    <n v="176197956.52590799"/>
    <n v="0"/>
    <m/>
    <b v="0"/>
    <m/>
    <m/>
    <n v="0"/>
    <n v="0"/>
    <n v="0"/>
    <n v="0"/>
    <n v="0"/>
    <n v="0"/>
  </r>
  <r>
    <s v="R2M"/>
    <s v="Yes"/>
    <x v="101"/>
    <s v="Model"/>
    <s v="Added by Ronan"/>
    <s v="From Risk - Fund Responsibility - Model Portfolios"/>
    <s v="Allocation Driven Strategies"/>
    <s v="Growth"/>
    <m/>
    <m/>
    <m/>
    <m/>
    <m/>
    <m/>
    <m/>
    <n v="3991454"/>
    <m/>
    <b v="0"/>
    <m/>
    <n v="-34928.270000000019"/>
    <n v="3913810"/>
    <n v="3.9138099999999998"/>
    <n v="77644"/>
    <n v="77644"/>
    <n v="3.9914540000000001"/>
    <n v="7.7644000000000005E-2"/>
  </r>
  <r>
    <s v="ULC"/>
    <s v="Yes"/>
    <x v="102"/>
    <s v="Model"/>
    <s v="On Original Risk List  "/>
    <s v="From Risk - Models master - Sheet 1"/>
    <s v="Allocation Driven Strategies"/>
    <s v="Conservative"/>
    <m/>
    <m/>
    <s v="AMUNDI.IRL/INV/MAS/PMG"/>
    <s v="BUONO SALVATORE"/>
    <s v="To be Affected"/>
    <m/>
    <n v="134854780.55061799"/>
    <n v="27311192"/>
    <m/>
    <b v="0"/>
    <m/>
    <n v="-523806.44999999984"/>
    <n v="27597514"/>
    <n v="27.597514"/>
    <n v="-286322"/>
    <n v="-286322"/>
    <n v="27.311191999999998"/>
    <n v="-0.28632200000000002"/>
  </r>
  <r>
    <s v="UNGOALS"/>
    <s v="Yes"/>
    <x v="103"/>
    <s v="Model"/>
    <m/>
    <m/>
    <s v="Outcome Oriented Strategies"/>
    <s v="Thematic"/>
    <m/>
    <m/>
    <m/>
    <m/>
    <m/>
    <m/>
    <m/>
    <n v="909580051"/>
    <m/>
    <b v="0"/>
    <m/>
    <n v="8885720.7199999932"/>
    <n v="869067080"/>
    <n v="869.06708000000003"/>
    <n v="40512971"/>
    <n v="40512971"/>
    <n v="909.58005100000003"/>
    <n v="40.512971"/>
  </r>
  <r>
    <s v="ULMATREND"/>
    <s v="Yes"/>
    <x v="104"/>
    <s v="Model"/>
    <m/>
    <m/>
    <s v="Outcome Oriented Strategies"/>
    <s v="Thematic"/>
    <m/>
    <m/>
    <m/>
    <m/>
    <m/>
    <m/>
    <m/>
    <n v="252843377"/>
    <m/>
    <b v="0"/>
    <m/>
    <n v="6517412.1099999938"/>
    <n v="239873847"/>
    <n v="239.87384700000001"/>
    <n v="12969530"/>
    <n v="12969530"/>
    <n v="252.843377"/>
    <n v="12.969530000000001"/>
  </r>
  <r>
    <s v="ULFTREND "/>
    <s v="Yes"/>
    <x v="105"/>
    <s v="Model"/>
    <m/>
    <m/>
    <s v="Outcome Oriented Strategies"/>
    <s v="Thematic"/>
    <m/>
    <m/>
    <m/>
    <m/>
    <m/>
    <m/>
    <m/>
    <s v=""/>
    <m/>
    <b v="0"/>
    <m/>
    <n v="226891.29000000094"/>
    <s v=""/>
    <s v=""/>
    <s v=""/>
    <s v=""/>
    <s v=""/>
    <s v=""/>
  </r>
  <r>
    <s v="Multhem"/>
    <s v="Yes"/>
    <x v="106"/>
    <s v="Model"/>
    <s v="On Original Risk List  "/>
    <s v="From Risk - Models master - Sheet 1"/>
    <s v="Outcome Oriented Strategies"/>
    <s v="Thematic"/>
    <m/>
    <m/>
    <m/>
    <m/>
    <m/>
    <m/>
    <m/>
    <m/>
    <m/>
    <b v="0"/>
    <m/>
    <m/>
    <m/>
    <n v="0"/>
    <n v="0"/>
    <n v="0"/>
    <n v="0"/>
    <n v="0"/>
  </r>
  <r>
    <s v="AAPROT80"/>
    <s v="Yes"/>
    <x v="107"/>
    <s v="Model"/>
    <s v="Added by Ronan"/>
    <s v="Models AUM - Desk Mapping"/>
    <s v="Outcome Oriented Strategies"/>
    <s v="Capital Guaranteed"/>
    <m/>
    <m/>
    <m/>
    <m/>
    <m/>
    <m/>
    <m/>
    <n v="105977735"/>
    <m/>
    <b v="0"/>
    <m/>
    <n v="-3090101.6899999995"/>
    <n v="108101631"/>
    <n v="108.101631"/>
    <n v="-2123896"/>
    <n v="-2123896"/>
    <n v="105.977735"/>
    <n v="-2.1238959999999998"/>
  </r>
  <r>
    <s v="MULSTEP"/>
    <s v="Yes"/>
    <x v="108"/>
    <s v="Model"/>
    <s v="On Original Risk List  "/>
    <s v="Not on another list - but included verbally by Salva"/>
    <s v="Outcome Oriented Strategies"/>
    <s v="Risk Accumulation"/>
    <m/>
    <m/>
    <s v="AMUNDI.IRL/INV/MAS/PMG"/>
    <s v="BUONO SALVATORE"/>
    <s v="To be Affected"/>
    <m/>
    <n v="99030590.242356494"/>
    <m/>
    <m/>
    <b v="0"/>
    <m/>
    <n v="-334707.83"/>
    <m/>
    <n v="0"/>
    <n v="0"/>
    <n v="0"/>
    <n v="0"/>
    <n v="0"/>
  </r>
  <r>
    <s v="DIOP3"/>
    <s v="Yes"/>
    <x v="109"/>
    <s v="Model"/>
    <s v="On Original Risk List  "/>
    <s v="Not on another list - but included verbally by Salva"/>
    <s v="Outcome Oriented Strategies"/>
    <s v="Income"/>
    <m/>
    <m/>
    <s v="AMUNDI.IRL/INV/MAS/PMG"/>
    <s v="NICHOLAS POTHIER"/>
    <s v="To be Affected"/>
    <m/>
    <n v="102220704.24242701"/>
    <n v="5231379.8499999996"/>
    <m/>
    <b v="0"/>
    <m/>
    <m/>
    <n v="6968432.6399999997"/>
    <n v="6.9684326399999996"/>
    <n v="-1737052.79"/>
    <n v="-1737052.79"/>
    <n v="5.2313798499999997"/>
    <n v="-1.7370527900000001"/>
  </r>
  <r>
    <s v="DIOP4"/>
    <s v="Yes"/>
    <x v="110"/>
    <s v="Model"/>
    <s v="On Original Risk List  "/>
    <s v="Not on another list - but included verbally by Salva"/>
    <s v="Outcome Oriented Strategies"/>
    <s v="Thematic"/>
    <m/>
    <m/>
    <s v="AMUNDI.IRL/INV/MAS/PMG"/>
    <s v="NICHOLAS POTHIER"/>
    <s v="To be Affected"/>
    <m/>
    <n v="102840578.94022"/>
    <n v="9542350.5099999998"/>
    <m/>
    <b v="0"/>
    <m/>
    <m/>
    <n v="14185291.16"/>
    <n v="14.18529116"/>
    <n v="-4642940.6500000004"/>
    <n v="-4642940.6500000004"/>
    <n v="9.5423505100000003"/>
    <n v="-4.6429406500000008"/>
  </r>
  <r>
    <s v="BBSECCORE"/>
    <s v="Yes"/>
    <x v="111"/>
    <m/>
    <s v="On Original Risk List  "/>
    <s v="Not on another list - but included verbally by Salva"/>
    <m/>
    <m/>
    <m/>
    <m/>
    <s v="AMUNDI.IRL/INV/MAS/PMG/PMG"/>
    <s v="CASEY RICHARD"/>
    <s v="To be Affected"/>
    <m/>
    <n v="102684355.49557801"/>
    <n v="0"/>
    <m/>
    <e v="#N/A"/>
    <m/>
    <m/>
    <n v="0"/>
    <n v="0"/>
    <n v="0"/>
    <n v="0"/>
    <n v="0"/>
    <n v="0"/>
  </r>
  <r>
    <s v="BBSECPERIPH"/>
    <s v="Yes"/>
    <x v="112"/>
    <m/>
    <s v="On Original Risk List  "/>
    <s v="Not on another list - but included verbally by Salva"/>
    <m/>
    <m/>
    <m/>
    <m/>
    <s v="AMUNDI.IRL/INV/MAS/PMG/PMG"/>
    <s v="CASEY RICHARD"/>
    <s v="To be Affected"/>
    <m/>
    <n v="105073036.860901"/>
    <n v="0"/>
    <m/>
    <e v="#N/A"/>
    <m/>
    <m/>
    <n v="0"/>
    <n v="0"/>
    <n v="0"/>
    <n v="0"/>
    <n v="0"/>
    <n v="0"/>
  </r>
  <r>
    <s v="BBSECEURIG"/>
    <s v="Yes"/>
    <x v="113"/>
    <m/>
    <s v="On Original Risk List  "/>
    <s v="Not on another list - but included verbally by Salva"/>
    <m/>
    <m/>
    <m/>
    <m/>
    <s v="AMUNDI.IRL/INV/MAS/PMG/PMG"/>
    <s v="CASEY RICHARD"/>
    <s v="To be Affected"/>
    <m/>
    <n v="102950891.035953"/>
    <n v="0"/>
    <m/>
    <e v="#N/A"/>
    <m/>
    <m/>
    <n v="0"/>
    <n v="0"/>
    <n v="0"/>
    <n v="0"/>
    <n v="0"/>
    <n v="0"/>
  </r>
  <r>
    <s v="BBSECUSTBOND"/>
    <s v="Yes"/>
    <x v="114"/>
    <m/>
    <s v="On Original Risk List  "/>
    <s v="Not on another list - but included verbally by Salva"/>
    <m/>
    <m/>
    <m/>
    <m/>
    <s v="AMUNDI.IRL/INV/MAS/PMG/PMG"/>
    <s v="CASEY RICHARD"/>
    <s v="To be Affected"/>
    <m/>
    <n v="103916500.733969"/>
    <n v="0"/>
    <m/>
    <e v="#N/A"/>
    <m/>
    <m/>
    <n v="0"/>
    <n v="0"/>
    <n v="0"/>
    <n v="0"/>
    <n v="0"/>
    <n v="0"/>
  </r>
  <r>
    <s v="DIOP 1"/>
    <s v="Yes"/>
    <x v="115"/>
    <s v="Model"/>
    <s v="On Original Risk List  "/>
    <s v="Not on another list - but included verbally by Salva"/>
    <s v="Outcome Oriented Strategies"/>
    <s v="Income"/>
    <m/>
    <m/>
    <m/>
    <m/>
    <m/>
    <m/>
    <m/>
    <n v="9442288.8699999992"/>
    <m/>
    <b v="0"/>
    <m/>
    <m/>
    <n v="9783751.7300000004"/>
    <n v="9.7837517300000005"/>
    <n v="-341462.86000000127"/>
    <n v="-341462.86000000127"/>
    <n v="9.4422888699999987"/>
    <n v="-0.34146286000000126"/>
  </r>
  <r>
    <s v="DIOP 2"/>
    <s v="Yes"/>
    <x v="116"/>
    <s v="Model"/>
    <s v="On Original Risk List  "/>
    <s v="Not on another list - but included verbally by Salva"/>
    <s v="Outcome Oriented Strategies"/>
    <s v="Income"/>
    <m/>
    <m/>
    <m/>
    <m/>
    <m/>
    <m/>
    <m/>
    <n v="3345435.45"/>
    <m/>
    <b v="0"/>
    <m/>
    <m/>
    <n v="3901388.43"/>
    <n v="3.9013884300000004"/>
    <n v="-555952.98"/>
    <n v="-555952.98"/>
    <n v="3.3454354500000001"/>
    <n v="-0.55595297999999993"/>
  </r>
  <r>
    <s v="PF82304"/>
    <s v="Yes"/>
    <x v="117"/>
    <s v="Fund"/>
    <s v="On Original Risk List  "/>
    <s v="From Risk - Fund Responsibility - Dublin Funds"/>
    <m/>
    <m/>
    <m/>
    <m/>
    <m/>
    <s v="CASEY RICHARD"/>
    <s v="To be Affected"/>
    <s v="DUB EFI Absolute Return Aggregate"/>
    <m/>
    <m/>
    <m/>
    <b v="0"/>
    <m/>
    <m/>
    <m/>
    <m/>
    <m/>
    <m/>
    <m/>
    <m/>
  </r>
  <r>
    <s v="PF80513"/>
    <s v="Yes"/>
    <x v="118"/>
    <s v="Fund"/>
    <s v="On Original Risk List  "/>
    <s v="From Risk - Fund Responsibility - Dublin Funds"/>
    <m/>
    <m/>
    <m/>
    <m/>
    <m/>
    <s v="CASEY RICHARD"/>
    <s v="To be Affected"/>
    <s v="DUB EFI Absolute Return Aggregate"/>
    <m/>
    <m/>
    <m/>
    <b v="0"/>
    <m/>
    <m/>
    <m/>
    <m/>
    <m/>
    <m/>
    <m/>
    <m/>
  </r>
  <r>
    <s v="MUSG"/>
    <s v="Yes"/>
    <x v="119"/>
    <s v="Model"/>
    <s v="Added by Ronan"/>
    <s v="From Risk - Models Master - Sheet 2"/>
    <s v="Outcome Oriented Strategies"/>
    <s v="Thematic"/>
    <m/>
    <m/>
    <m/>
    <m/>
    <m/>
    <m/>
    <m/>
    <m/>
    <m/>
    <n v="0"/>
    <m/>
    <m/>
    <m/>
    <n v="0"/>
    <n v="0"/>
    <n v="0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Yes"/>
    <s v="AMUNDI FUND SOLUTIONS - BALANCED"/>
    <s v="Fund"/>
    <s v="On Original Risk List  "/>
    <s v="From Risk - Fund Responsibility - Dublin Funds"/>
    <x v="0"/>
    <x v="0"/>
    <s v="BAL Multimanagement"/>
    <s v="DUB BAL Multimanagement SDA Fds de Fds"/>
    <s v="AMUNDI.IRL/INV/MAS"/>
    <s v="O'TOOLE JOHN"/>
    <s v="Global - Global Balanced 50"/>
    <s v="DUB BAL Multimanagement SDA Fds de Fds"/>
    <n v="176126455.22999999"/>
    <n v="324009437.85999995"/>
    <m/>
    <b v="0"/>
    <n v="169346773.31"/>
    <n v="-4401543.419829757"/>
    <n v="323150343.74000001"/>
    <n v="323.15034373999998"/>
    <n v="859094.11999994516"/>
    <n v="859094.11999994516"/>
  </r>
  <r>
    <x v="1"/>
    <s v="Yes"/>
    <s v="AMUNDI FUND SOLUTIONS - CONSERVATIVE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Global - Balanced Global Defensive 20"/>
    <s v="DUB BAL Multimanagement SDA Fds de Fds"/>
    <n v="200569592.62"/>
    <n v="242806300.35000002"/>
    <m/>
    <b v="0"/>
    <n v="191554138.88"/>
    <n v="-6585274.1259017717"/>
    <n v="247147097.27999997"/>
    <n v="247.14709727999997"/>
    <n v="-4340796.9299999475"/>
    <n v="-4340796.9299999475"/>
  </r>
  <r>
    <x v="2"/>
    <s v="Yes"/>
    <s v="AMUNDI FUND SOLUTIONS - DIVERSIFIED GROWTH - A"/>
    <s v="Fund"/>
    <s v="On Original Risk List  "/>
    <s v="From Risk - Fund Responsibility - Dublin Funds"/>
    <x v="0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n v="68345861.700000003"/>
    <n v="83823203.900000006"/>
    <m/>
    <b v="0"/>
    <n v="66139608.709999993"/>
    <n v="-1199812.7503379725"/>
    <n v="85685108.980000004"/>
    <n v="85.68510898000001"/>
    <n v="-1861905.0799999982"/>
    <n v="-1861905.0799999982"/>
  </r>
  <r>
    <x v="3"/>
    <s v="Yes"/>
    <s v="AFS ICAV Planet ESG Balanced"/>
    <s v="Fund"/>
    <s v="On Original Risk List  "/>
    <s v="From Risk - Fund Responsibility - Dublin Funds"/>
    <x v="0"/>
    <x v="0"/>
    <s v="BAL Multimanagement"/>
    <s v="DUB BAL Multimanagement SDA Fds de Fds"/>
    <s v="AMUNDI.IRL/INV/MAS"/>
    <s v="O'TOOLE JOHN"/>
    <s v="Global - Global Balanced 50"/>
    <s v="DUB BAL Multimanagement SDA Fds de Fds"/>
    <m/>
    <m/>
    <m/>
    <b v="0"/>
    <m/>
    <m/>
    <m/>
    <m/>
    <m/>
    <m/>
  </r>
  <r>
    <x v="4"/>
    <s v="Yes"/>
    <s v="AFS ICAV Planet ESG Conservative 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Global - Balanced Global Defensive 20"/>
    <s v="DUB BAL Multimanagement SDA Fds de Fds"/>
    <m/>
    <m/>
    <m/>
    <b v="0"/>
    <m/>
    <m/>
    <m/>
    <m/>
    <m/>
    <m/>
  </r>
  <r>
    <x v="5"/>
    <s v="Yes"/>
    <s v="AFS ICAV Planet ESG Dynamic "/>
    <s v="Fund"/>
    <s v="On Original Risk List  "/>
    <s v="From Risk - Fund Responsibility - Dublin Funds"/>
    <x v="0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m/>
    <m/>
    <b v="0"/>
    <m/>
    <m/>
    <m/>
    <m/>
    <m/>
    <m/>
  </r>
  <r>
    <x v="6"/>
    <s v="Yes"/>
    <s v="AMUNDI SOLUZIONI ITALIA - PROGETTO AZIONE CAMBIAMENTO CLIMATICO - E"/>
    <s v="Fund"/>
    <s v="On Original Risk List  "/>
    <s v="From Risk - Fund Responsibility - Dublin Funds"/>
    <x v="1"/>
    <x v="3"/>
    <s v="EFI Absolute Return"/>
    <s v="DUB EFI Absolute Return Aggregate"/>
    <s v="AMUNDI.IRL/INV/MAS"/>
    <s v="O'TOOLE JOHN"/>
    <s v="To be Affected"/>
    <s v="DUB EFI Absolute Return Aggregate"/>
    <n v="336213704.19999999"/>
    <m/>
    <m/>
    <b v="0"/>
    <n v="335037348.60999995"/>
    <m/>
    <m/>
    <m/>
    <m/>
    <m/>
  </r>
  <r>
    <x v="7"/>
    <s v="Yes"/>
    <s v="ASI - PROGETTO AZIONE FUTURO GREEN"/>
    <s v="Fund"/>
    <s v="On Original Risk List  "/>
    <s v="From Risk - Fund Responsibility - Dublin Funds"/>
    <x v="1"/>
    <x v="3"/>
    <m/>
    <m/>
    <s v="AMUNDI.IRL/INV/MAS/PMG/PMG"/>
    <s v="CASEY RICHARD"/>
    <s v="To be Affected"/>
    <m/>
    <m/>
    <n v="93538758.120000005"/>
    <m/>
    <m/>
    <m/>
    <n v="-18151357.009999994"/>
    <n v="111680002.01000001"/>
    <n v="111.68000201000001"/>
    <n v="-18141243.890000001"/>
    <n v="-18141243.890000001"/>
  </r>
  <r>
    <x v="8"/>
    <s v="Yes"/>
    <s v="AMUNDI UNICREDIT PREM PORT- PRUDENTIAL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Bond - myNext"/>
    <s v="DUB BAL Multimanagement SDA Fds de Fds"/>
    <n v="31835018.329999998"/>
    <n v="7495265.8199999994"/>
    <m/>
    <b v="0"/>
    <n v="33826169.170000002"/>
    <n v="-798922.5844135189"/>
    <n v="8321680.0100000007"/>
    <n v="8.3216800100000015"/>
    <n v="-826414.19000000134"/>
    <n v="-826414.19000000134"/>
  </r>
  <r>
    <x v="9"/>
    <s v="Yes"/>
    <s v="AMUNDI UNICREDIT PREMIUM PORT - DYNAMIC"/>
    <s v="Fund"/>
    <s v="On Original Risk List  "/>
    <s v="From Risk - Fund Responsibility - Dublin Funds"/>
    <x v="0"/>
    <x v="2"/>
    <s v="BAL Multimanagement"/>
    <s v="DUB BAL Multimanagement SDA Fds de Fds"/>
    <s v="AMUNDI.IRL/INV/MAS"/>
    <s v="O'TOOLE JOHN"/>
    <s v="Equity - myNext"/>
    <s v="DUB BAL Multimanagement SDA Fds de Fds"/>
    <n v="96972832.489999995"/>
    <n v="58236487.470000006"/>
    <m/>
    <b v="0"/>
    <n v="103255927.2"/>
    <n v="-1656568.0657256469"/>
    <n v="56591525.730000004"/>
    <n v="56.591525730000001"/>
    <n v="1644961.7400000021"/>
    <n v="1644961.7400000021"/>
  </r>
  <r>
    <x v="10"/>
    <s v="Yes"/>
    <s v="AMUNDI UNICREDIT PREM PORT- MULTI ASSET"/>
    <s v="Fund"/>
    <s v="On Original Risk List  "/>
    <s v="From Risk - Fund Responsibility - Dublin Funds"/>
    <x v="0"/>
    <x v="0"/>
    <s v="BAL Multimanagement"/>
    <s v="DUB BAL Multimanagement SDA Fds de Fds"/>
    <s v="AMUNDI.IRL/INV/MAS"/>
    <s v="O'TOOLE JOHN"/>
    <s v="Multi Asset - myNext"/>
    <s v="DUB BAL Multimanagement SDA Fds de Fds"/>
    <n v="288617594.88999999"/>
    <n v="121448782.71000001"/>
    <m/>
    <b v="0"/>
    <n v="312457504.01999998"/>
    <n v="-5424835.5633996008"/>
    <n v="123937506.37"/>
    <n v="123.93750637000001"/>
    <n v="-2488723.6599999964"/>
    <n v="-2488723.6599999964"/>
  </r>
  <r>
    <x v="11"/>
    <m/>
    <s v="THE TRUSTHOUSE FDN CPI+4% MULTI-AST PTF"/>
    <s v="Fund"/>
    <m/>
    <m/>
    <x v="1"/>
    <x v="4"/>
    <m/>
    <m/>
    <m/>
    <m/>
    <m/>
    <m/>
    <m/>
    <n v="98145264.699999988"/>
    <m/>
    <m/>
    <m/>
    <n v="0"/>
    <n v="98124607.040000007"/>
    <n v="98.124607040000001"/>
    <n v="20657.659999981523"/>
    <n v="20657.659999981523"/>
  </r>
  <r>
    <x v="12"/>
    <m/>
    <s v="AMUNDI-FUNDACION CAJA NAVARRA DYNAMIC"/>
    <s v="Fund"/>
    <m/>
    <m/>
    <x v="0"/>
    <x v="2"/>
    <m/>
    <m/>
    <m/>
    <m/>
    <m/>
    <m/>
    <m/>
    <n v="27952778.120000001"/>
    <m/>
    <m/>
    <m/>
    <n v="27952778.120000001"/>
    <m/>
    <n v="0"/>
    <n v="27952778.120000001"/>
    <n v="27952778.120000001"/>
  </r>
  <r>
    <x v="13"/>
    <s v="Yes"/>
    <s v="AMUNDI ELITE THEMATIC MULTI ASSET"/>
    <s v="Fund"/>
    <s v="On Original Risk List  "/>
    <s v="From Risk - Fund Responsibility - Dublin Funds"/>
    <x v="1"/>
    <x v="5"/>
    <s v="BAL Multimanagement"/>
    <s v="AMU BAL SDA Fds de Fds (used absolute limits High risk)"/>
    <s v="AMUNDI.IRL/INV/MAS"/>
    <s v="O'TOOLE JOHN"/>
    <s v="AMUNDI ELITE THEMATIC MULTI ASSET"/>
    <s v="DUB BAL Multimanagement SDA Fds de Fds"/>
    <m/>
    <n v="651526087.88"/>
    <m/>
    <b v="0"/>
    <m/>
    <n v="-136912235.76999998"/>
    <n v="532844870.07000005"/>
    <n v="532.84487007000007"/>
    <n v="118681217.80999994"/>
    <n v="118681217.80999994"/>
  </r>
  <r>
    <x v="14"/>
    <s v="Yes"/>
    <s v="PI INVESTMENT FUNDS - DYNAMIC ALLOCATION FUND - E"/>
    <s v="Fund"/>
    <s v="On Original Risk List  "/>
    <s v="From Risk - Fund Responsibility - Dublin Funds"/>
    <x v="2"/>
    <x v="6"/>
    <s v="TBD"/>
    <s v="Agreed a light touch with VaR and Leverage limits"/>
    <s v="AMUNDI.IRL/INV/MAS/PMG"/>
    <s v="BUONO SALVATORE"/>
    <s v="To be Affected"/>
    <s v="To Be Determined"/>
    <n v="623642733.23000002"/>
    <n v="198759201.82000002"/>
    <m/>
    <b v="0"/>
    <n v="402542016.44000006"/>
    <n v="-26306785.200000003"/>
    <n v="234214073.76000002"/>
    <n v="234.21407376000002"/>
    <n v="-35454871.939999998"/>
    <n v="-35454871.939999998"/>
  </r>
  <r>
    <x v="15"/>
    <s v="Yes"/>
    <s v="AMUNDI FUND SOLUTIONS - SABADELL URQUIJO ACUMULACION"/>
    <s v="Fund"/>
    <s v="On Original Risk List  "/>
    <s v="From Risk - Fund Responsibility - Dublin Funds"/>
    <x v="0"/>
    <x v="1"/>
    <s v="BAL Multimanagement"/>
    <s v="DUB BAL Multimanagement SDA Fds de Fds"/>
    <s v="AMUNDI.IRL/INV/MAS"/>
    <s v="O'TOOLE JOHN"/>
    <s v="Global - Balanced Global Defensive 20"/>
    <s v="DUB BAL Multimanagement SDA Fds de Fds"/>
    <m/>
    <n v="6970226.1600000001"/>
    <m/>
    <b v="0"/>
    <m/>
    <n v="0"/>
    <n v="6970226.1600000001"/>
    <n v="6.9702261600000002"/>
    <n v="0"/>
    <n v="0"/>
  </r>
  <r>
    <x v="16"/>
    <s v="Yes"/>
    <s v="AMUNDI FUND SOLUTIONS - SABADELL URQUIJO CRECIMIENTO"/>
    <s v="Fund"/>
    <s v="On Original Risk List  "/>
    <s v="From Risk - Fund Responsibility - Dublin Funds"/>
    <x v="0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n v="3927561.09"/>
    <m/>
    <b v="0"/>
    <m/>
    <n v="0"/>
    <n v="3927561.09"/>
    <n v="3.9275610899999998"/>
    <n v="0"/>
    <n v="0"/>
  </r>
  <r>
    <x v="17"/>
    <s v="Yes"/>
    <s v="AMUNDI SOLUZIONI ITALIA - PROGETTO AZIONE INFRASTRUTTURE SOSTENIBILI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m/>
    <n v="335146857.69"/>
    <m/>
    <b v="0"/>
    <m/>
    <n v="-114988408.88000004"/>
    <n v="473820490.07999998"/>
    <n v="473.82049007999996"/>
    <n v="-138673632.38999999"/>
    <n v="-138673632.38999999"/>
  </r>
  <r>
    <x v="18"/>
    <s v="Yes"/>
    <s v="AMUNDI SOLUZIONI ITALIA - PROGETTO AZIONE INFRASTRUTTURE SOSTENIBILI (II)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m/>
    <n v="319412485.87"/>
    <m/>
    <b v="0"/>
    <m/>
    <n v="-68314787.599999979"/>
    <n v="408635787.25"/>
    <n v="408.63578725000002"/>
    <n v="-89223301.379999995"/>
    <n v="-89223301.379999995"/>
  </r>
  <r>
    <x v="19"/>
    <s v="Yes"/>
    <s v="AMUNDI SENTIERO SOSTENIBILE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m/>
    <n v="290323179.13999999"/>
    <m/>
    <b v="0"/>
    <m/>
    <n v="-10126505.439999999"/>
    <n v="297654635.05000001"/>
    <n v="297.65463505000002"/>
    <n v="-7331455.9100000262"/>
    <n v="-7331455.9100000262"/>
  </r>
  <r>
    <x v="20"/>
    <s v="Yes"/>
    <s v="SAXO EUROPE"/>
    <s v="Model"/>
    <s v="On Original Risk List  "/>
    <s v="From Risk - Fund Responsibility - Dublin Funds"/>
    <x v="0"/>
    <x v="1"/>
    <s v="BAL Multimanagement"/>
    <s v="DUB BAL Multimanagement Alt Greenway"/>
    <s v="AMUNDI.IRL/INV/MAS/PMG/PMG"/>
    <s v="Jen"/>
    <s v="To be Affected"/>
    <s v="DUB BAL Multimanagement Alt Greenway"/>
    <m/>
    <n v="192199661.30000001"/>
    <m/>
    <b v="0"/>
    <n v="0"/>
    <n v="-7061169.119999975"/>
    <n v="199260830.41999999"/>
    <n v="199.26083041999999"/>
    <n v="-7061169.119999975"/>
    <n v="-7061169.119999975"/>
  </r>
  <r>
    <x v="21"/>
    <m/>
    <m/>
    <m/>
    <m/>
    <m/>
    <x v="3"/>
    <x v="7"/>
    <m/>
    <m/>
    <m/>
    <m/>
    <m/>
    <m/>
    <m/>
    <m/>
    <m/>
    <m/>
    <m/>
    <m/>
    <m/>
    <m/>
    <m/>
    <m/>
  </r>
  <r>
    <x v="22"/>
    <s v="Yes"/>
    <s v="Amundi Invensys Broad Bond Portfolio"/>
    <s v="Fund"/>
    <s v="On Original Risk List  "/>
    <s v="From Risk - Fund Responsibility - Dublin Funds"/>
    <x v="0"/>
    <x v="6"/>
    <s v="BAL Multimanagement"/>
    <s v="AMU BAL SDA Fds de Fds (used some absolute limits with Low Rik)"/>
    <s v="AMUNDI.IRL/INV/MAS/PMG/PMG"/>
    <s v="CASEY RICHARD"/>
    <s v="To be Affected"/>
    <s v="DUB BAL Multimanagement SDA Fds de Fds"/>
    <n v="0"/>
    <n v="169200994.27920362"/>
    <m/>
    <b v="0"/>
    <m/>
    <n v="0"/>
    <n v="165771172.4394339"/>
    <n v="165.77117243943391"/>
    <n v="3429821.839769721"/>
    <n v="3429821.839769721"/>
  </r>
  <r>
    <x v="23"/>
    <s v="Yes"/>
    <s v="AMUNDI SOLUZIONI ITALIA - PROGETTO AZIONE CAMBIAMENTO CLIMATICO (II) - E"/>
    <s v="Fund"/>
    <s v="On Original Risk List  "/>
    <s v="From Risk - Fund Responsibility - Dublin Funds"/>
    <x v="1"/>
    <x v="3"/>
    <n v="0"/>
    <n v="0"/>
    <s v="AMUNDI.IRL/INV/MAS/PMG/PMG"/>
    <s v="CASEY RICHARD"/>
    <s v="To be Affected"/>
    <s v="DUB EFI Absolute Return Aggregate"/>
    <n v="143903806.97"/>
    <m/>
    <s v="Needs a Macro &amp; Micro Process assigned?"/>
    <b v="0"/>
    <n v="59757669.739999995"/>
    <m/>
    <m/>
    <m/>
    <m/>
    <m/>
  </r>
  <r>
    <x v="24"/>
    <s v="Yes"/>
    <s v="AMUNDI SOLUZIONI ITALIA - PROGETTO AZIONE MEGATREND - E"/>
    <s v="Fund"/>
    <s v="On Original Risk List  "/>
    <s v="From Risk - Fund Responsibility - Dublin Funds"/>
    <x v="1"/>
    <x v="3"/>
    <s v="EFI Absolute Return"/>
    <s v="DUB EFI Absolute Return Aggregate"/>
    <s v="AMUNDI.IRL/INV/MAS/PMG/PMG"/>
    <s v="CASEY RICHARD"/>
    <s v="To be Affected"/>
    <s v="DUB EFI Absolute Return Aggregate"/>
    <n v="493754015.27999997"/>
    <m/>
    <m/>
    <b v="0"/>
    <n v="493807009.17000002"/>
    <m/>
    <m/>
    <m/>
    <m/>
    <m/>
  </r>
  <r>
    <x v="25"/>
    <s v="Yes"/>
    <s v="AMUNDI SOLUZIONI ITALIA - PROGETTO AZIONE MEGATREND (II) - E"/>
    <s v="Fund"/>
    <s v="On Original Risk List  "/>
    <s v="From Risk - Fund Responsibility - Dublin Funds"/>
    <x v="1"/>
    <x v="3"/>
    <s v="EFI Absolute Return"/>
    <s v="DUB EFI Absolute Return Aggregate"/>
    <s v="AMUNDI.IRL/INV/MAS/PMG/PMG"/>
    <s v="CASEY RICHARD"/>
    <s v="To be Affected"/>
    <s v="DUB EFI Absolute Return Aggregate"/>
    <n v="291181937.61000001"/>
    <m/>
    <m/>
    <b v="0"/>
    <n v="290503113.68999994"/>
    <m/>
    <m/>
    <m/>
    <m/>
    <m/>
  </r>
  <r>
    <x v="26"/>
    <s v="Yes"/>
    <s v="ASI - PROGETTO AZIONE ENERGY TRANSITION"/>
    <s v="Fund"/>
    <s v="On Original Risk List  "/>
    <s v="From Risk - Fund Responsibility - Dublin Funds"/>
    <x v="1"/>
    <x v="3"/>
    <s v="EFI Absolute Return"/>
    <m/>
    <s v="AMUNDI.IRL/INV/MAS/PMG/PMG"/>
    <s v="CASEY RICHARD"/>
    <s v="To be Affected"/>
    <s v="DUB EFI Absolute Return Aggregate"/>
    <n v="0"/>
    <n v="451980230.57999998"/>
    <m/>
    <b v="0"/>
    <m/>
    <n v="-75897228.409999982"/>
    <n v="555495066.75999999"/>
    <n v="555.49506675999999"/>
    <n v="-103514836.18000001"/>
    <n v="-103514836.18000001"/>
  </r>
  <r>
    <x v="27"/>
    <s v="Yes"/>
    <s v="ASI - PROGETTO AZIONE ENERGY TRANSITION (II)"/>
    <s v="Fund"/>
    <s v="On Original Risk List  "/>
    <s v="From Risk - Fund Responsibility - Dublin Funds"/>
    <x v="1"/>
    <x v="3"/>
    <s v="EFI Absolute Return"/>
    <m/>
    <s v="AMUNDI.IRL/INV/MAS/PMG/PMG"/>
    <s v="CASEY RICHARD"/>
    <s v="To be Affected"/>
    <s v="DUB EFI Absolute Return Aggregate"/>
    <n v="0"/>
    <n v="277938223.63"/>
    <m/>
    <b v="0"/>
    <m/>
    <n v="-47534278.330000006"/>
    <n v="341822371.30000001"/>
    <n v="341.82237129999999"/>
    <n v="-63884147.670000017"/>
    <n v="-63884147.670000017"/>
  </r>
  <r>
    <x v="28"/>
    <s v="Yes"/>
    <s v="PI INVESTMENT FUNDS - TACTICAL ALLOCATION PILLAR - E"/>
    <s v="Fund"/>
    <s v="On Original Risk List  "/>
    <s v="From Risk - Fund Responsibility - Dublin Funds"/>
    <x v="2"/>
    <x v="4"/>
    <s v="TBD"/>
    <s v="Agreed a light touch with VaR and Leverage limits"/>
    <s v="AMUNDI.IRL/INV/MAS/PMG/PMG"/>
    <s v="CASEY RICHARD"/>
    <s v="To be Affected"/>
    <s v="To Be Determined"/>
    <n v="336518902.05000001"/>
    <n v="59556669.140000001"/>
    <m/>
    <b v="0"/>
    <n v="367376593.58999997"/>
    <n v="-6138586.8300000001"/>
    <n v="74824881.549999997"/>
    <n v="74.824881550000001"/>
    <n v="-15268212.409999996"/>
    <n v="-15268212.409999996"/>
  </r>
  <r>
    <x v="29"/>
    <s v="Yes"/>
    <s v="PI INVESTMENT FUNDS - TACTICAL ALLOCATION BOND FUND - H"/>
    <s v="Fund"/>
    <s v="On Original Risk List  "/>
    <s v="From Risk - Fund Responsibility - Dublin Funds"/>
    <x v="2"/>
    <x v="8"/>
    <s v="TBD"/>
    <s v="Agreed a light touch with VaR and Leverage limits"/>
    <s v="AMUNDI.IRL/INV/MAS/PMG/PMG"/>
    <s v="PAQUOT BERTRAND"/>
    <s v="To be Affected"/>
    <s v="To Be Determined"/>
    <n v="199913822.47999999"/>
    <n v="74247835.579999998"/>
    <m/>
    <b v="0"/>
    <n v="450365694.73000002"/>
    <n v="-2977460.7300000018"/>
    <n v="77232789.670000002"/>
    <n v="77.232789670000003"/>
    <n v="-2984954.0900000036"/>
    <n v="-2984954.0900000036"/>
  </r>
  <r>
    <x v="30"/>
    <s v="Yes"/>
    <s v="UL Global Equity Dividend &amp; Subordinated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1901251614"/>
    <m/>
    <b v="0"/>
    <m/>
    <n v="-32352755.369999997"/>
    <n v="1877332566"/>
    <n v="1877.332566"/>
    <n v="23919048"/>
    <n v="23919048"/>
  </r>
  <r>
    <x v="31"/>
    <s v="Yes"/>
    <s v="Amundi Env and Climate Change Sol Fund"/>
    <s v="Fund"/>
    <s v="On Original Risk List  "/>
    <s v="From Risk - Fund Responsibility - Dublin Funds"/>
    <x v="0"/>
    <x v="9"/>
    <s v="TBD"/>
    <m/>
    <s v="AMUNDI.IRL/INV/MAS/PMG/PMG"/>
    <s v="NICHOLAS POTHIER"/>
    <s v="To be Affected"/>
    <s v="To Be Determined"/>
    <m/>
    <n v="66105969.392638035"/>
    <m/>
    <b v="0"/>
    <m/>
    <n v="-14474433.773006134"/>
    <n v="80580403.165644169"/>
    <n v="80.580403165644171"/>
    <n v="-14474433.773006134"/>
    <n v="-14474433.773006134"/>
  </r>
  <r>
    <x v="32"/>
    <s v="Yes"/>
    <s v="Unidiamond + Azionaria America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1100006489"/>
    <m/>
    <b v="0"/>
    <m/>
    <n v="1008111.8999999951"/>
    <n v="1020119648"/>
    <n v="1020.119648"/>
    <n v="79886841"/>
    <n v="79886841"/>
  </r>
  <r>
    <x v="33"/>
    <s v="Yes"/>
    <s v="Life Program Azionario Pacifico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46360523"/>
    <m/>
    <b v="0"/>
    <m/>
    <n v="-74993.419999999984"/>
    <n v="49761394"/>
    <n v="49.761394000000003"/>
    <n v="-3400871"/>
    <n v="-3400871"/>
  </r>
  <r>
    <x v="34"/>
    <s v="Yes"/>
    <s v="Unidiamond + Azionaria Intl"/>
    <s v="Model"/>
    <s v="On Original Risk List  "/>
    <s v="From Risk - Fund Responsibility - Dublin Funds"/>
    <x v="0"/>
    <x v="9"/>
    <s v="TBD"/>
    <m/>
    <s v="AMUNDI.IRL/INV/MAS/PMG/PMG"/>
    <s v="PAQUOT BERTRAND"/>
    <s v="To be Affected"/>
    <s v="To Be Determined"/>
    <m/>
    <n v="173792904"/>
    <m/>
    <b v="0"/>
    <m/>
    <n v="-4429190.5399999972"/>
    <n v="173466024"/>
    <n v="173.466024"/>
    <n v="326880"/>
    <n v="326880"/>
  </r>
  <r>
    <x v="35"/>
    <s v="Yes"/>
    <s v="PI INVESTMENT FUNDS - TACTICAL ALLOCATION FUND - H"/>
    <s v="Fund"/>
    <s v="On Original Risk List  "/>
    <s v="From Risk - Fund Responsibility - Dublin Funds"/>
    <x v="2"/>
    <x v="9"/>
    <s v="TBD"/>
    <s v="Agreed a light touch with VaR and Leverage limits"/>
    <s v="AMUNDI.IRL/INV/MAS/PMG/PMG"/>
    <s v="PAQUOT BERTRAND"/>
    <s v="To be Affected"/>
    <s v="To Be Determined"/>
    <n v="103113709.33"/>
    <n v="53160977.919999994"/>
    <m/>
    <b v="0"/>
    <n v="316671363.03000009"/>
    <n v="-446651.58000000013"/>
    <n v="56764604.780000001"/>
    <n v="56.764604779999999"/>
    <n v="-3603626.8600000069"/>
    <n v="-3603626.8600000069"/>
  </r>
  <r>
    <x v="36"/>
    <s v="Yes"/>
    <s v="Amundi Fund Solutions - Diversified Income Best Select 2022"/>
    <s v="Fund"/>
    <s v="Added by Ronan"/>
    <s v="From Risk - Fund Responsibility - Dublin Funds"/>
    <x v="1"/>
    <x v="4"/>
    <s v="BAL Multimanagement"/>
    <s v="AMU BAL SDA Fds de Fds (used absolute limits mixed medium/High risk)"/>
    <m/>
    <m/>
    <m/>
    <m/>
    <m/>
    <n v="136428638.49000001"/>
    <m/>
    <b v="0"/>
    <n v="294308339.36000001"/>
    <n v="-4867464.6900000013"/>
    <n v="137814615.19000003"/>
    <n v="137.81461519000004"/>
    <n v="-1385976.7000000179"/>
    <n v="-1385976.7000000179"/>
  </r>
  <r>
    <x v="37"/>
    <s v="Yes"/>
    <s v="CAM ARES RISPARMIO ATTIVO M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32885137.42170599"/>
    <n v="286172410"/>
    <m/>
    <b v="0"/>
    <m/>
    <n v="-8096631.620000002"/>
    <n v="276712413"/>
    <n v="276.71241300000003"/>
    <n v="9459997"/>
    <n v="9459997"/>
  </r>
  <r>
    <x v="38"/>
    <s v="Yes"/>
    <s v="CAM ARES RISPARMIO BILANCIATO M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75215585.57200199"/>
    <n v="44621309"/>
    <m/>
    <b v="0"/>
    <m/>
    <n v="-915885.27000000014"/>
    <n v="44663645"/>
    <n v="44.663645000000002"/>
    <n v="-42336"/>
    <n v="-42336"/>
  </r>
  <r>
    <x v="39"/>
    <s v="Yes"/>
    <s v="CAM ARES RISPARMIO OBBLIGAZ. M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0066014.82525399"/>
    <n v="29605967"/>
    <m/>
    <b v="0"/>
    <m/>
    <n v="-567692.13"/>
    <n v="29944309"/>
    <n v="29.944309000000001"/>
    <n v="-338342"/>
    <n v="-338342"/>
  </r>
  <r>
    <x v="40"/>
    <s v="Yes"/>
    <s v="CAM CNP - LINEA  DINAMICA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55352140.60327399"/>
    <n v="20379176"/>
    <m/>
    <b v="0"/>
    <m/>
    <n v="-444459.29000000004"/>
    <n v="20364888"/>
    <n v="20.364888000000001"/>
    <n v="14288"/>
    <n v="14288"/>
  </r>
  <r>
    <x v="41"/>
    <s v="Yes"/>
    <s v="CAM CRESCITA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44033874.81555301"/>
    <n v="1259071"/>
    <m/>
    <b v="0"/>
    <m/>
    <n v="-19473.099999999995"/>
    <n v="1226192"/>
    <n v="1.2261919999999999"/>
    <n v="32879"/>
    <n v="32879"/>
  </r>
  <r>
    <x v="42"/>
    <s v="Yes"/>
    <s v="CAM MEDIUM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64099154.06433299"/>
    <n v="221348"/>
    <m/>
    <b v="0"/>
    <m/>
    <m/>
    <n v="215898"/>
    <n v="0.21589800000000001"/>
    <n v="5450"/>
    <n v="5450"/>
  </r>
  <r>
    <x v="43"/>
    <s v="Yes"/>
    <s v="CAM OBBLIGAZIONARIA EUR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1327249.913721"/>
    <n v="2649"/>
    <m/>
    <b v="0"/>
    <m/>
    <m/>
    <n v="2649"/>
    <n v="2.6489999999999999E-3"/>
    <n v="0"/>
    <n v="0"/>
  </r>
  <r>
    <x v="44"/>
    <s v="Yes"/>
    <s v="CAM REDDIT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8785755.166821"/>
    <n v="83275"/>
    <m/>
    <b v="0"/>
    <m/>
    <m/>
    <n v="82952"/>
    <n v="8.2951999999999998E-2"/>
    <n v="323"/>
    <n v="323"/>
  </r>
  <r>
    <x v="45"/>
    <s v="Yes"/>
    <s v="CAM STEP ONE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22766479.464708"/>
    <n v="78465"/>
    <m/>
    <b v="0"/>
    <m/>
    <m/>
    <n v="77392"/>
    <n v="7.7392000000000002E-2"/>
    <n v="1073"/>
    <n v="1073"/>
  </r>
  <r>
    <x v="46"/>
    <s v="Yes"/>
    <s v="CAM SVILUPPO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20197773.695786"/>
    <n v="33771"/>
    <m/>
    <b v="0"/>
    <m/>
    <m/>
    <n v="33771"/>
    <n v="3.3771000000000002E-2"/>
    <n v="0"/>
    <n v="0"/>
  </r>
  <r>
    <x v="47"/>
    <s v="Yes"/>
    <s v="CAM TREND 20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26520197.485156"/>
    <n v="23564"/>
    <m/>
    <b v="0"/>
    <m/>
    <m/>
    <n v="23564"/>
    <n v="2.3564000000000002E-2"/>
    <n v="0"/>
    <n v="0"/>
  </r>
  <r>
    <x v="48"/>
    <s v="Yes"/>
    <s v="Life Program Bond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6344307.007341"/>
    <n v="86278219"/>
    <m/>
    <b v="0"/>
    <m/>
    <n v="-4047481.4800000009"/>
    <n v="89492990"/>
    <n v="89.492990000000006"/>
    <n v="-3214771"/>
    <n v="-3214771"/>
  </r>
  <r>
    <x v="49"/>
    <s v="Yes"/>
    <s v="Life Program Flessibile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23139636.995855"/>
    <n v="24819922"/>
    <m/>
    <b v="0"/>
    <m/>
    <n v="-916591.71999999974"/>
    <n v="25631869"/>
    <n v="25.631868999999998"/>
    <n v="-811947"/>
    <n v="-811947"/>
  </r>
  <r>
    <x v="50"/>
    <s v="Yes"/>
    <s v="PL Euro Bond 1 to 3 years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21277565.483007"/>
    <n v="87573063"/>
    <m/>
    <b v="0"/>
    <m/>
    <n v="-4628998.620000001"/>
    <n v="91452737"/>
    <n v="91.452736999999999"/>
    <n v="-3879674"/>
    <n v="-3879674"/>
  </r>
  <r>
    <x v="51"/>
    <s v="Yes"/>
    <s v="PL Income Clock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203127455.50508699"/>
    <n v="33652386"/>
    <m/>
    <b v="0"/>
    <m/>
    <n v="-373108.55999999994"/>
    <n v="33951455"/>
    <n v="33.951455000000003"/>
    <n v="-299069"/>
    <n v="-299069"/>
  </r>
  <r>
    <x v="52"/>
    <s v="Yes"/>
    <s v="UL BILANCIATA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71772844.79818401"/>
    <n v="10517233"/>
    <m/>
    <b v="0"/>
    <m/>
    <n v="-614112.52"/>
    <n v="11114645"/>
    <n v="11.114644999999999"/>
    <n v="-597412"/>
    <n v="-597412"/>
  </r>
  <r>
    <x v="53"/>
    <s v="Yes"/>
    <s v="UL BILANCIATA PIU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73815813.46287501"/>
    <n v="17251250"/>
    <m/>
    <b v="0"/>
    <m/>
    <n v="-514722.49999999988"/>
    <n v="17726631"/>
    <n v="17.726631000000001"/>
    <n v="-475381"/>
    <n v="-475381"/>
  </r>
  <r>
    <x v="54"/>
    <s v="Yes"/>
    <s v="UL DINAMICA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78110589.65588099"/>
    <n v="18063937"/>
    <m/>
    <b v="0"/>
    <m/>
    <n v="-905874.80999999994"/>
    <n v="19013976"/>
    <n v="19.013976"/>
    <n v="-950039"/>
    <n v="-950039"/>
  </r>
  <r>
    <x v="55"/>
    <s v="Yes"/>
    <s v="UL PRUDENTE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60292239.99039599"/>
    <n v="12030736"/>
    <m/>
    <b v="0"/>
    <m/>
    <n v="-668763.87000000011"/>
    <n v="12689996"/>
    <n v="12.689996000000001"/>
    <n v="-659260"/>
    <n v="-659260"/>
  </r>
  <r>
    <x v="56"/>
    <s v="Yes"/>
    <s v="UL PRUDENTE PIU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70166928.79846799"/>
    <n v="15554245"/>
    <m/>
    <b v="0"/>
    <m/>
    <n v="-673150.85"/>
    <n v="16167560"/>
    <n v="16.167560000000002"/>
    <n v="-613315"/>
    <n v="-613315"/>
  </r>
  <r>
    <x v="57"/>
    <s v="Yes"/>
    <s v="UNIFLEX ACTIVE 1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43350273.71078199"/>
    <n v="1363503"/>
    <m/>
    <b v="0"/>
    <m/>
    <n v="-8576.35"/>
    <n v="1364632"/>
    <n v="1.3646320000000001"/>
    <n v="-1129"/>
    <n v="-1129"/>
  </r>
  <r>
    <x v="58"/>
    <s v="Yes"/>
    <s v="UNIFLEX ACTIVE 2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52499167.475393"/>
    <n v="26945800"/>
    <m/>
    <b v="0"/>
    <m/>
    <n v="-155507.10000000009"/>
    <n v="26955727"/>
    <n v="26.955727"/>
    <n v="-9927"/>
    <n v="-9927"/>
  </r>
  <r>
    <x v="59"/>
    <s v="Yes"/>
    <s v="UNIFLEX ACTIVE 3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57395061.84757999"/>
    <n v="795570"/>
    <m/>
    <b v="0"/>
    <m/>
    <n v="-3761.6500000000005"/>
    <n v="794524"/>
    <n v="0.79452400000000001"/>
    <n v="1046"/>
    <n v="1046"/>
  </r>
  <r>
    <x v="60"/>
    <s v="Yes"/>
    <s v="Unit Linked A TR UNIPLAN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23986749.370975"/>
    <n v="12280450"/>
    <m/>
    <b v="0"/>
    <m/>
    <n v="-644373.75999999989"/>
    <n v="12897265"/>
    <n v="12.897265000000001"/>
    <n v="-616815"/>
    <n v="-616815"/>
  </r>
  <r>
    <x v="61"/>
    <s v="Yes"/>
    <s v="Unit Linked AMix UNIPLAN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62393071.78226301"/>
    <n v="255343"/>
    <m/>
    <b v="0"/>
    <m/>
    <n v="-17807.07"/>
    <n v="272765"/>
    <n v="0.27276499999999998"/>
    <n v="-17422"/>
    <n v="-17422"/>
  </r>
  <r>
    <x v="62"/>
    <s v="Yes"/>
    <s v="UNIT LINKED E2 NEW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6117570.69861901"/>
    <n v="7616069"/>
    <m/>
    <b v="0"/>
    <m/>
    <n v="-350635.67999999988"/>
    <n v="7920799"/>
    <n v="7.9207989999999997"/>
    <n v="-304730"/>
    <n v="-304730"/>
  </r>
  <r>
    <x v="63"/>
    <s v="Yes"/>
    <s v="UNIT LINKED E3 NEW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66141402.92062801"/>
    <n v="72484395"/>
    <m/>
    <b v="0"/>
    <m/>
    <n v="-1379157.7200000009"/>
    <n v="73864832"/>
    <n v="73.864832000000007"/>
    <n v="-1380437"/>
    <n v="-1380437"/>
  </r>
  <r>
    <x v="64"/>
    <s v="Yes"/>
    <s v="UNIT LINKED E4 NEW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158113575.86113399"/>
    <n v="64408792"/>
    <m/>
    <b v="0"/>
    <m/>
    <n v="-1481691.5300000005"/>
    <n v="65910670"/>
    <n v="65.910669999999996"/>
    <n v="-1501878"/>
    <n v="-1501878"/>
  </r>
  <r>
    <x v="65"/>
    <s v="Yes"/>
    <s v="UNIT LINKED E6 NEW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44184151.890834"/>
    <n v="128787502"/>
    <m/>
    <b v="0"/>
    <m/>
    <n v="-2446438.419999999"/>
    <n v="132733973"/>
    <n v="132.73397299999999"/>
    <n v="-3946471"/>
    <n v="-3946471"/>
  </r>
  <r>
    <x v="66"/>
    <s v="Yes"/>
    <s v="UNIT LINKED G4 NEW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96970719.92772499"/>
    <n v="411051"/>
    <m/>
    <b v="0"/>
    <m/>
    <n v="-681.71"/>
    <n v="406916"/>
    <n v="0.406916"/>
    <n v="4135"/>
    <n v="4135"/>
  </r>
  <r>
    <x v="67"/>
    <s v="Yes"/>
    <s v="UNIT LINKED G5 NEW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1639044963.34446"/>
    <n v="395535"/>
    <m/>
    <b v="0"/>
    <m/>
    <n v="-1323.0099999999998"/>
    <n v="393174"/>
    <n v="0.39317400000000002"/>
    <n v="2361"/>
    <n v="2361"/>
  </r>
  <r>
    <x v="68"/>
    <s v="Yes"/>
    <s v="Unit Linked OLD 4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9879073.65219"/>
    <n v="1067361"/>
    <m/>
    <b v="0"/>
    <m/>
    <n v="-182908.58999999997"/>
    <n v="1249574"/>
    <n v="1.249574"/>
    <n v="-182213"/>
    <n v="-182213"/>
  </r>
  <r>
    <x v="69"/>
    <s v="Yes"/>
    <s v="Univalore E Strategia 2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17530297.356382"/>
    <n v="23044548"/>
    <m/>
    <b v="0"/>
    <m/>
    <n v="-1652714.3599999989"/>
    <n v="24509694"/>
    <n v="24.509694"/>
    <n v="-1465146"/>
    <n v="-1465146"/>
  </r>
  <r>
    <x v="70"/>
    <s v="Yes"/>
    <s v="Univalore E Strategia 3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18165044.484503"/>
    <n v="234658014"/>
    <m/>
    <b v="0"/>
    <m/>
    <n v="-17940993.880000018"/>
    <n v="250680875"/>
    <n v="250.68087499999999"/>
    <n v="-16022861"/>
    <n v="-16022861"/>
  </r>
  <r>
    <x v="71"/>
    <s v="Yes"/>
    <s v="Univalore E Strategia 4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32504447.23408601"/>
    <n v="17723615"/>
    <m/>
    <b v="0"/>
    <m/>
    <n v="-1681571.7899999993"/>
    <n v="19212387"/>
    <n v="19.212387"/>
    <n v="-1488772"/>
    <n v="-1488772"/>
  </r>
  <r>
    <x v="72"/>
    <s v="Yes"/>
    <s v="Univalore E Strategia 70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55309118.75409299"/>
    <n v="328851184"/>
    <m/>
    <b v="0"/>
    <m/>
    <n v="-40659051.159999982"/>
    <n v="366473118"/>
    <n v="366.473118"/>
    <n v="-37621934"/>
    <n v="-37621934"/>
  </r>
  <r>
    <x v="73"/>
    <s v="Yes"/>
    <s v="Univalore Stars Balanced"/>
    <s v="Model"/>
    <s v="On Original Risk List  "/>
    <s v="From Risk - Fund Responsibility - Model Portfolios"/>
    <x v="0"/>
    <x v="6"/>
    <m/>
    <m/>
    <s v="AMUNDI.IRL/INV/MAS/PMG"/>
    <s v="BUONO SALVATORE"/>
    <s v="To be Affected"/>
    <m/>
    <n v="142608981.84143099"/>
    <n v="550852602"/>
    <m/>
    <b v="0"/>
    <m/>
    <n v="-66777686.989999987"/>
    <n v="613264658"/>
    <n v="613.26465800000005"/>
    <n v="-62412056"/>
    <n v="-62412056"/>
  </r>
  <r>
    <x v="74"/>
    <s v="Yes"/>
    <s v="PL Euro Bond over 3 years"/>
    <s v="Model"/>
    <s v="On Original Risk List  "/>
    <s v="From Risk - Fund Responsibility - Model Portfolios"/>
    <x v="0"/>
    <x v="1"/>
    <m/>
    <m/>
    <s v="AMUNDI.IRL/INV/MAS/PMG/PMG"/>
    <s v="CASEY RICHARD"/>
    <s v="To be Affected"/>
    <m/>
    <n v="173624542.66213301"/>
    <n v="122521317"/>
    <m/>
    <b v="0"/>
    <m/>
    <n v="-188585.52999999974"/>
    <n v="121839302"/>
    <n v="121.839302"/>
    <n v="682015"/>
    <n v="682015"/>
  </r>
  <r>
    <x v="75"/>
    <s v="Yes"/>
    <s v="CAM Agost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123064.31436101"/>
    <n v="142698"/>
    <m/>
    <b v="0"/>
    <m/>
    <n v="-1625.16"/>
    <n v="143073"/>
    <n v="0.14307300000000001"/>
    <n v="-375"/>
    <n v="-375"/>
  </r>
  <r>
    <x v="76"/>
    <s v="Yes"/>
    <s v="CAM April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5431829.81326699"/>
    <n v="87215"/>
    <m/>
    <b v="0"/>
    <m/>
    <n v="-1505.89"/>
    <n v="87979"/>
    <n v="8.7979000000000002E-2"/>
    <n v="-764"/>
    <n v="-764"/>
  </r>
  <r>
    <x v="77"/>
    <s v="Yes"/>
    <s v="CAM Dicem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257809.171958"/>
    <n v="4871246"/>
    <m/>
    <b v="0"/>
    <m/>
    <n v="-70599.200000000041"/>
    <n v="4891405"/>
    <n v="4.8914049999999998"/>
    <n v="-20159"/>
    <n v="-20159"/>
  </r>
  <r>
    <x v="78"/>
    <s v="Yes"/>
    <s v="CAM Febbra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6304444.90159"/>
    <n v="341235"/>
    <m/>
    <b v="0"/>
    <m/>
    <n v="-2087.83"/>
    <n v="340831"/>
    <n v="0.340831"/>
    <n v="404"/>
    <n v="404"/>
  </r>
  <r>
    <x v="79"/>
    <s v="Yes"/>
    <s v="CAM Genna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5816999.138579"/>
    <n v="187778"/>
    <m/>
    <b v="0"/>
    <m/>
    <n v="-1740.22"/>
    <n v="187915"/>
    <n v="0.187915"/>
    <n v="-137"/>
    <n v="-137"/>
  </r>
  <r>
    <x v="80"/>
    <s v="Yes"/>
    <s v="CAM Giugn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7971611.001837"/>
    <n v="634676"/>
    <m/>
    <b v="0"/>
    <m/>
    <n v="-2758.01"/>
    <n v="631685"/>
    <n v="0.63168500000000005"/>
    <n v="2991"/>
    <n v="2991"/>
  </r>
  <r>
    <x v="81"/>
    <s v="Yes"/>
    <s v="CAM Magg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6807681.44795699"/>
    <n v="134904"/>
    <m/>
    <b v="0"/>
    <m/>
    <n v="-1605.7"/>
    <n v="135227"/>
    <n v="0.13522700000000001"/>
    <n v="-323"/>
    <n v="-323"/>
  </r>
  <r>
    <x v="82"/>
    <s v="Yes"/>
    <s v="CAM Marz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5199855.064237"/>
    <n v="154948"/>
    <m/>
    <b v="0"/>
    <m/>
    <n v="-1644.49"/>
    <n v="155214"/>
    <n v="0.15521399999999999"/>
    <n v="-266"/>
    <n v="-266"/>
  </r>
  <r>
    <x v="83"/>
    <s v="Yes"/>
    <s v="CAM Novem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11570275.28652801"/>
    <n v="279016"/>
    <m/>
    <b v="0"/>
    <m/>
    <n v="-1958.1100000000001"/>
    <n v="278072"/>
    <n v="0.27807199999999999"/>
    <n v="944"/>
    <n v="944"/>
  </r>
  <r>
    <x v="84"/>
    <s v="Yes"/>
    <s v="CAM Otto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11414919.584572"/>
    <n v="28074"/>
    <m/>
    <b v="0"/>
    <m/>
    <n v="-1209.0000000000002"/>
    <n v="29020"/>
    <n v="2.9020000000000001E-2"/>
    <n v="-946"/>
    <n v="-946"/>
  </r>
  <r>
    <x v="85"/>
    <s v="Yes"/>
    <s v="CAM Settembre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977985.737858"/>
    <n v="16557"/>
    <m/>
    <b v="0"/>
    <m/>
    <n v="-579.68999999999983"/>
    <n v="16991"/>
    <n v="1.6990999999999999E-2"/>
    <n v="-434"/>
    <n v="-434"/>
  </r>
  <r>
    <x v="86"/>
    <s v="Yes"/>
    <s v="CNP THEMAT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195364106"/>
    <m/>
    <m/>
    <m/>
    <n v="-10521304.209999999"/>
    <n v="201751089"/>
    <n v="201.75108900000001"/>
    <n v="-6386983"/>
    <n v="-6386983"/>
  </r>
  <r>
    <x v="87"/>
    <s v="Yes"/>
    <s v="CRV THEMAT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307505809"/>
    <m/>
    <m/>
    <m/>
    <n v="-11494400.819999998"/>
    <n v="312423908"/>
    <n v="312.42390799999998"/>
    <n v="-4918099"/>
    <n v="-4918099"/>
  </r>
  <r>
    <x v="88"/>
    <s v="Yes"/>
    <s v="CNP Dynam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n v="111167018.79302099"/>
    <n v="116832547"/>
    <m/>
    <b v="0"/>
    <m/>
    <n v="-16088829.240000004"/>
    <n v="132260888"/>
    <n v="132.26088799999999"/>
    <n v="-15428341"/>
    <n v="-15428341"/>
  </r>
  <r>
    <x v="89"/>
    <s v="Yes"/>
    <s v="CRV Dynamic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n v="110734811.618277"/>
    <n v="279293562"/>
    <m/>
    <b v="0"/>
    <m/>
    <n v="-25728394.100000024"/>
    <n v="303707882"/>
    <n v="303.70788199999998"/>
    <n v="-24414320"/>
    <n v="-24414320"/>
  </r>
  <r>
    <x v="90"/>
    <s v="Yes"/>
    <s v="CNP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96897819"/>
    <m/>
    <b v="0"/>
    <m/>
    <n v="367906.5400000001"/>
    <n v="92942418"/>
    <n v="92.942418000000004"/>
    <n v="3955401"/>
    <n v="3955401"/>
  </r>
  <r>
    <x v="91"/>
    <s v="Yes"/>
    <s v="CRV Protection 80"/>
    <s v="Model"/>
    <s v="On Original Risk List  "/>
    <s v="From Risk - Fund Responsibility - Model Portfolios"/>
    <x v="1"/>
    <x v="11"/>
    <m/>
    <m/>
    <s v="AMUNDI.IRL/INV/MAS/PMG"/>
    <s v="BUONO SALVATORE"/>
    <s v="To be Affected"/>
    <m/>
    <m/>
    <n v="106822030"/>
    <m/>
    <b v="0"/>
    <m/>
    <n v="1020637.6299999998"/>
    <n v="101671056"/>
    <n v="101.67105599999999"/>
    <n v="5150974"/>
    <n v="5150974"/>
  </r>
  <r>
    <x v="92"/>
    <s v="Yes"/>
    <s v="UL Life Income"/>
    <s v="Model"/>
    <s v="On Original Risk List  "/>
    <s v="From Risk - Fund Responsibility - Model Portfolios"/>
    <x v="1"/>
    <x v="4"/>
    <m/>
    <m/>
    <s v="AMUNDI.IRL/INV/MAS/PMG"/>
    <s v="BUONO SALVATORE"/>
    <s v="To be Affected"/>
    <m/>
    <n v="123428954.947797"/>
    <n v="215406941"/>
    <m/>
    <b v="0"/>
    <m/>
    <n v="-15247022.630000001"/>
    <n v="230490457"/>
    <n v="230.49045699999999"/>
    <n v="-15083516"/>
    <n v="-15083516"/>
  </r>
  <r>
    <x v="93"/>
    <s v="Yes"/>
    <s v="UL Life Income 360"/>
    <s v="Model"/>
    <s v="On Original Risk List  "/>
    <s v="From Risk - Fund Responsibility - Model Portfolios"/>
    <x v="1"/>
    <x v="4"/>
    <m/>
    <m/>
    <s v="AMUNDI.IRL/INV/MAS/PMG"/>
    <s v="BUONO SALVATORE"/>
    <s v="To be Affected"/>
    <m/>
    <n v="121179752.07127599"/>
    <n v="154991340"/>
    <m/>
    <b v="0"/>
    <m/>
    <n v="-14572498.070000004"/>
    <n v="170018725"/>
    <n v="170.01872499999999"/>
    <n v="-15027385"/>
    <n v="-15027385"/>
  </r>
  <r>
    <x v="94"/>
    <s v="Yes"/>
    <s v="Unit Linked Multi Equity Accumulation"/>
    <s v="Model"/>
    <s v="On Original Risk List  "/>
    <s v="From Risk - Fund Responsibility - Model Portfolios"/>
    <x v="1"/>
    <x v="3"/>
    <m/>
    <m/>
    <s v="AMUNDI.IRL/INV/MAS/PMG"/>
    <s v="BUONO SALVATORE"/>
    <s v="To be Affected"/>
    <m/>
    <n v="118882703.590166"/>
    <n v="4704953"/>
    <m/>
    <b v="0"/>
    <m/>
    <n v="-340502.77"/>
    <n v="5173858"/>
    <n v="5.1738580000000001"/>
    <n v="-468905"/>
    <n v="-468905"/>
  </r>
  <r>
    <x v="95"/>
    <s v="Yes"/>
    <s v="Univalore Stars Income"/>
    <s v="Model"/>
    <s v="On Original Risk List  "/>
    <s v="From Risk - Fund Responsibility - Model Portfolios"/>
    <x v="1"/>
    <x v="4"/>
    <m/>
    <m/>
    <s v="AMUNDI.IRL/INV/MAS/PMG"/>
    <s v="BUONO SALVATORE"/>
    <s v="To be Affected"/>
    <m/>
    <n v="119055652.78436001"/>
    <n v="239238036"/>
    <m/>
    <b v="0"/>
    <m/>
    <n v="-24530124.020000018"/>
    <n v="263555955"/>
    <n v="263.55595499999998"/>
    <n v="-24317919"/>
    <n v="-24317919"/>
  </r>
  <r>
    <x v="96"/>
    <s v="Yes"/>
    <s v="CAM Luglio"/>
    <s v="Model"/>
    <s v="On Original Risk List  "/>
    <s v="From Risk - Fund Responsibility - Model Portfolios"/>
    <x v="1"/>
    <x v="10"/>
    <m/>
    <m/>
    <s v="AMUNDI.IRL/INV/MAS/PMG"/>
    <s v="BUONO SALVATORE"/>
    <s v="To be Affected"/>
    <m/>
    <n v="108446631.677074"/>
    <n v="77561"/>
    <m/>
    <b v="0"/>
    <m/>
    <m/>
    <n v="78336"/>
    <n v="7.8336000000000003E-2"/>
    <n v="-775"/>
    <n v="-775"/>
  </r>
  <r>
    <x v="97"/>
    <s v="Yes"/>
    <s v="UL_Bilanciata_+ERGO"/>
    <s v="Model"/>
    <s v="On Original Risk List  "/>
    <s v="From Risk - Fund Responsibility - Model Portfolios"/>
    <x v="0"/>
    <x v="0"/>
    <m/>
    <m/>
    <s v="AMUNDI.IRL/INV/MAS/PMG"/>
    <s v="BUONO SALVATORE"/>
    <s v="To be Affected"/>
    <m/>
    <n v="207709959.66864499"/>
    <n v="5017578"/>
    <m/>
    <b v="0"/>
    <m/>
    <m/>
    <n v="5017578"/>
    <n v="5.0175780000000003"/>
    <n v="0"/>
    <n v="0"/>
  </r>
  <r>
    <x v="98"/>
    <s v="Yes"/>
    <s v="UL_Dinamica ERGO"/>
    <s v="Model"/>
    <s v="On Original Risk List  "/>
    <s v="From Risk - Fund Responsibility - Model Portfolios"/>
    <x v="0"/>
    <x v="2"/>
    <m/>
    <m/>
    <s v="AMUNDI.IRL/INV/MAS/PMG"/>
    <s v="BUONO SALVATORE"/>
    <s v="To be Affected"/>
    <m/>
    <n v="251863210.81133899"/>
    <n v="0"/>
    <m/>
    <b v="0"/>
    <m/>
    <m/>
    <n v="0"/>
    <n v="0"/>
    <n v="0"/>
    <n v="0"/>
  </r>
  <r>
    <x v="99"/>
    <s v="Yes"/>
    <s v="UL_Prudente ERG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57209342.62897399"/>
    <n v="0"/>
    <m/>
    <b v="0"/>
    <m/>
    <m/>
    <n v="0"/>
    <n v="0"/>
    <n v="0"/>
    <n v="0"/>
  </r>
  <r>
    <x v="100"/>
    <s v="Yes"/>
    <s v="UL_Prudente_+ ERGO"/>
    <s v="Model"/>
    <s v="On Original Risk List  "/>
    <s v="From Risk - Fund Responsibility - Model Portfolios"/>
    <x v="0"/>
    <x v="1"/>
    <m/>
    <m/>
    <s v="AMUNDI.IRL/INV/MAS/PMG"/>
    <s v="BUONO SALVATORE"/>
    <s v="To be Affected"/>
    <m/>
    <n v="176197956.52590799"/>
    <n v="0"/>
    <m/>
    <b v="0"/>
    <m/>
    <m/>
    <n v="0"/>
    <n v="0"/>
    <n v="0"/>
    <n v="0"/>
  </r>
  <r>
    <x v="101"/>
    <s v="Yes"/>
    <s v="CNP Linea Protetta Dinamica Plus"/>
    <s v="Model"/>
    <s v="Added by Ronan"/>
    <s v="From Risk - Fund Responsibility - Model Portfolios"/>
    <x v="0"/>
    <x v="2"/>
    <m/>
    <m/>
    <m/>
    <m/>
    <m/>
    <m/>
    <m/>
    <n v="3991454"/>
    <m/>
    <b v="0"/>
    <m/>
    <n v="-34928.270000000019"/>
    <n v="3913810"/>
    <n v="3.9138099999999998"/>
    <n v="77644"/>
    <n v="77644"/>
  </r>
  <r>
    <x v="102"/>
    <s v="Yes"/>
    <s v="UL CAUTA"/>
    <s v="Model"/>
    <s v="On Original Risk List  "/>
    <s v="From Risk - Models master - Sheet 1"/>
    <x v="0"/>
    <x v="1"/>
    <m/>
    <m/>
    <s v="AMUNDI.IRL/INV/MAS/PMG"/>
    <s v="BUONO SALVATORE"/>
    <s v="To be Affected"/>
    <m/>
    <n v="134854780.55061799"/>
    <n v="27311192"/>
    <m/>
    <b v="0"/>
    <m/>
    <n v="-523806.44999999984"/>
    <n v="27597514"/>
    <n v="27.597514"/>
    <n v="-286322"/>
    <n v="-286322"/>
  </r>
  <r>
    <x v="103"/>
    <s v="Yes"/>
    <s v="Unit Linked UN GOALS"/>
    <s v="Model"/>
    <m/>
    <m/>
    <x v="1"/>
    <x v="5"/>
    <m/>
    <m/>
    <m/>
    <m/>
    <m/>
    <m/>
    <m/>
    <n v="909580051"/>
    <m/>
    <b v="0"/>
    <m/>
    <n v="8885720.7199999932"/>
    <n v="869067080"/>
    <n v="869.06708000000003"/>
    <n v="40512971"/>
    <n v="40512971"/>
  </r>
  <r>
    <x v="104"/>
    <s v="Yes"/>
    <s v="Unit Linked Multi Asset Trend"/>
    <s v="Model"/>
    <m/>
    <m/>
    <x v="1"/>
    <x v="5"/>
    <m/>
    <m/>
    <m/>
    <m/>
    <m/>
    <m/>
    <m/>
    <n v="252843377"/>
    <m/>
    <b v="0"/>
    <m/>
    <n v="6517412.1099999938"/>
    <n v="239873847"/>
    <n v="239.87384700000001"/>
    <n v="12969530"/>
    <n v="12969530"/>
  </r>
  <r>
    <x v="105"/>
    <s v="Yes"/>
    <s v="Unit Linked Future Trend"/>
    <s v="Model"/>
    <m/>
    <m/>
    <x v="1"/>
    <x v="5"/>
    <m/>
    <m/>
    <m/>
    <m/>
    <m/>
    <m/>
    <m/>
    <s v=""/>
    <m/>
    <b v="0"/>
    <m/>
    <n v="226891.29000000094"/>
    <s v=""/>
    <s v=""/>
    <s v=""/>
    <s v=""/>
  </r>
  <r>
    <x v="106"/>
    <s v="Yes"/>
    <s v="Unit Linked Multi Thematic Global Eq"/>
    <s v="Model"/>
    <s v="On Original Risk List  "/>
    <s v="From Risk - Models master - Sheet 1"/>
    <x v="1"/>
    <x v="5"/>
    <m/>
    <m/>
    <m/>
    <m/>
    <m/>
    <m/>
    <m/>
    <m/>
    <m/>
    <b v="0"/>
    <m/>
    <m/>
    <m/>
    <n v="0"/>
    <n v="0"/>
    <n v="0"/>
  </r>
  <r>
    <x v="107"/>
    <s v="Yes"/>
    <s v="ASSET ALLOCATION MODEL PROTETTO 80"/>
    <s v="Model"/>
    <s v="Added by Ronan"/>
    <s v="Models AUM - Desk Mapping"/>
    <x v="1"/>
    <x v="11"/>
    <m/>
    <m/>
    <m/>
    <m/>
    <m/>
    <m/>
    <m/>
    <n v="105977735"/>
    <m/>
    <b v="0"/>
    <m/>
    <n v="-3090101.6899999995"/>
    <n v="108101631"/>
    <n v="108.101631"/>
    <n v="-2123896"/>
    <n v="-2123896"/>
  </r>
  <r>
    <x v="108"/>
    <s v="Yes"/>
    <s v="STEP CRESCITA"/>
    <s v="Model"/>
    <s v="On Original Risk List  "/>
    <s v="Not on another list - but included verbally by Salva"/>
    <x v="1"/>
    <x v="3"/>
    <m/>
    <m/>
    <s v="AMUNDI.IRL/INV/MAS/PMG"/>
    <s v="BUONO SALVATORE"/>
    <s v="To be Affected"/>
    <m/>
    <n v="99030590.242356494"/>
    <m/>
    <m/>
    <b v="0"/>
    <m/>
    <n v="-334707.83"/>
    <m/>
    <n v="0"/>
    <n v="0"/>
    <n v="0"/>
  </r>
  <r>
    <x v="109"/>
    <s v="Yes"/>
    <s v="DISCRETIONARY INCOME ORIENTED PRODUCTS 3"/>
    <s v="Model"/>
    <s v="On Original Risk List  "/>
    <s v="Not on another list - but included verbally by Salva"/>
    <x v="1"/>
    <x v="4"/>
    <m/>
    <m/>
    <s v="AMUNDI.IRL/INV/MAS/PMG"/>
    <s v="NICHOLAS POTHIER"/>
    <s v="To be Affected"/>
    <m/>
    <n v="102220704.24242701"/>
    <n v="5231379.8499999996"/>
    <m/>
    <b v="0"/>
    <m/>
    <m/>
    <n v="6968432.6399999997"/>
    <n v="6.9684326399999996"/>
    <n v="-1737052.79"/>
    <n v="-1737052.79"/>
  </r>
  <r>
    <x v="110"/>
    <s v="Yes"/>
    <s v="DISCRETIONARY INCOME ORIENTED PRODUCTS 4"/>
    <s v="Model"/>
    <s v="On Original Risk List  "/>
    <s v="Not on another list - but included verbally by Salva"/>
    <x v="1"/>
    <x v="5"/>
    <m/>
    <m/>
    <s v="AMUNDI.IRL/INV/MAS/PMG"/>
    <s v="NICHOLAS POTHIER"/>
    <s v="To be Affected"/>
    <m/>
    <n v="102840578.94022"/>
    <n v="9542350.5099999998"/>
    <m/>
    <b v="0"/>
    <m/>
    <m/>
    <n v="14185291.16"/>
    <n v="14.18529116"/>
    <n v="-4642940.6500000004"/>
    <n v="-4642940.6500000004"/>
  </r>
  <r>
    <x v="111"/>
    <s v="Yes"/>
    <s v="BB SECURITIES EURO GOVT CORE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2684355.49557801"/>
    <n v="0"/>
    <m/>
    <e v="#N/A"/>
    <m/>
    <m/>
    <n v="0"/>
    <n v="0"/>
    <n v="0"/>
    <n v="0"/>
  </r>
  <r>
    <x v="112"/>
    <s v="Yes"/>
    <s v="BB SECURITIES EURO GOVT PERIPHERAL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5073036.860901"/>
    <n v="0"/>
    <m/>
    <e v="#N/A"/>
    <m/>
    <m/>
    <n v="0"/>
    <n v="0"/>
    <n v="0"/>
    <n v="0"/>
  </r>
  <r>
    <x v="113"/>
    <s v="Yes"/>
    <s v="BB SECURITIES EURO IG CREDIT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2950891.035953"/>
    <n v="0"/>
    <m/>
    <e v="#N/A"/>
    <m/>
    <m/>
    <n v="0"/>
    <n v="0"/>
    <n v="0"/>
    <n v="0"/>
  </r>
  <r>
    <x v="114"/>
    <s v="Yes"/>
    <s v="BB SECURITIES US TREASURY BOND"/>
    <m/>
    <s v="On Original Risk List  "/>
    <s v="Not on another list - but included verbally by Salva"/>
    <x v="3"/>
    <x v="7"/>
    <m/>
    <m/>
    <s v="AMUNDI.IRL/INV/MAS/PMG/PMG"/>
    <s v="CASEY RICHARD"/>
    <s v="To be Affected"/>
    <m/>
    <n v="103916500.733969"/>
    <n v="0"/>
    <m/>
    <e v="#N/A"/>
    <m/>
    <m/>
    <n v="0"/>
    <n v="0"/>
    <n v="0"/>
    <n v="0"/>
  </r>
  <r>
    <x v="115"/>
    <s v="Yes"/>
    <s v="DISCRETIONARY INCOME ORIENTED PRODUCTS 1"/>
    <s v="Model"/>
    <s v="On Original Risk List  "/>
    <s v="Not on another list - but included verbally by Salva"/>
    <x v="1"/>
    <x v="4"/>
    <m/>
    <m/>
    <m/>
    <m/>
    <m/>
    <m/>
    <m/>
    <n v="9442288.8699999992"/>
    <m/>
    <b v="0"/>
    <m/>
    <m/>
    <n v="9783751.7300000004"/>
    <n v="9.7837517300000005"/>
    <n v="-341462.86000000127"/>
    <n v="-341462.86000000127"/>
  </r>
  <r>
    <x v="116"/>
    <s v="Yes"/>
    <s v="DISCRETIONARY INCOME ORIENTED PRODUCTS 2"/>
    <s v="Model"/>
    <s v="On Original Risk List  "/>
    <s v="Not on another list - but included verbally by Salva"/>
    <x v="1"/>
    <x v="4"/>
    <m/>
    <m/>
    <m/>
    <m/>
    <m/>
    <m/>
    <m/>
    <n v="3345435.45"/>
    <m/>
    <b v="0"/>
    <m/>
    <m/>
    <n v="3901388.43"/>
    <n v="3.9013884300000004"/>
    <n v="-555952.98"/>
    <n v="-555952.98"/>
  </r>
  <r>
    <x v="117"/>
    <s v="Yes"/>
    <s v="ASI - PROGETTO AZION MILLENNIALS II"/>
    <s v="Fund"/>
    <s v="On Original Risk List  "/>
    <s v="From Risk - Fund Responsibility - Dublin Funds"/>
    <x v="3"/>
    <x v="7"/>
    <m/>
    <m/>
    <m/>
    <s v="CASEY RICHARD"/>
    <s v="To be Affected"/>
    <s v="DUB EFI Absolute Return Aggregate"/>
    <m/>
    <m/>
    <m/>
    <b v="0"/>
    <m/>
    <m/>
    <m/>
    <m/>
    <m/>
    <m/>
  </r>
  <r>
    <x v="118"/>
    <s v="Yes"/>
    <s v="ASI - PROGETTO AZION MILLENNIALS"/>
    <s v="Fund"/>
    <s v="On Original Risk List  "/>
    <s v="From Risk - Fund Responsibility - Dublin Funds"/>
    <x v="3"/>
    <x v="7"/>
    <m/>
    <m/>
    <m/>
    <s v="CASEY RICHARD"/>
    <s v="To be Affected"/>
    <s v="DUB EFI Absolute Return Aggregate"/>
    <m/>
    <m/>
    <m/>
    <b v="0"/>
    <m/>
    <m/>
    <m/>
    <m/>
    <m/>
    <m/>
  </r>
  <r>
    <x v="119"/>
    <s v="Yes"/>
    <s v="Univalore Stars Growth - Comanaged with Fund Selection -"/>
    <s v="Model"/>
    <s v="Added by Ronan"/>
    <s v="From Risk - Models Master - Sheet 2"/>
    <x v="1"/>
    <x v="5"/>
    <m/>
    <m/>
    <m/>
    <m/>
    <m/>
    <m/>
    <m/>
    <m/>
    <m/>
    <n v="0"/>
    <m/>
    <m/>
    <m/>
    <n v="0"/>
    <n v="0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E142"/>
    <s v="Yes"/>
    <x v="0"/>
    <s v="Fund"/>
    <s v="On Original Risk List  "/>
    <s v="From Risk - Fund Responsibility - Dublin Funds"/>
    <s v="Allocation Driven Strategies"/>
    <x v="0"/>
    <s v="BAL Multimanagement"/>
    <s v="DUB BAL Multimanagement SDA Fds de Fds"/>
    <s v="AMUNDI.IRL/INV/MAS"/>
    <s v="O'TOOLE JOHN"/>
    <s v="Global - Global Balanced 50"/>
    <s v="DUB BAL Multimanagement SDA Fds de Fds"/>
    <n v="176126455.22999999"/>
    <n v="324009437.85999995"/>
    <m/>
    <b v="0"/>
    <n v="169346773.31"/>
    <n v="-4401543.419829757"/>
    <n v="323150343.74000001"/>
    <n v="323.15034373999998"/>
    <n v="859094.11999994516"/>
    <n v="859094.11999994516"/>
    <n v="324.00943785999993"/>
    <n v="0.85909411999994512"/>
    <n v="-4.4015434198297569"/>
    <n v="324.00943785999993"/>
    <n v="323.15034373999998"/>
    <n v="0.859094119999952"/>
  </r>
  <r>
    <s v="E143"/>
    <s v="Yes"/>
    <x v="1"/>
    <s v="Fund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Global - Balanced Global Defensive 20"/>
    <s v="DUB BAL Multimanagement SDA Fds de Fds"/>
    <n v="200569592.62"/>
    <n v="242806300.35000002"/>
    <m/>
    <b v="0"/>
    <n v="191554138.88"/>
    <n v="-6585274.1259017717"/>
    <n v="247147097.27999997"/>
    <n v="247.14709727999997"/>
    <n v="-4340796.9299999475"/>
    <n v="-4340796.9299999475"/>
    <n v="242.80630035000001"/>
    <n v="-4.3407969299999474"/>
    <n v="-6.5852741259017717"/>
    <n v="242.80630035000001"/>
    <n v="247.14709727999997"/>
    <n v="-4.3407969299999536"/>
  </r>
  <r>
    <s v="E144"/>
    <s v="Yes"/>
    <x v="2"/>
    <s v="Fund"/>
    <s v="On Original Risk List  "/>
    <s v="From Risk - Fund Responsibility - Dublin Funds"/>
    <s v="Allocation Driven Strategies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n v="68345861.700000003"/>
    <n v="83823203.900000006"/>
    <m/>
    <b v="0"/>
    <n v="66139608.709999993"/>
    <n v="-1199812.7503379725"/>
    <n v="85685108.980000004"/>
    <n v="85.68510898000001"/>
    <n v="-1861905.0799999982"/>
    <n v="-1861905.0799999982"/>
    <n v="83.82320390000001"/>
    <n v="-1.8619050799999981"/>
    <n v="-1.1998127503379725"/>
    <n v="83.82320390000001"/>
    <n v="85.68510898000001"/>
    <n v="-1.8619050799999997"/>
  </r>
  <r>
    <s v="PF101376"/>
    <s v="Yes"/>
    <x v="3"/>
    <s v="Fund"/>
    <s v="On Original Risk List  "/>
    <s v="From Risk - Fund Responsibility - Dublin Funds"/>
    <s v="Allocation Driven Strategies"/>
    <x v="0"/>
    <s v="BAL Multimanagement"/>
    <s v="DUB BAL Multimanagement SDA Fds de Fds"/>
    <s v="AMUNDI.IRL/INV/MAS"/>
    <s v="O'TOOLE JOHN"/>
    <s v="Global - Global Balanced 50"/>
    <s v="DUB BAL Multimanagement SDA Fds de Fds"/>
    <m/>
    <m/>
    <m/>
    <b v="0"/>
    <m/>
    <m/>
    <m/>
    <m/>
    <m/>
    <m/>
    <m/>
    <m/>
    <m/>
    <m/>
    <m/>
    <m/>
  </r>
  <r>
    <s v="PF101372"/>
    <s v="Yes"/>
    <x v="4"/>
    <s v="Fund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Global - Balanced Global Defensive 20"/>
    <s v="DUB BAL Multimanagement SDA Fds de Fds"/>
    <m/>
    <m/>
    <m/>
    <b v="0"/>
    <m/>
    <m/>
    <m/>
    <m/>
    <m/>
    <m/>
    <m/>
    <m/>
    <m/>
    <m/>
    <m/>
    <m/>
  </r>
  <r>
    <s v="PF101380"/>
    <s v="Yes"/>
    <x v="5"/>
    <s v="Fund"/>
    <s v="On Original Risk List  "/>
    <s v="From Risk - Fund Responsibility - Dublin Funds"/>
    <s v="Allocation Driven Strategies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m/>
    <m/>
    <b v="0"/>
    <m/>
    <m/>
    <m/>
    <m/>
    <m/>
    <m/>
    <m/>
    <m/>
    <m/>
    <m/>
    <m/>
    <m/>
  </r>
  <r>
    <s v="PF78195"/>
    <s v="Yes"/>
    <x v="6"/>
    <s v="Fund"/>
    <s v="On Original Risk List  "/>
    <s v="From Risk - Fund Responsibility - Dublin Funds"/>
    <s v="Outcome Oriented Strategies"/>
    <x v="3"/>
    <s v="EFI Absolute Return"/>
    <s v="DUB EFI Absolute Return Aggregate"/>
    <s v="AMUNDI.IRL/INV/MAS"/>
    <s v="O'TOOLE JOHN"/>
    <s v="To be Affected"/>
    <s v="DUB EFI Absolute Return Aggregate"/>
    <n v="336213704.19999999"/>
    <m/>
    <m/>
    <b v="0"/>
    <n v="335037348.60999995"/>
    <m/>
    <m/>
    <m/>
    <m/>
    <m/>
    <m/>
    <m/>
    <m/>
    <m/>
    <m/>
    <m/>
  </r>
  <r>
    <s v="PF103025"/>
    <s v="Yes"/>
    <x v="7"/>
    <s v="Fund"/>
    <s v="On Original Risk List  "/>
    <s v="From Risk - Fund Responsibility - Dublin Funds"/>
    <s v="Outcome Oriented Strategies"/>
    <x v="3"/>
    <m/>
    <m/>
    <s v="AMUNDI.IRL/INV/MAS/PMG/PMG"/>
    <s v="CASEY RICHARD"/>
    <s v="To be Affected"/>
    <m/>
    <m/>
    <n v="93538758.120000005"/>
    <m/>
    <m/>
    <m/>
    <n v="-18151357.009999994"/>
    <n v="111680002.01000001"/>
    <n v="111.68000201000001"/>
    <n v="-18141243.890000001"/>
    <n v="-18141243.890000001"/>
    <n v="93.538758120000011"/>
    <n v="-18.141243890000002"/>
    <n v="-18.151357009999995"/>
    <n v="93.538758120000011"/>
    <m/>
    <m/>
  </r>
  <r>
    <s v="E118"/>
    <s v="Yes"/>
    <x v="8"/>
    <s v="Fund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Bond - myNext"/>
    <s v="DUB BAL Multimanagement SDA Fds de Fds"/>
    <n v="31835018.329999998"/>
    <n v="7495265.8199999994"/>
    <m/>
    <b v="0"/>
    <n v="33826169.170000002"/>
    <n v="-798922.5844135189"/>
    <n v="8321680.0100000007"/>
    <n v="8.3216800100000015"/>
    <n v="-826414.19000000134"/>
    <n v="-826414.19000000134"/>
    <n v="7.4952658199999993"/>
    <n v="-0.82641419000000138"/>
    <n v="-0.79892258441351893"/>
    <n v="7.4952658199999993"/>
    <n v="8.3216800100000015"/>
    <n v="-0.82641419000000216"/>
  </r>
  <r>
    <s v="E119"/>
    <s v="Yes"/>
    <x v="9"/>
    <s v="Fund"/>
    <s v="On Original Risk List  "/>
    <s v="From Risk - Fund Responsibility - Dublin Funds"/>
    <s v="Allocation Driven Strategies"/>
    <x v="2"/>
    <s v="BAL Multimanagement"/>
    <s v="DUB BAL Multimanagement SDA Fds de Fds"/>
    <s v="AMUNDI.IRL/INV/MAS"/>
    <s v="O'TOOLE JOHN"/>
    <s v="Equity - myNext"/>
    <s v="DUB BAL Multimanagement SDA Fds de Fds"/>
    <n v="96972832.489999995"/>
    <n v="58236487.470000006"/>
    <m/>
    <b v="0"/>
    <n v="103255927.2"/>
    <n v="-1656568.0657256469"/>
    <n v="56591525.730000004"/>
    <n v="56.591525730000001"/>
    <n v="1644961.7400000021"/>
    <n v="1644961.7400000021"/>
    <n v="58.236487470000007"/>
    <n v="1.6449617400000021"/>
    <n v="-1.656568065725647"/>
    <n v="58.236487470000007"/>
    <n v="56.591525730000001"/>
    <n v="1.6449617400000065"/>
  </r>
  <r>
    <s v="E120"/>
    <s v="Yes"/>
    <x v="10"/>
    <s v="Fund"/>
    <s v="On Original Risk List  "/>
    <s v="From Risk - Fund Responsibility - Dublin Funds"/>
    <s v="Allocation Driven Strategies"/>
    <x v="0"/>
    <s v="BAL Multimanagement"/>
    <s v="DUB BAL Multimanagement SDA Fds de Fds"/>
    <s v="AMUNDI.IRL/INV/MAS"/>
    <s v="O'TOOLE JOHN"/>
    <s v="Multi Asset - myNext"/>
    <s v="DUB BAL Multimanagement SDA Fds de Fds"/>
    <n v="288617594.88999999"/>
    <n v="121448782.71000001"/>
    <m/>
    <b v="0"/>
    <n v="312457504.01999998"/>
    <n v="-5424835.5633996008"/>
    <n v="123937506.37"/>
    <n v="123.93750637000001"/>
    <n v="-2488723.6599999964"/>
    <n v="-2488723.6599999964"/>
    <n v="121.44878271"/>
    <n v="-2.4887236599999962"/>
    <n v="-5.4248355633996006"/>
    <n v="121.44878271"/>
    <n v="123.93750637000001"/>
    <n v="-2.4887236600000051"/>
  </r>
  <r>
    <s v="PF115036"/>
    <m/>
    <x v="11"/>
    <s v="Fund"/>
    <m/>
    <m/>
    <s v="Outcome Oriented Strategies"/>
    <x v="4"/>
    <m/>
    <m/>
    <m/>
    <m/>
    <m/>
    <m/>
    <m/>
    <n v="98145264.699999988"/>
    <m/>
    <m/>
    <m/>
    <n v="0"/>
    <n v="98124607.040000007"/>
    <n v="98.124607040000001"/>
    <n v="20657.659999981523"/>
    <n v="20657.659999981523"/>
    <n v="98.145264699999984"/>
    <n v="2.0657659999981523E-2"/>
    <n v="0"/>
    <n v="98.145264699999984"/>
    <n v="98.124607040000001"/>
    <n v="2.065765999998348E-2"/>
  </r>
  <r>
    <s v="PF204806"/>
    <m/>
    <x v="12"/>
    <s v="Fund"/>
    <m/>
    <m/>
    <s v="Allocation Driven Strategies"/>
    <x v="2"/>
    <m/>
    <m/>
    <m/>
    <m/>
    <m/>
    <m/>
    <m/>
    <n v="27952778.120000001"/>
    <m/>
    <m/>
    <m/>
    <n v="27952778.120000001"/>
    <m/>
    <n v="0"/>
    <n v="27952778.120000001"/>
    <n v="27952778.120000001"/>
    <n v="27.952778120000001"/>
    <n v="27.952778120000001"/>
    <n v="27.952778120000001"/>
    <n v="27.952778120000001"/>
    <m/>
    <n v="27.952778120000001"/>
  </r>
  <r>
    <s v="PF88524"/>
    <s v="Yes"/>
    <x v="13"/>
    <s v="Fund"/>
    <s v="On Original Risk List  "/>
    <s v="From Risk - Fund Responsibility - Dublin Funds"/>
    <s v="Outcome Oriented Strategies"/>
    <x v="5"/>
    <s v="BAL Multimanagement"/>
    <s v="AMU BAL SDA Fds de Fds (used absolute limits High risk)"/>
    <s v="AMUNDI.IRL/INV/MAS"/>
    <s v="O'TOOLE JOHN"/>
    <s v="AMUNDI ELITE THEMATIC MULTI ASSET"/>
    <s v="DUB BAL Multimanagement SDA Fds de Fds"/>
    <m/>
    <n v="651526087.88"/>
    <m/>
    <b v="0"/>
    <m/>
    <n v="-136912235.76999998"/>
    <n v="532844870.07000005"/>
    <n v="532.84487007000007"/>
    <n v="118681217.80999994"/>
    <n v="118681217.80999994"/>
    <n v="651.52608787999998"/>
    <n v="118.68121780999994"/>
    <n v="-136.91223576999997"/>
    <n v="651.52608787999998"/>
    <n v="532.84487007000007"/>
    <n v="118.68121780999991"/>
  </r>
  <r>
    <s v="E209"/>
    <s v="Yes"/>
    <x v="14"/>
    <s v="Fund"/>
    <s v="On Original Risk List  "/>
    <s v="From Risk - Fund Responsibility - Dublin Funds"/>
    <s v="Service Fund"/>
    <x v="6"/>
    <s v="TBD"/>
    <s v="Agreed a light touch with VaR and Leverage limits"/>
    <s v="AMUNDI.IRL/INV/MAS/PMG"/>
    <s v="BUONO SALVATORE"/>
    <s v="To be Affected"/>
    <s v="To Be Determined"/>
    <n v="623642733.23000002"/>
    <n v="198759201.82000002"/>
    <m/>
    <b v="0"/>
    <n v="402542016.44000006"/>
    <n v="-26306785.200000003"/>
    <n v="234214073.76000002"/>
    <n v="234.21407376000002"/>
    <n v="-35454871.939999998"/>
    <n v="-35454871.939999998"/>
    <n v="198.75920182000002"/>
    <n v="-35.454871939999997"/>
    <n v="-26.306785200000004"/>
    <n v="198.75920182000002"/>
    <n v="234.21407376000002"/>
    <n v="-35.454871940000004"/>
  </r>
  <r>
    <s v="PF87100"/>
    <s v="Yes"/>
    <x v="15"/>
    <s v="Fund"/>
    <s v="On Original Risk List  "/>
    <s v="From Risk - Fund Responsibility - Dublin Funds"/>
    <s v="Allocation Driven Strategies"/>
    <x v="1"/>
    <s v="BAL Multimanagement"/>
    <s v="DUB BAL Multimanagement SDA Fds de Fds"/>
    <s v="AMUNDI.IRL/INV/MAS"/>
    <s v="O'TOOLE JOHN"/>
    <s v="Global - Balanced Global Defensive 20"/>
    <s v="DUB BAL Multimanagement SDA Fds de Fds"/>
    <m/>
    <n v="6970226.1600000001"/>
    <m/>
    <b v="0"/>
    <m/>
    <n v="0"/>
    <n v="6970226.1600000001"/>
    <n v="6.9702261600000002"/>
    <n v="0"/>
    <n v="0"/>
    <n v="6.9702261600000002"/>
    <n v="0"/>
    <n v="0"/>
    <n v="6.9702261600000002"/>
    <n v="6.9702261600000002"/>
    <n v="0"/>
  </r>
  <r>
    <s v="PF87115"/>
    <s v="Yes"/>
    <x v="16"/>
    <s v="Fund"/>
    <s v="On Original Risk List  "/>
    <s v="From Risk - Fund Responsibility - Dublin Funds"/>
    <s v="Allocation Driven Strategies"/>
    <x v="2"/>
    <s v="BAL Multimanagement"/>
    <s v="AMU BAL SDA Fds de Fds (used some absolute limits with High Rik with Equity exposure 0/120% and currency exposure up to 100%"/>
    <s v="AMUNDI.IRL/INV/MAS"/>
    <s v="O'TOOLE JOHN"/>
    <s v="Multi Asset - Diversified Growth"/>
    <s v="DUB BAL Multimanagement SDA Fds de Fds"/>
    <m/>
    <n v="3927561.09"/>
    <m/>
    <b v="0"/>
    <m/>
    <n v="0"/>
    <n v="3927561.09"/>
    <n v="3.9275610899999998"/>
    <n v="0"/>
    <n v="0"/>
    <n v="3.9275610899999998"/>
    <n v="0"/>
    <n v="0"/>
    <n v="3.9275610899999998"/>
    <n v="3.9275610899999998"/>
    <n v="0"/>
  </r>
  <r>
    <s v="PF92127"/>
    <s v="Yes"/>
    <x v="17"/>
    <s v="Fund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m/>
    <n v="335146857.69"/>
    <m/>
    <b v="0"/>
    <m/>
    <n v="-114988408.88000004"/>
    <n v="473820490.07999998"/>
    <n v="473.82049007999996"/>
    <n v="-138673632.38999999"/>
    <n v="-138673632.38999999"/>
    <n v="335.14685768999999"/>
    <n v="-138.67363238999999"/>
    <n v="-114.98840888000004"/>
    <n v="335.14685768999999"/>
    <n v="473.82049007999996"/>
    <n v="-138.67363238999997"/>
  </r>
  <r>
    <s v="PF95239"/>
    <s v="Yes"/>
    <x v="18"/>
    <s v="Fund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m/>
    <n v="319412485.87"/>
    <m/>
    <b v="0"/>
    <m/>
    <n v="-68314787.599999979"/>
    <n v="408635787.25"/>
    <n v="408.63578725000002"/>
    <n v="-89223301.379999995"/>
    <n v="-89223301.379999995"/>
    <n v="319.41248587000001"/>
    <n v="-89.223301379999995"/>
    <n v="-68.314787599999974"/>
    <n v="319.41248587000001"/>
    <n v="408.63578725000002"/>
    <n v="-89.223301380000009"/>
  </r>
  <r>
    <s v="PF201311"/>
    <s v="Yes"/>
    <x v="19"/>
    <s v="Fund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m/>
    <n v="290323179.13999999"/>
    <m/>
    <b v="0"/>
    <m/>
    <n v="-10126505.439999999"/>
    <n v="297654635.05000001"/>
    <n v="297.65463505000002"/>
    <n v="-7331455.9100000262"/>
    <n v="-7331455.9100000262"/>
    <n v="290.32317913999998"/>
    <n v="-7.3314559100000265"/>
    <n v="-10.126505439999999"/>
    <n v="290.32317913999998"/>
    <n v="291.99145505000001"/>
    <n v="-1.6682759100000339"/>
  </r>
  <r>
    <s v="SAXO"/>
    <s v="Yes"/>
    <x v="20"/>
    <s v="Model"/>
    <s v="On Original Risk List  "/>
    <s v="From Risk - Fund Responsibility - Dublin Funds"/>
    <s v="Allocation Driven Strategies"/>
    <x v="1"/>
    <s v="BAL Multimanagement"/>
    <s v="DUB BAL Multimanagement Alt Greenway"/>
    <s v="AMUNDI.IRL/INV/MAS/PMG/PMG"/>
    <s v="Jen"/>
    <s v="To be Affected"/>
    <s v="DUB BAL Multimanagement Alt Greenway"/>
    <m/>
    <n v="192199661.30000001"/>
    <m/>
    <b v="0"/>
    <n v="0"/>
    <n v="-7061169.119999975"/>
    <n v="199260830.41999999"/>
    <n v="199.26083041999999"/>
    <n v="-7061169.119999975"/>
    <n v="-7061169.119999975"/>
    <n v="192.1996613"/>
    <n v="-7.0611691199999749"/>
    <n v="-7.0611691199999749"/>
    <m/>
    <m/>
    <n v="0"/>
  </r>
  <r>
    <m/>
    <m/>
    <x v="21"/>
    <m/>
    <m/>
    <m/>
    <m/>
    <x v="7"/>
    <m/>
    <m/>
    <m/>
    <m/>
    <m/>
    <m/>
    <m/>
    <m/>
    <m/>
    <m/>
    <m/>
    <m/>
    <m/>
    <m/>
    <m/>
    <m/>
    <m/>
    <m/>
    <m/>
    <m/>
    <m/>
    <m/>
  </r>
  <r>
    <s v="PSUKLD1"/>
    <s v="Yes"/>
    <x v="22"/>
    <s v="Fund"/>
    <s v="On Original Risk List  "/>
    <s v="From Risk - Fund Responsibility - Dublin Funds"/>
    <s v="Allocation Driven Strategies"/>
    <x v="6"/>
    <s v="BAL Multimanagement"/>
    <s v="AMU BAL SDA Fds de Fds (used some absolute limits with Low Rik)"/>
    <s v="AMUNDI.IRL/INV/MAS/PMG/PMG"/>
    <s v="CASEY RICHARD"/>
    <s v="To be Affected"/>
    <s v="DUB BAL Multimanagement SDA Fds de Fds"/>
    <n v="0"/>
    <n v="169200994.27920362"/>
    <m/>
    <b v="0"/>
    <m/>
    <n v="0"/>
    <n v="165771172.4394339"/>
    <n v="165.77117243943391"/>
    <n v="3429821.839769721"/>
    <n v="3429821.839769721"/>
    <n v="169.20099427920363"/>
    <n v="3.4298218397697209"/>
    <n v="0"/>
    <n v="141.07978902999997"/>
    <n v="138.22000358"/>
    <n v="2.8597854499999755"/>
  </r>
  <r>
    <s v="PF79139"/>
    <s v="Yes"/>
    <x v="23"/>
    <s v="Fund"/>
    <s v="On Original Risk List  "/>
    <s v="From Risk - Fund Responsibility - Dublin Funds"/>
    <s v="Outcome Oriented Strategies"/>
    <x v="3"/>
    <n v="0"/>
    <n v="0"/>
    <s v="AMUNDI.IRL/INV/MAS/PMG/PMG"/>
    <s v="CASEY RICHARD"/>
    <s v="To be Affected"/>
    <s v="DUB EFI Absolute Return Aggregate"/>
    <n v="143903806.97"/>
    <m/>
    <s v="Needs a Macro &amp; Micro Process assigned?"/>
    <b v="0"/>
    <n v="59757669.739999995"/>
    <m/>
    <m/>
    <m/>
    <m/>
    <m/>
    <m/>
    <m/>
    <m/>
    <m/>
    <m/>
    <m/>
  </r>
  <r>
    <s v="PF71664"/>
    <s v="Yes"/>
    <x v="24"/>
    <s v="Fund"/>
    <s v="On Original Risk List  "/>
    <s v="From Risk - Fund Responsibility - Dublin Funds"/>
    <s v="Outcome Oriented Strategies"/>
    <x v="3"/>
    <s v="EFI Absolute Return"/>
    <s v="DUB EFI Absolute Return Aggregate"/>
    <s v="AMUNDI.IRL/INV/MAS/PMG/PMG"/>
    <s v="CASEY RICHARD"/>
    <s v="To be Affected"/>
    <s v="DUB EFI Absolute Return Aggregate"/>
    <n v="493754015.27999997"/>
    <m/>
    <m/>
    <b v="0"/>
    <n v="493807009.17000002"/>
    <m/>
    <m/>
    <m/>
    <m/>
    <m/>
    <m/>
    <m/>
    <m/>
    <m/>
    <m/>
    <m/>
  </r>
  <r>
    <s v="PF76580"/>
    <s v="Yes"/>
    <x v="25"/>
    <s v="Fund"/>
    <s v="On Original Risk List  "/>
    <s v="From Risk - Fund Responsibility - Dublin Funds"/>
    <s v="Outcome Oriented Strategies"/>
    <x v="3"/>
    <s v="EFI Absolute Return"/>
    <s v="DUB EFI Absolute Return Aggregate"/>
    <s v="AMUNDI.IRL/INV/MAS/PMG/PMG"/>
    <s v="CASEY RICHARD"/>
    <s v="To be Affected"/>
    <s v="DUB EFI Absolute Return Aggregate"/>
    <n v="291181937.61000001"/>
    <m/>
    <m/>
    <b v="0"/>
    <n v="290503113.68999994"/>
    <m/>
    <m/>
    <m/>
    <m/>
    <m/>
    <m/>
    <m/>
    <m/>
    <m/>
    <m/>
    <m/>
  </r>
  <r>
    <s v="PF88300"/>
    <s v="Yes"/>
    <x v="26"/>
    <s v="Fund"/>
    <s v="On Original Risk List  "/>
    <s v="From Risk - Fund Responsibility - Dublin Funds"/>
    <s v="Outcome Oriented Strategies"/>
    <x v="3"/>
    <s v="EFI Absolute Return"/>
    <m/>
    <s v="AMUNDI.IRL/INV/MAS/PMG/PMG"/>
    <s v="CASEY RICHARD"/>
    <s v="To be Affected"/>
    <s v="DUB EFI Absolute Return Aggregate"/>
    <n v="0"/>
    <n v="451980230.57999998"/>
    <m/>
    <b v="0"/>
    <m/>
    <n v="-75897228.409999982"/>
    <n v="555495066.75999999"/>
    <n v="555.49506675999999"/>
    <n v="-103514836.18000001"/>
    <n v="-103514836.18000001"/>
    <n v="451.98023058000001"/>
    <n v="-103.51483618"/>
    <n v="-75.897228409999983"/>
    <n v="451.98023058000001"/>
    <n v="555.49506675999999"/>
    <n v="-103.51483617999997"/>
  </r>
  <r>
    <s v="PF89408"/>
    <s v="Yes"/>
    <x v="27"/>
    <s v="Fund"/>
    <s v="On Original Risk List  "/>
    <s v="From Risk - Fund Responsibility - Dublin Funds"/>
    <s v="Outcome Oriented Strategies"/>
    <x v="3"/>
    <s v="EFI Absolute Return"/>
    <m/>
    <s v="AMUNDI.IRL/INV/MAS/PMG/PMG"/>
    <s v="CASEY RICHARD"/>
    <s v="To be Affected"/>
    <s v="DUB EFI Absolute Return Aggregate"/>
    <n v="0"/>
    <n v="277938223.63"/>
    <m/>
    <b v="0"/>
    <m/>
    <n v="-47534278.330000006"/>
    <n v="341822371.30000001"/>
    <n v="341.82237129999999"/>
    <n v="-63884147.670000017"/>
    <n v="-63884147.670000017"/>
    <n v="277.93822362999998"/>
    <n v="-63.884147670000019"/>
    <n v="-47.534278330000006"/>
    <n v="277.93822362999998"/>
    <n v="341.82237129999999"/>
    <n v="-63.884147670000004"/>
  </r>
  <r>
    <s v="E224"/>
    <s v="Yes"/>
    <x v="28"/>
    <s v="Fund"/>
    <s v="On Original Risk List  "/>
    <s v="From Risk - Fund Responsibility - Dublin Funds"/>
    <s v="Service Fund"/>
    <x v="4"/>
    <s v="TBD"/>
    <s v="Agreed a light touch with VaR and Leverage limits"/>
    <s v="AMUNDI.IRL/INV/MAS/PMG/PMG"/>
    <s v="CASEY RICHARD"/>
    <s v="To be Affected"/>
    <s v="To Be Determined"/>
    <n v="336518902.05000001"/>
    <n v="59556669.140000001"/>
    <m/>
    <b v="0"/>
    <n v="367376593.58999997"/>
    <n v="-6138586.8300000001"/>
    <n v="74824881.549999997"/>
    <n v="74.824881550000001"/>
    <n v="-15268212.409999996"/>
    <n v="-15268212.409999996"/>
    <n v="59.556669140000004"/>
    <n v="-15.268212409999997"/>
    <n v="-6.1385868300000004"/>
    <n v="59.556669140000004"/>
    <n v="74.824881550000001"/>
    <n v="-15.268212409999997"/>
  </r>
  <r>
    <s v="E208"/>
    <s v="Yes"/>
    <x v="29"/>
    <s v="Fund"/>
    <s v="On Original Risk List  "/>
    <s v="From Risk - Fund Responsibility - Dublin Funds"/>
    <s v="Service Fund"/>
    <x v="8"/>
    <s v="TBD"/>
    <s v="Agreed a light touch with VaR and Leverage limits"/>
    <s v="AMUNDI.IRL/INV/MAS/PMG/PMG"/>
    <s v="PAQUOT BERTRAND"/>
    <s v="To be Affected"/>
    <s v="To Be Determined"/>
    <n v="199913822.47999999"/>
    <n v="74247835.579999998"/>
    <m/>
    <b v="0"/>
    <n v="450365694.73000002"/>
    <n v="-2977460.7300000018"/>
    <n v="77232789.670000002"/>
    <n v="77.232789670000003"/>
    <n v="-2984954.0900000036"/>
    <n v="-2984954.0900000036"/>
    <n v="74.24783558"/>
    <n v="-2.9849540900000036"/>
    <n v="-2.977460730000002"/>
    <n v="74.24783558"/>
    <n v="77.232789670000003"/>
    <n v="-2.9849540900000022"/>
  </r>
  <r>
    <s v="ULECSTARS"/>
    <s v="Yes"/>
    <x v="30"/>
    <s v="Model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1901251614"/>
    <m/>
    <b v="0"/>
    <m/>
    <n v="-32352755.369999997"/>
    <n v="1877332566"/>
    <n v="1877.332566"/>
    <n v="23919048"/>
    <n v="23919048"/>
    <n v="1901.251614"/>
    <n v="23.919048"/>
    <n v="-32.352755369999997"/>
    <n v="1901.251614"/>
    <n v="1877.332566"/>
    <n v="23.919047999999975"/>
  </r>
  <r>
    <s v="F100123"/>
    <s v="Yes"/>
    <x v="31"/>
    <s v="Fund"/>
    <s v="On Original Risk List  "/>
    <s v="From Risk - Fund Responsibility - Dublin Funds"/>
    <s v="Allocation Driven Strategies"/>
    <x v="9"/>
    <s v="TBD"/>
    <m/>
    <s v="AMUNDI.IRL/INV/MAS/PMG/PMG"/>
    <s v="NICHOLAS POTHIER"/>
    <s v="To be Affected"/>
    <s v="To Be Determined"/>
    <m/>
    <n v="66105969.392638035"/>
    <m/>
    <b v="0"/>
    <m/>
    <n v="-14474433.773006134"/>
    <n v="80580403.165644169"/>
    <n v="80.580403165644171"/>
    <n v="-14474433.773006134"/>
    <n v="-14474433.773006134"/>
    <n v="66.105969392638031"/>
    <n v="-14.474433773006133"/>
    <n v="-14.474433773006133"/>
    <n v="10775.273010999999"/>
    <n v="13134.605716"/>
    <n v="-2359.3327050000007"/>
  </r>
  <r>
    <s v="UDM6"/>
    <s v="Yes"/>
    <x v="32"/>
    <s v="Model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1100006489"/>
    <m/>
    <b v="0"/>
    <m/>
    <n v="1008111.8999999951"/>
    <n v="1020119648"/>
    <n v="1020.119648"/>
    <n v="79886841"/>
    <n v="79886841"/>
    <n v="1100.0064890000001"/>
    <n v="79.886841000000004"/>
    <n v="1.0081118999999952"/>
    <n v="1100.0064890000001"/>
    <n v="1020.119648"/>
    <n v="79.886841000000118"/>
  </r>
  <r>
    <s v="UDM7"/>
    <s v="Yes"/>
    <x v="33"/>
    <s v="Model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46360523"/>
    <m/>
    <b v="0"/>
    <m/>
    <n v="-74993.419999999984"/>
    <n v="49761394"/>
    <n v="49.761394000000003"/>
    <n v="-3400871"/>
    <n v="-3400871"/>
    <n v="46.360523000000001"/>
    <n v="-3.400871"/>
    <n v="-7.4993419999999977E-2"/>
    <n v="46.360523000000001"/>
    <n v="49.761394000000003"/>
    <n v="-3.4008710000000022"/>
  </r>
  <r>
    <s v="UDM9"/>
    <s v="Yes"/>
    <x v="34"/>
    <s v="Model"/>
    <s v="On Original Risk List  "/>
    <s v="From Risk - Fund Responsibility - Dublin Funds"/>
    <s v="Allocation Driven Strategies"/>
    <x v="9"/>
    <s v="TBD"/>
    <m/>
    <s v="AMUNDI.IRL/INV/MAS/PMG/PMG"/>
    <s v="PAQUOT BERTRAND"/>
    <s v="To be Affected"/>
    <s v="To Be Determined"/>
    <m/>
    <n v="173792904"/>
    <m/>
    <b v="0"/>
    <m/>
    <n v="-4429190.5399999972"/>
    <n v="173466024"/>
    <n v="173.466024"/>
    <n v="326880"/>
    <n v="326880"/>
    <n v="173.79290399999999"/>
    <n v="0.32688"/>
    <n v="-4.4291905399999969"/>
    <n v="173.79290399999999"/>
    <n v="173.466024"/>
    <n v="0.32687999999998851"/>
  </r>
  <r>
    <s v="E207"/>
    <s v="Yes"/>
    <x v="35"/>
    <s v="Fund"/>
    <s v="On Original Risk List  "/>
    <s v="From Risk - Fund Responsibility - Dublin Funds"/>
    <s v="Service Fund"/>
    <x v="9"/>
    <s v="TBD"/>
    <s v="Agreed a light touch with VaR and Leverage limits"/>
    <s v="AMUNDI.IRL/INV/MAS/PMG/PMG"/>
    <s v="PAQUOT BERTRAND"/>
    <s v="To be Affected"/>
    <s v="To Be Determined"/>
    <n v="103113709.33"/>
    <n v="53160977.919999994"/>
    <m/>
    <b v="0"/>
    <n v="316671363.03000009"/>
    <n v="-446651.58000000013"/>
    <n v="56764604.780000001"/>
    <n v="56.764604779999999"/>
    <n v="-3603626.8600000069"/>
    <n v="-3603626.8600000069"/>
    <n v="53.160977919999993"/>
    <n v="-3.603626860000007"/>
    <n v="-0.44665158000000016"/>
    <n v="53.160977919999993"/>
    <n v="56.764604779999999"/>
    <n v="-3.6036268600000056"/>
  </r>
  <r>
    <s v="E193"/>
    <s v="Yes"/>
    <x v="36"/>
    <s v="Fund"/>
    <s v="Added by Ronan"/>
    <s v="From Risk - Fund Responsibility - Dublin Funds"/>
    <s v="Outcome Oriented Strategies"/>
    <x v="4"/>
    <s v="BAL Multimanagement"/>
    <s v="AMU BAL SDA Fds de Fds (used absolute limits mixed medium/High risk)"/>
    <m/>
    <m/>
    <m/>
    <m/>
    <m/>
    <n v="136428638.49000001"/>
    <m/>
    <b v="0"/>
    <n v="294308339.36000001"/>
    <n v="-4867464.6900000013"/>
    <n v="137814615.19000003"/>
    <n v="137.81461519000004"/>
    <n v="-1385976.7000000179"/>
    <n v="-1385976.7000000179"/>
    <n v="136.42863849"/>
    <n v="-1.3859767000000178"/>
    <n v="-4.8674646900000011"/>
    <n v="136.42863849"/>
    <n v="137.81461519000004"/>
    <n v="-1.3859767000000431"/>
  </r>
  <r>
    <s v="1PM"/>
    <s v="Yes"/>
    <x v="37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32885137.42170599"/>
    <n v="286172410"/>
    <m/>
    <b v="0"/>
    <m/>
    <n v="-8096631.620000002"/>
    <n v="276712413"/>
    <n v="276.71241300000003"/>
    <n v="9459997"/>
    <n v="9459997"/>
    <n v="286.17241000000001"/>
    <n v="9.4599969999999995"/>
    <n v="-8.0966316200000019"/>
    <n v="286.17241000000001"/>
    <n v="276.71241300000003"/>
    <n v="9.4599969999999871"/>
  </r>
  <r>
    <s v="1QM"/>
    <s v="Yes"/>
    <x v="38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75215585.57200199"/>
    <n v="44621309"/>
    <m/>
    <b v="0"/>
    <m/>
    <n v="-915885.27000000014"/>
    <n v="44663645"/>
    <n v="44.663645000000002"/>
    <n v="-42336"/>
    <n v="-42336"/>
    <n v="44.621308999999997"/>
    <n v="-4.2335999999999999E-2"/>
    <n v="-0.91588527000000008"/>
    <n v="44.621308999999997"/>
    <n v="44.663645000000002"/>
    <n v="-4.2336000000005924E-2"/>
  </r>
  <r>
    <s v="1RM"/>
    <s v="Yes"/>
    <x v="39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0066014.82525399"/>
    <n v="29605967"/>
    <m/>
    <b v="0"/>
    <m/>
    <n v="-567692.13"/>
    <n v="29944309"/>
    <n v="29.944309000000001"/>
    <n v="-338342"/>
    <n v="-338342"/>
    <n v="29.605967"/>
    <n v="-0.33834199999999998"/>
    <n v="-0.56769212999999996"/>
    <n v="29.605967"/>
    <n v="29.944309000000001"/>
    <n v="-0.33834200000000081"/>
  </r>
  <r>
    <s v="R1M"/>
    <s v="Yes"/>
    <x v="40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55352140.60327399"/>
    <n v="20379176"/>
    <m/>
    <b v="0"/>
    <m/>
    <n v="-444459.29000000004"/>
    <n v="20364888"/>
    <n v="20.364888000000001"/>
    <n v="14288"/>
    <n v="14288"/>
    <n v="20.379176000000001"/>
    <n v="1.4288E-2"/>
    <n v="-0.44445929000000006"/>
    <n v="20.379176000000001"/>
    <n v="20.364888000000001"/>
    <n v="1.4288000000000523E-2"/>
  </r>
  <r>
    <s v="CCRESCITA"/>
    <s v="Yes"/>
    <x v="41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44033874.81555301"/>
    <n v="1259071"/>
    <m/>
    <b v="0"/>
    <m/>
    <n v="-19473.099999999995"/>
    <n v="1226192"/>
    <n v="1.2261919999999999"/>
    <n v="32879"/>
    <n v="32879"/>
    <n v="1.2590710000000001"/>
    <n v="3.2878999999999999E-2"/>
    <n v="-1.9473099999999993E-2"/>
    <n v="1.2590710000000001"/>
    <n v="1.2261919999999999"/>
    <n v="3.2879000000000103E-2"/>
  </r>
  <r>
    <s v="CMEDIUM"/>
    <s v="Yes"/>
    <x v="42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64099154.06433299"/>
    <n v="221348"/>
    <m/>
    <b v="0"/>
    <m/>
    <m/>
    <n v="215898"/>
    <n v="0.21589800000000001"/>
    <n v="5450"/>
    <n v="5450"/>
    <n v="0.22134799999999999"/>
    <n v="5.45E-3"/>
    <n v="0"/>
    <n v="0.22134799999999999"/>
    <n v="0.21589800000000001"/>
    <n v="5.4499999999999826E-3"/>
  </r>
  <r>
    <s v="COBBLEURO"/>
    <s v="Yes"/>
    <x v="43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1327249.913721"/>
    <n v="2649"/>
    <m/>
    <b v="0"/>
    <m/>
    <m/>
    <n v="2649"/>
    <n v="2.6489999999999999E-3"/>
    <n v="0"/>
    <n v="0"/>
    <n v="2.6489999999999999E-3"/>
    <n v="0"/>
    <n v="0"/>
    <n v="2.6489999999999999E-3"/>
    <n v="2.6489999999999999E-3"/>
    <n v="0"/>
  </r>
  <r>
    <s v="CREDDITO"/>
    <s v="Yes"/>
    <x v="44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8785755.166821"/>
    <n v="83275"/>
    <m/>
    <b v="0"/>
    <m/>
    <m/>
    <n v="82952"/>
    <n v="8.2951999999999998E-2"/>
    <n v="323"/>
    <n v="323"/>
    <n v="8.3275000000000002E-2"/>
    <n v="3.2299999999999999E-4"/>
    <n v="0"/>
    <n v="8.3275000000000002E-2"/>
    <n v="8.2951999999999998E-2"/>
    <n v="3.2300000000000384E-4"/>
  </r>
  <r>
    <s v="STEPONE"/>
    <s v="Yes"/>
    <x v="45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22766479.464708"/>
    <n v="78465"/>
    <m/>
    <b v="0"/>
    <m/>
    <m/>
    <n v="77392"/>
    <n v="7.7392000000000002E-2"/>
    <n v="1073"/>
    <n v="1073"/>
    <n v="7.8464999999999993E-2"/>
    <n v="1.073E-3"/>
    <n v="0"/>
    <n v="7.8464999999999993E-2"/>
    <n v="7.7392000000000002E-2"/>
    <n v="1.0729999999999906E-3"/>
  </r>
  <r>
    <s v="CSVILUPPO"/>
    <s v="Yes"/>
    <x v="46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20197773.695786"/>
    <n v="33771"/>
    <m/>
    <b v="0"/>
    <m/>
    <m/>
    <n v="33771"/>
    <n v="3.3771000000000002E-2"/>
    <n v="0"/>
    <n v="0"/>
    <n v="3.3771000000000002E-2"/>
    <n v="0"/>
    <n v="0"/>
    <n v="3.3771000000000002E-2"/>
    <n v="3.3771000000000002E-2"/>
    <n v="0"/>
  </r>
  <r>
    <s v="CTREND_20"/>
    <s v="Yes"/>
    <x v="47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26520197.485156"/>
    <n v="23564"/>
    <m/>
    <b v="0"/>
    <m/>
    <m/>
    <n v="23564"/>
    <n v="2.3564000000000002E-2"/>
    <n v="0"/>
    <n v="0"/>
    <n v="2.3564000000000002E-2"/>
    <n v="0"/>
    <n v="0"/>
    <n v="2.3564000000000002E-2"/>
    <n v="2.3564000000000002E-2"/>
    <n v="0"/>
  </r>
  <r>
    <s v="MLIFEBND"/>
    <s v="Yes"/>
    <x v="48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6344307.007341"/>
    <n v="86278219"/>
    <m/>
    <b v="0"/>
    <m/>
    <n v="-4047481.4800000009"/>
    <n v="89492990"/>
    <n v="89.492990000000006"/>
    <n v="-3214771"/>
    <n v="-3214771"/>
    <n v="86.278219000000007"/>
    <n v="-3.2147709999999998"/>
    <n v="-4.047481480000001"/>
    <n v="86.278219000000007"/>
    <n v="89.492990000000006"/>
    <n v="-3.2147709999999989"/>
  </r>
  <r>
    <s v="MLPFLEX"/>
    <s v="Yes"/>
    <x v="49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23139636.995855"/>
    <n v="24819922"/>
    <m/>
    <b v="0"/>
    <m/>
    <n v="-916591.71999999974"/>
    <n v="25631869"/>
    <n v="25.631868999999998"/>
    <n v="-811947"/>
    <n v="-811947"/>
    <n v="24.819921999999998"/>
    <n v="-0.81194699999999997"/>
    <n v="-0.91659171999999978"/>
    <n v="24.819921999999998"/>
    <n v="25.631868999999998"/>
    <n v="-0.81194699999999997"/>
  </r>
  <r>
    <s v="PP1-3Y"/>
    <s v="Yes"/>
    <x v="50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21277565.483007"/>
    <n v="87573063"/>
    <m/>
    <b v="0"/>
    <m/>
    <n v="-4628998.620000001"/>
    <n v="91452737"/>
    <n v="91.452736999999999"/>
    <n v="-3879674"/>
    <n v="-3879674"/>
    <n v="87.573063000000005"/>
    <n v="-3.8796740000000001"/>
    <n v="-4.6289986200000008"/>
    <n v="87.573063000000005"/>
    <n v="91.452736999999999"/>
    <n v="-3.8796739999999943"/>
  </r>
  <r>
    <s v="PLIC"/>
    <s v="Yes"/>
    <x v="51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203127455.50508699"/>
    <n v="33652386"/>
    <m/>
    <b v="0"/>
    <m/>
    <n v="-373108.55999999994"/>
    <n v="33951455"/>
    <n v="33.951455000000003"/>
    <n v="-299069"/>
    <n v="-299069"/>
    <n v="33.652386"/>
    <n v="-0.29906899999999997"/>
    <n v="-0.37310855999999992"/>
    <n v="33.652386"/>
    <n v="33.951455000000003"/>
    <n v="-0.29906900000000292"/>
  </r>
  <r>
    <s v="ULBIL"/>
    <s v="Yes"/>
    <x v="52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71772844.79818401"/>
    <n v="10517233"/>
    <m/>
    <b v="0"/>
    <m/>
    <n v="-614112.52"/>
    <n v="11114645"/>
    <n v="11.114644999999999"/>
    <n v="-597412"/>
    <n v="-597412"/>
    <n v="10.517232999999999"/>
    <n v="-0.59741200000000005"/>
    <n v="-0.61411252000000005"/>
    <n v="10.517232999999999"/>
    <n v="11.114644999999999"/>
    <n v="-0.59741200000000028"/>
  </r>
  <r>
    <s v="ULBILPIU"/>
    <s v="Yes"/>
    <x v="53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73815813.46287501"/>
    <n v="17251250"/>
    <m/>
    <b v="0"/>
    <m/>
    <n v="-514722.49999999988"/>
    <n v="17726631"/>
    <n v="17.726631000000001"/>
    <n v="-475381"/>
    <n v="-475381"/>
    <n v="17.251249999999999"/>
    <n v="-0.475381"/>
    <n v="-0.51472249999999986"/>
    <n v="17.251249999999999"/>
    <n v="17.726631000000001"/>
    <n v="-0.47538100000000227"/>
  </r>
  <r>
    <s v="ULDIN"/>
    <s v="Yes"/>
    <x v="54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78110589.65588099"/>
    <n v="18063937"/>
    <m/>
    <b v="0"/>
    <m/>
    <n v="-905874.80999999994"/>
    <n v="19013976"/>
    <n v="19.013976"/>
    <n v="-950039"/>
    <n v="-950039"/>
    <n v="18.063936999999999"/>
    <n v="-0.95003899999999997"/>
    <n v="-0.90587480999999992"/>
    <n v="18.063936999999999"/>
    <n v="19.013976"/>
    <n v="-0.9500390000000003"/>
  </r>
  <r>
    <s v="ULP"/>
    <s v="Yes"/>
    <x v="55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60292239.99039599"/>
    <n v="12030736"/>
    <m/>
    <b v="0"/>
    <m/>
    <n v="-668763.87000000011"/>
    <n v="12689996"/>
    <n v="12.689996000000001"/>
    <n v="-659260"/>
    <n v="-659260"/>
    <n v="12.030735999999999"/>
    <n v="-0.65925999999999996"/>
    <n v="-0.66876387000000015"/>
    <n v="12.030735999999999"/>
    <n v="12.689996000000001"/>
    <n v="-0.65926000000000151"/>
  </r>
  <r>
    <s v="ULPRUD"/>
    <s v="Yes"/>
    <x v="56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70166928.79846799"/>
    <n v="15554245"/>
    <m/>
    <b v="0"/>
    <m/>
    <n v="-673150.85"/>
    <n v="16167560"/>
    <n v="16.167560000000002"/>
    <n v="-613315"/>
    <n v="-613315"/>
    <n v="15.554245"/>
    <n v="-0.61331500000000005"/>
    <n v="-0.67315084999999997"/>
    <n v="15.554245"/>
    <n v="16.167560000000002"/>
    <n v="-0.61331500000000183"/>
  </r>
  <r>
    <s v="DINAR1TF"/>
    <s v="Yes"/>
    <x v="57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43350273.71078199"/>
    <n v="1363503"/>
    <m/>
    <b v="0"/>
    <m/>
    <n v="-8576.35"/>
    <n v="1364632"/>
    <n v="1.3646320000000001"/>
    <n v="-1129"/>
    <n v="-1129"/>
    <n v="1.3635029999999999"/>
    <n v="-1.129E-3"/>
    <n v="-8.5763499999999999E-3"/>
    <n v="1.3635029999999999"/>
    <n v="1.3646320000000001"/>
    <n v="-1.1290000000001577E-3"/>
  </r>
  <r>
    <s v="DINAR2TF"/>
    <s v="Yes"/>
    <x v="58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52499167.475393"/>
    <n v="26945800"/>
    <m/>
    <b v="0"/>
    <m/>
    <n v="-155507.10000000009"/>
    <n v="26955727"/>
    <n v="26.955727"/>
    <n v="-9927"/>
    <n v="-9927"/>
    <n v="26.945799999999998"/>
    <n v="-9.9270000000000001E-3"/>
    <n v="-0.15550710000000009"/>
    <n v="26.945799999999998"/>
    <n v="26.955727"/>
    <n v="-9.9270000000011294E-3"/>
  </r>
  <r>
    <s v="DINAR3TF"/>
    <s v="Yes"/>
    <x v="59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57395061.84757999"/>
    <n v="795570"/>
    <m/>
    <b v="0"/>
    <m/>
    <n v="-3761.6500000000005"/>
    <n v="794524"/>
    <n v="0.79452400000000001"/>
    <n v="1046"/>
    <n v="1046"/>
    <n v="0.79557"/>
    <n v="1.0460000000000001E-3"/>
    <n v="-3.7616500000000005E-3"/>
    <n v="0.79557"/>
    <n v="0.79452400000000001"/>
    <n v="1.0459999999999914E-3"/>
  </r>
  <r>
    <s v="MATRUNIP"/>
    <s v="Yes"/>
    <x v="60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23986749.370975"/>
    <n v="12280450"/>
    <m/>
    <b v="0"/>
    <m/>
    <n v="-644373.75999999989"/>
    <n v="12897265"/>
    <n v="12.897265000000001"/>
    <n v="-616815"/>
    <n v="-616815"/>
    <n v="12.28045"/>
    <n v="-0.616815"/>
    <n v="-0.64437375999999991"/>
    <n v="12.28045"/>
    <n v="12.897265000000001"/>
    <n v="-0.61681500000000078"/>
  </r>
  <r>
    <s v="MUNIP"/>
    <s v="Yes"/>
    <x v="61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62393071.78226301"/>
    <n v="255343"/>
    <m/>
    <b v="0"/>
    <m/>
    <n v="-17807.07"/>
    <n v="272765"/>
    <n v="0.27276499999999998"/>
    <n v="-17422"/>
    <n v="-17422"/>
    <n v="0.25534299999999999"/>
    <n v="-1.7422E-2"/>
    <n v="-1.7807070000000001E-2"/>
    <n v="0.25534299999999999"/>
    <n v="0.27276499999999998"/>
    <n v="-1.7421999999999993E-2"/>
  </r>
  <r>
    <s v="MEPF2N"/>
    <s v="Yes"/>
    <x v="62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6117570.69861901"/>
    <n v="7616069"/>
    <m/>
    <b v="0"/>
    <m/>
    <n v="-350635.67999999988"/>
    <n v="7920799"/>
    <n v="7.9207989999999997"/>
    <n v="-304730"/>
    <n v="-304730"/>
    <n v="7.6160690000000004"/>
    <n v="-0.30473"/>
    <n v="-0.35063567999999989"/>
    <n v="7.6160690000000004"/>
    <n v="7.9207989999999997"/>
    <n v="-0.30472999999999928"/>
  </r>
  <r>
    <s v="MEPF5"/>
    <s v="Yes"/>
    <x v="63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66141402.92062801"/>
    <n v="72484395"/>
    <m/>
    <b v="0"/>
    <m/>
    <n v="-1379157.7200000009"/>
    <n v="73864832"/>
    <n v="73.864832000000007"/>
    <n v="-1380437"/>
    <n v="-1380437"/>
    <n v="72.484395000000006"/>
    <n v="-1.3804369999999999"/>
    <n v="-1.3791577200000009"/>
    <n v="72.484395000000006"/>
    <n v="73.864832000000007"/>
    <n v="-1.3804370000000006"/>
  </r>
  <r>
    <s v="MEPF6"/>
    <s v="Yes"/>
    <x v="64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158113575.86113399"/>
    <n v="64408792"/>
    <m/>
    <b v="0"/>
    <m/>
    <n v="-1481691.5300000005"/>
    <n v="65910670"/>
    <n v="65.910669999999996"/>
    <n v="-1501878"/>
    <n v="-1501878"/>
    <n v="64.408792000000005"/>
    <n v="-1.501878"/>
    <n v="-1.4816915300000004"/>
    <n v="64.408792000000005"/>
    <n v="65.910669999999996"/>
    <n v="-1.5018779999999907"/>
  </r>
  <r>
    <s v="MEPF8"/>
    <s v="Yes"/>
    <x v="65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44184151.890834"/>
    <n v="128787502"/>
    <m/>
    <b v="0"/>
    <m/>
    <n v="-2446438.419999999"/>
    <n v="132733973"/>
    <n v="132.73397299999999"/>
    <n v="-3946471"/>
    <n v="-3946471"/>
    <n v="128.78750199999999"/>
    <n v="-3.9464709999999998"/>
    <n v="-2.4464384199999989"/>
    <n v="128.78750199999999"/>
    <n v="132.73397299999999"/>
    <n v="-3.9464710000000025"/>
  </r>
  <r>
    <s v="ULG4NEW"/>
    <s v="Yes"/>
    <x v="66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96970719.92772499"/>
    <n v="411051"/>
    <m/>
    <b v="0"/>
    <m/>
    <n v="-681.71"/>
    <n v="406916"/>
    <n v="0.406916"/>
    <n v="4135"/>
    <n v="4135"/>
    <n v="0.411051"/>
    <n v="4.1349999999999998E-3"/>
    <n v="-6.8171000000000008E-4"/>
    <n v="0.411051"/>
    <n v="0.406916"/>
    <n v="4.1349999999999998E-3"/>
  </r>
  <r>
    <s v="MEPF10"/>
    <s v="Yes"/>
    <x v="67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1639044963.34446"/>
    <n v="395535"/>
    <m/>
    <b v="0"/>
    <m/>
    <n v="-1323.0099999999998"/>
    <n v="393174"/>
    <n v="0.39317400000000002"/>
    <n v="2361"/>
    <n v="2361"/>
    <n v="0.39553500000000003"/>
    <n v="2.3609999999999998E-3"/>
    <n v="-1.3230099999999997E-3"/>
    <n v="0.39553500000000003"/>
    <n v="0.39317400000000002"/>
    <n v="2.361000000000002E-3"/>
  </r>
  <r>
    <s v="MEPF4"/>
    <s v="Yes"/>
    <x v="68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9879073.65219"/>
    <n v="1067361"/>
    <m/>
    <b v="0"/>
    <m/>
    <n v="-182908.58999999997"/>
    <n v="1249574"/>
    <n v="1.249574"/>
    <n v="-182213"/>
    <n v="-182213"/>
    <n v="1.067361"/>
    <n v="-0.18221300000000001"/>
    <n v="-0.18290858999999995"/>
    <n v="1.067361"/>
    <n v="1.249574"/>
    <n v="-0.18221299999999996"/>
  </r>
  <r>
    <s v="UES20"/>
    <s v="Yes"/>
    <x v="69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17530297.356382"/>
    <n v="23044548"/>
    <m/>
    <b v="0"/>
    <m/>
    <n v="-1652714.3599999989"/>
    <n v="24509694"/>
    <n v="24.509694"/>
    <n v="-1465146"/>
    <n v="-1465146"/>
    <n v="23.044547999999999"/>
    <n v="-1.4651460000000001"/>
    <n v="-1.6527143599999989"/>
    <n v="23.044547999999999"/>
    <n v="24.509694"/>
    <n v="-1.4651460000000007"/>
  </r>
  <r>
    <s v="UES30"/>
    <s v="Yes"/>
    <x v="70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18165044.484503"/>
    <n v="234658014"/>
    <m/>
    <b v="0"/>
    <m/>
    <n v="-17940993.880000018"/>
    <n v="250680875"/>
    <n v="250.68087499999999"/>
    <n v="-16022861"/>
    <n v="-16022861"/>
    <n v="234.65801400000001"/>
    <n v="-16.022860999999999"/>
    <n v="-17.940993880000018"/>
    <n v="234.65801400000001"/>
    <n v="250.68087499999999"/>
    <n v="-16.022860999999978"/>
  </r>
  <r>
    <s v="UES40"/>
    <s v="Yes"/>
    <x v="71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32504447.23408601"/>
    <n v="17723615"/>
    <m/>
    <b v="0"/>
    <m/>
    <n v="-1681571.7899999993"/>
    <n v="19212387"/>
    <n v="19.212387"/>
    <n v="-1488772"/>
    <n v="-1488772"/>
    <n v="17.723614999999999"/>
    <n v="-1.488772"/>
    <n v="-1.6815717899999993"/>
    <n v="17.723614999999999"/>
    <n v="19.212387"/>
    <n v="-1.4887720000000009"/>
  </r>
  <r>
    <s v="UES70"/>
    <s v="Yes"/>
    <x v="72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55309118.75409299"/>
    <n v="328851184"/>
    <m/>
    <b v="0"/>
    <m/>
    <n v="-40659051.159999982"/>
    <n v="366473118"/>
    <n v="366.473118"/>
    <n v="-37621934"/>
    <n v="-37621934"/>
    <n v="328.85118399999999"/>
    <n v="-37.621934000000003"/>
    <n v="-40.659051159999983"/>
    <n v="328.85118399999999"/>
    <n v="366.473118"/>
    <n v="-37.62193400000001"/>
  </r>
  <r>
    <s v="UES50"/>
    <s v="Yes"/>
    <x v="73"/>
    <s v="Model"/>
    <s v="On Original Risk List  "/>
    <s v="From Risk - Fund Responsibility - Model Portfolios"/>
    <s v="Allocation Driven Strategies"/>
    <x v="6"/>
    <m/>
    <m/>
    <s v="AMUNDI.IRL/INV/MAS/PMG"/>
    <s v="BUONO SALVATORE"/>
    <s v="To be Affected"/>
    <m/>
    <n v="142608981.84143099"/>
    <n v="550852602"/>
    <m/>
    <b v="0"/>
    <m/>
    <n v="-66777686.989999987"/>
    <n v="613264658"/>
    <n v="613.26465800000005"/>
    <n v="-62412056"/>
    <n v="-62412056"/>
    <n v="550.85260200000005"/>
    <n v="-62.412056"/>
    <n v="-66.777686989999992"/>
    <n v="550.85260200000005"/>
    <n v="613.26465800000005"/>
    <n v="-62.412056000000007"/>
  </r>
  <r>
    <s v="PP3Y"/>
    <s v="Yes"/>
    <x v="74"/>
    <s v="Model"/>
    <s v="On Original Risk List  "/>
    <s v="From Risk - Fund Responsibility - Model Portfolios"/>
    <s v="Allocation Driven Strategies"/>
    <x v="1"/>
    <m/>
    <m/>
    <s v="AMUNDI.IRL/INV/MAS/PMG/PMG"/>
    <s v="CASEY RICHARD"/>
    <s v="To be Affected"/>
    <m/>
    <n v="173624542.66213301"/>
    <n v="122521317"/>
    <m/>
    <b v="0"/>
    <m/>
    <n v="-188585.52999999974"/>
    <n v="121839302"/>
    <n v="121.839302"/>
    <n v="682015"/>
    <n v="682015"/>
    <n v="122.521317"/>
    <n v="0.68201500000000004"/>
    <n v="-0.18858552999999972"/>
    <n v="122.521317"/>
    <n v="121.839302"/>
    <n v="0.68201499999999271"/>
  </r>
  <r>
    <s v="MAL"/>
    <s v="Yes"/>
    <x v="75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123064.31436101"/>
    <n v="142698"/>
    <m/>
    <b v="0"/>
    <m/>
    <n v="-1625.16"/>
    <n v="143073"/>
    <n v="0.14307300000000001"/>
    <n v="-375"/>
    <n v="-375"/>
    <n v="0.14269799999999999"/>
    <n v="-3.7500000000000001E-4"/>
    <n v="-1.6251600000000001E-3"/>
    <n v="0.14269799999999999"/>
    <n v="0.14307300000000001"/>
    <n v="-3.7500000000001421E-4"/>
  </r>
  <r>
    <s v="MAF"/>
    <s v="Yes"/>
    <x v="76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5431829.81326699"/>
    <n v="87215"/>
    <m/>
    <b v="0"/>
    <m/>
    <n v="-1505.89"/>
    <n v="87979"/>
    <n v="8.7979000000000002E-2"/>
    <n v="-764"/>
    <n v="-764"/>
    <n v="8.7215000000000001E-2"/>
    <n v="-7.6400000000000003E-4"/>
    <n v="-1.5058900000000002E-3"/>
    <n v="8.7215000000000001E-2"/>
    <n v="8.7979000000000002E-2"/>
    <n v="-7.6400000000000079E-4"/>
  </r>
  <r>
    <s v="MAB"/>
    <s v="Yes"/>
    <x v="77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257809.171958"/>
    <n v="4871246"/>
    <m/>
    <b v="0"/>
    <m/>
    <n v="-70599.200000000041"/>
    <n v="4891405"/>
    <n v="4.8914049999999998"/>
    <n v="-20159"/>
    <n v="-20159"/>
    <n v="4.8712460000000002"/>
    <n v="-2.0159E-2"/>
    <n v="-7.0599200000000042E-2"/>
    <n v="4.8712460000000002"/>
    <n v="4.8914049999999998"/>
    <n v="-2.0158999999999594E-2"/>
  </r>
  <r>
    <s v="MAD"/>
    <s v="Yes"/>
    <x v="78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6304444.90159"/>
    <n v="341235"/>
    <m/>
    <b v="0"/>
    <m/>
    <n v="-2087.83"/>
    <n v="340831"/>
    <n v="0.340831"/>
    <n v="404"/>
    <n v="404"/>
    <n v="0.34123500000000001"/>
    <n v="4.0400000000000001E-4"/>
    <n v="-2.0878299999999997E-3"/>
    <n v="0.34123500000000001"/>
    <n v="0.340831"/>
    <n v="4.0400000000001546E-4"/>
  </r>
  <r>
    <s v="MAC"/>
    <s v="Yes"/>
    <x v="79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5816999.138579"/>
    <n v="187778"/>
    <m/>
    <b v="0"/>
    <m/>
    <n v="-1740.22"/>
    <n v="187915"/>
    <n v="0.187915"/>
    <n v="-137"/>
    <n v="-137"/>
    <n v="0.187778"/>
    <n v="-1.37E-4"/>
    <n v="-1.74022E-3"/>
    <n v="0.187778"/>
    <n v="0.187915"/>
    <n v="-1.3699999999999823E-4"/>
  </r>
  <r>
    <s v="MAH"/>
    <s v="Yes"/>
    <x v="80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7971611.001837"/>
    <n v="634676"/>
    <m/>
    <b v="0"/>
    <m/>
    <n v="-2758.01"/>
    <n v="631685"/>
    <n v="0.63168500000000005"/>
    <n v="2991"/>
    <n v="2991"/>
    <n v="0.63467600000000002"/>
    <n v="2.9910000000000002E-3"/>
    <n v="-2.7580100000000004E-3"/>
    <n v="0.63467600000000002"/>
    <n v="0.63168500000000005"/>
    <n v="2.9909999999999659E-3"/>
  </r>
  <r>
    <s v="MAG"/>
    <s v="Yes"/>
    <x v="81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6807681.44795699"/>
    <n v="134904"/>
    <m/>
    <b v="0"/>
    <m/>
    <n v="-1605.7"/>
    <n v="135227"/>
    <n v="0.13522700000000001"/>
    <n v="-323"/>
    <n v="-323"/>
    <n v="0.134904"/>
    <n v="-3.2299999999999999E-4"/>
    <n v="-1.6057000000000001E-3"/>
    <n v="0.134904"/>
    <n v="0.13522700000000001"/>
    <n v="-3.2300000000001772E-4"/>
  </r>
  <r>
    <s v="MAE"/>
    <s v="Yes"/>
    <x v="82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5199855.064237"/>
    <n v="154948"/>
    <m/>
    <b v="0"/>
    <m/>
    <n v="-1644.49"/>
    <n v="155214"/>
    <n v="0.15521399999999999"/>
    <n v="-266"/>
    <n v="-266"/>
    <n v="0.154948"/>
    <n v="-2.6600000000000001E-4"/>
    <n v="-1.64449E-3"/>
    <n v="0.154948"/>
    <n v="0.15521399999999999"/>
    <n v="-2.6599999999998847E-4"/>
  </r>
  <r>
    <s v="MAA"/>
    <s v="Yes"/>
    <x v="83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11570275.28652801"/>
    <n v="279016"/>
    <m/>
    <b v="0"/>
    <m/>
    <n v="-1958.1100000000001"/>
    <n v="278072"/>
    <n v="0.27807199999999999"/>
    <n v="944"/>
    <n v="944"/>
    <n v="0.27901599999999999"/>
    <n v="9.4399999999999996E-4"/>
    <n v="-1.9581100000000003E-3"/>
    <n v="0.27901599999999999"/>
    <n v="0.27807199999999999"/>
    <n v="9.4400000000000039E-4"/>
  </r>
  <r>
    <s v="MAN"/>
    <s v="Yes"/>
    <x v="84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11414919.584572"/>
    <n v="28074"/>
    <m/>
    <b v="0"/>
    <m/>
    <n v="-1209.0000000000002"/>
    <n v="29020"/>
    <n v="2.9020000000000001E-2"/>
    <n v="-946"/>
    <n v="-946"/>
    <n v="2.8074000000000002E-2"/>
    <n v="-9.4600000000000001E-4"/>
    <n v="-1.2090000000000002E-3"/>
    <n v="2.8074000000000002E-2"/>
    <n v="2.9020000000000001E-2"/>
    <n v="-9.4599999999999893E-4"/>
  </r>
  <r>
    <s v="MAM"/>
    <s v="Yes"/>
    <x v="85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977985.737858"/>
    <n v="16557"/>
    <m/>
    <b v="0"/>
    <m/>
    <n v="-579.68999999999983"/>
    <n v="16991"/>
    <n v="1.6990999999999999E-2"/>
    <n v="-434"/>
    <n v="-434"/>
    <n v="1.6556999999999999E-2"/>
    <n v="-4.3399999999999998E-4"/>
    <n v="-5.7968999999999978E-4"/>
    <n v="1.6556999999999999E-2"/>
    <n v="1.6990999999999999E-2"/>
    <n v="-4.3400000000000036E-4"/>
  </r>
  <r>
    <s v="CNPTHEMPROT"/>
    <s v="Yes"/>
    <x v="86"/>
    <s v="Model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195364106"/>
    <m/>
    <m/>
    <m/>
    <n v="-10521304.209999999"/>
    <n v="201751089"/>
    <n v="201.75108900000001"/>
    <n v="-6386983"/>
    <n v="-6386983"/>
    <n v="195.36410599999999"/>
    <n v="-6.3869829999999999"/>
    <n v="-10.521304209999998"/>
    <n v="195.36410599999999"/>
    <n v="0"/>
    <n v="195.36410599999999"/>
  </r>
  <r>
    <s v="CRVTHEMPROT"/>
    <s v="Yes"/>
    <x v="87"/>
    <s v="Model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307505809"/>
    <m/>
    <m/>
    <m/>
    <n v="-11494400.819999998"/>
    <n v="312423908"/>
    <n v="312.42390799999998"/>
    <n v="-4918099"/>
    <n v="-4918099"/>
    <n v="307.505809"/>
    <n v="-4.9180989999999998"/>
    <n v="-11.494400819999999"/>
    <n v="307.505809"/>
    <n v="0"/>
    <n v="307.505809"/>
  </r>
  <r>
    <s v="CNPDYNPR80"/>
    <s v="Yes"/>
    <x v="88"/>
    <s v="Model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n v="111167018.79302099"/>
    <n v="116832547"/>
    <m/>
    <b v="0"/>
    <m/>
    <n v="-16088829.240000004"/>
    <n v="132260888"/>
    <n v="132.26088799999999"/>
    <n v="-15428341"/>
    <n v="-15428341"/>
    <n v="116.83254700000001"/>
    <n v="-15.428341"/>
    <n v="-16.088829240000003"/>
    <n v="116.83254700000001"/>
    <n v="132.26088799999999"/>
    <n v="-15.428340999999989"/>
  </r>
  <r>
    <s v="CRVDYNPR80"/>
    <s v="Yes"/>
    <x v="89"/>
    <s v="Model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n v="110734811.618277"/>
    <n v="279293562"/>
    <m/>
    <b v="0"/>
    <m/>
    <n v="-25728394.100000024"/>
    <n v="303707882"/>
    <n v="303.70788199999998"/>
    <n v="-24414320"/>
    <n v="-24414320"/>
    <n v="279.29356200000001"/>
    <n v="-24.41432"/>
    <n v="-25.728394100000024"/>
    <n v="279.29356200000001"/>
    <n v="303.70788199999998"/>
    <n v="-24.414319999999975"/>
  </r>
  <r>
    <s v="CNPPROT80"/>
    <s v="Yes"/>
    <x v="90"/>
    <s v="Model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96897819"/>
    <m/>
    <b v="0"/>
    <m/>
    <n v="367906.5400000001"/>
    <n v="92942418"/>
    <n v="92.942418000000004"/>
    <n v="3955401"/>
    <n v="3955401"/>
    <n v="96.897818999999998"/>
    <n v="3.9554010000000002"/>
    <n v="0.36790654000000012"/>
    <n v="96.897818999999998"/>
    <n v="92.942418000000004"/>
    <n v="3.9554009999999948"/>
  </r>
  <r>
    <s v="CRVPROT80"/>
    <s v="Yes"/>
    <x v="91"/>
    <s v="Model"/>
    <s v="On Original Risk List  "/>
    <s v="From Risk - Fund Responsibility - Model Portfolios"/>
    <s v="Outcome Oriented Strategies"/>
    <x v="11"/>
    <m/>
    <m/>
    <s v="AMUNDI.IRL/INV/MAS/PMG"/>
    <s v="BUONO SALVATORE"/>
    <s v="To be Affected"/>
    <m/>
    <m/>
    <n v="106822030"/>
    <m/>
    <b v="0"/>
    <m/>
    <n v="1020637.6299999998"/>
    <n v="101671056"/>
    <n v="101.67105599999999"/>
    <n v="5150974"/>
    <n v="5150974"/>
    <n v="106.82203"/>
    <n v="5.1509739999999997"/>
    <n v="1.0206376299999997"/>
    <n v="106.82203"/>
    <n v="101.67105599999999"/>
    <n v="5.150974000000005"/>
  </r>
  <r>
    <s v="MLINC"/>
    <s v="Yes"/>
    <x v="92"/>
    <s v="Model"/>
    <s v="On Original Risk List  "/>
    <s v="From Risk - Fund Responsibility - Model Portfolios"/>
    <s v="Outcome Oriented Strategies"/>
    <x v="4"/>
    <m/>
    <m/>
    <s v="AMUNDI.IRL/INV/MAS/PMG"/>
    <s v="BUONO SALVATORE"/>
    <s v="To be Affected"/>
    <m/>
    <n v="123428954.947797"/>
    <n v="215406941"/>
    <m/>
    <b v="0"/>
    <m/>
    <n v="-15247022.630000001"/>
    <n v="230490457"/>
    <n v="230.49045699999999"/>
    <n v="-15083516"/>
    <n v="-15083516"/>
    <n v="215.40694099999999"/>
    <n v="-15.083515999999999"/>
    <n v="-15.24702263"/>
    <n v="215.40694099999999"/>
    <n v="230.49045699999999"/>
    <n v="-15.083516000000003"/>
  </r>
  <r>
    <s v="MULLI360"/>
    <s v="Yes"/>
    <x v="93"/>
    <s v="Model"/>
    <s v="On Original Risk List  "/>
    <s v="From Risk - Fund Responsibility - Model Portfolios"/>
    <s v="Outcome Oriented Strategies"/>
    <x v="4"/>
    <m/>
    <m/>
    <s v="AMUNDI.IRL/INV/MAS/PMG"/>
    <s v="BUONO SALVATORE"/>
    <s v="To be Affected"/>
    <m/>
    <n v="121179752.07127599"/>
    <n v="154991340"/>
    <m/>
    <b v="0"/>
    <m/>
    <n v="-14572498.070000004"/>
    <n v="170018725"/>
    <n v="170.01872499999999"/>
    <n v="-15027385"/>
    <n v="-15027385"/>
    <n v="154.99134000000001"/>
    <n v="-15.027385000000001"/>
    <n v="-14.572498070000004"/>
    <n v="154.99134000000001"/>
    <n v="170.01872499999999"/>
    <n v="-15.027384999999981"/>
  </r>
  <r>
    <s v="ULACCO"/>
    <s v="Yes"/>
    <x v="94"/>
    <s v="Model"/>
    <s v="On Original Risk List  "/>
    <s v="From Risk - Fund Responsibility - Model Portfolios"/>
    <s v="Outcome Oriented Strategies"/>
    <x v="3"/>
    <m/>
    <m/>
    <s v="AMUNDI.IRL/INV/MAS/PMG"/>
    <s v="BUONO SALVATORE"/>
    <s v="To be Affected"/>
    <m/>
    <n v="118882703.590166"/>
    <n v="4704953"/>
    <m/>
    <b v="0"/>
    <m/>
    <n v="-340502.77"/>
    <n v="5173858"/>
    <n v="5.1738580000000001"/>
    <n v="-468905"/>
    <n v="-468905"/>
    <n v="4.7049529999999997"/>
    <n v="-0.46890500000000002"/>
    <n v="-0.34050277000000001"/>
    <n v="4.7049529999999997"/>
    <n v="5.1738580000000001"/>
    <n v="-0.46890500000000035"/>
  </r>
  <r>
    <s v="MUSI"/>
    <s v="Yes"/>
    <x v="95"/>
    <s v="Model"/>
    <s v="On Original Risk List  "/>
    <s v="From Risk - Fund Responsibility - Model Portfolios"/>
    <s v="Outcome Oriented Strategies"/>
    <x v="4"/>
    <m/>
    <m/>
    <s v="AMUNDI.IRL/INV/MAS/PMG"/>
    <s v="BUONO SALVATORE"/>
    <s v="To be Affected"/>
    <m/>
    <n v="119055652.78436001"/>
    <n v="239238036"/>
    <m/>
    <b v="0"/>
    <m/>
    <n v="-24530124.020000018"/>
    <n v="263555955"/>
    <n v="263.55595499999998"/>
    <n v="-24317919"/>
    <n v="-24317919"/>
    <n v="239.23803599999999"/>
    <n v="-24.317919"/>
    <n v="-24.530124020000017"/>
    <n v="239.23803599999999"/>
    <n v="263.55595499999998"/>
    <n v="-24.317918999999989"/>
  </r>
  <r>
    <s v="PMAI"/>
    <s v="Yes"/>
    <x v="96"/>
    <s v="Model"/>
    <s v="On Original Risk List  "/>
    <s v="From Risk - Fund Responsibility - Model Portfolios"/>
    <s v="Outcome Oriented Strategies"/>
    <x v="10"/>
    <m/>
    <m/>
    <s v="AMUNDI.IRL/INV/MAS/PMG"/>
    <s v="BUONO SALVATORE"/>
    <s v="To be Affected"/>
    <m/>
    <n v="108446631.677074"/>
    <n v="77561"/>
    <m/>
    <b v="0"/>
    <m/>
    <m/>
    <n v="78336"/>
    <n v="7.8336000000000003E-2"/>
    <n v="-775"/>
    <n v="-775"/>
    <n v="7.7561000000000005E-2"/>
    <n v="-7.7499999999999997E-4"/>
    <n v="0"/>
    <n v="7.7561000000000005E-2"/>
    <n v="7.8336000000000003E-2"/>
    <n v="-7.7499999999999791E-4"/>
  </r>
  <r>
    <s v="ULBER-"/>
    <s v="Yes"/>
    <x v="97"/>
    <s v="Model"/>
    <s v="On Original Risk List  "/>
    <s v="From Risk - Fund Responsibility - Model Portfolios"/>
    <s v="Allocation Driven Strategies"/>
    <x v="0"/>
    <m/>
    <m/>
    <s v="AMUNDI.IRL/INV/MAS/PMG"/>
    <s v="BUONO SALVATORE"/>
    <s v="To be Affected"/>
    <m/>
    <n v="207709959.66864499"/>
    <n v="5017578"/>
    <m/>
    <b v="0"/>
    <m/>
    <m/>
    <n v="5017578"/>
    <n v="5.0175780000000003"/>
    <n v="0"/>
    <n v="0"/>
    <n v="5.0175780000000003"/>
    <n v="0"/>
    <n v="0"/>
    <n v="0"/>
    <n v="0"/>
    <n v="0"/>
  </r>
  <r>
    <s v="ULDER"/>
    <s v="Yes"/>
    <x v="98"/>
    <s v="Model"/>
    <s v="On Original Risk List  "/>
    <s v="From Risk - Fund Responsibility - Model Portfolios"/>
    <s v="Allocation Driven Strategies"/>
    <x v="2"/>
    <m/>
    <m/>
    <s v="AMUNDI.IRL/INV/MAS/PMG"/>
    <s v="BUONO SALVATORE"/>
    <s v="To be Affected"/>
    <m/>
    <n v="251863210.81133899"/>
    <n v="0"/>
    <m/>
    <b v="0"/>
    <m/>
    <m/>
    <n v="0"/>
    <n v="0"/>
    <n v="0"/>
    <n v="0"/>
    <n v="0"/>
    <n v="0"/>
    <n v="0"/>
    <n v="0"/>
    <n v="0"/>
    <n v="0"/>
  </r>
  <r>
    <s v="ULPER"/>
    <s v="Yes"/>
    <x v="99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57209342.62897399"/>
    <n v="0"/>
    <m/>
    <b v="0"/>
    <m/>
    <m/>
    <n v="0"/>
    <n v="0"/>
    <n v="0"/>
    <n v="0"/>
    <n v="0"/>
    <n v="0"/>
    <n v="0"/>
    <n v="0"/>
    <n v="0"/>
    <n v="0"/>
  </r>
  <r>
    <s v="ULP-ER"/>
    <s v="Yes"/>
    <x v="100"/>
    <s v="Model"/>
    <s v="On Original Risk List  "/>
    <s v="From Risk - Fund Responsibility - Model Portfolios"/>
    <s v="Allocation Driven Strategies"/>
    <x v="1"/>
    <m/>
    <m/>
    <s v="AMUNDI.IRL/INV/MAS/PMG"/>
    <s v="BUONO SALVATORE"/>
    <s v="To be Affected"/>
    <m/>
    <n v="176197956.52590799"/>
    <n v="0"/>
    <m/>
    <b v="0"/>
    <m/>
    <m/>
    <n v="0"/>
    <n v="0"/>
    <n v="0"/>
    <n v="0"/>
    <n v="0"/>
    <n v="0"/>
    <n v="0"/>
    <n v="0"/>
    <m/>
    <m/>
  </r>
  <r>
    <s v="R2M"/>
    <s v="Yes"/>
    <x v="101"/>
    <s v="Model"/>
    <s v="Added by Ronan"/>
    <s v="From Risk - Fund Responsibility - Model Portfolios"/>
    <s v="Allocation Driven Strategies"/>
    <x v="2"/>
    <m/>
    <m/>
    <m/>
    <m/>
    <m/>
    <m/>
    <m/>
    <n v="3991454"/>
    <m/>
    <b v="0"/>
    <m/>
    <n v="-34928.270000000019"/>
    <n v="3913810"/>
    <n v="3.9138099999999998"/>
    <n v="77644"/>
    <n v="77644"/>
    <n v="3.9914540000000001"/>
    <n v="7.7644000000000005E-2"/>
    <n v="-3.4928270000000018E-2"/>
    <n v="3.9914540000000001"/>
    <n v="3.9138099999999998"/>
    <n v="7.7644000000000268E-2"/>
  </r>
  <r>
    <s v="ULC"/>
    <s v="Yes"/>
    <x v="102"/>
    <s v="Model"/>
    <s v="On Original Risk List  "/>
    <s v="From Risk - Models master - Sheet 1"/>
    <s v="Allocation Driven Strategies"/>
    <x v="1"/>
    <m/>
    <m/>
    <s v="AMUNDI.IRL/INV/MAS/PMG"/>
    <s v="BUONO SALVATORE"/>
    <s v="To be Affected"/>
    <m/>
    <n v="134854780.55061799"/>
    <n v="27311192"/>
    <m/>
    <b v="0"/>
    <m/>
    <n v="-523806.44999999984"/>
    <n v="27597514"/>
    <n v="27.597514"/>
    <n v="-286322"/>
    <n v="-286322"/>
    <n v="27.311191999999998"/>
    <n v="-0.28632200000000002"/>
    <n v="-0.52380644999999981"/>
    <n v="27.311191999999998"/>
    <n v="27.597514"/>
    <n v="-0.28632200000000196"/>
  </r>
  <r>
    <s v="UNGOALS"/>
    <s v="Yes"/>
    <x v="103"/>
    <s v="Model"/>
    <m/>
    <m/>
    <s v="Outcome Oriented Strategies"/>
    <x v="5"/>
    <m/>
    <m/>
    <m/>
    <m/>
    <m/>
    <m/>
    <m/>
    <n v="909580051"/>
    <m/>
    <b v="0"/>
    <m/>
    <n v="8885720.7199999932"/>
    <n v="869067080"/>
    <n v="869.06708000000003"/>
    <n v="40512971"/>
    <n v="40512971"/>
    <n v="909.58005100000003"/>
    <n v="40.512971"/>
    <n v="8.885720719999993"/>
    <n v="909.58005100000003"/>
    <n v="869.06708000000003"/>
    <n v="40.512970999999993"/>
  </r>
  <r>
    <s v="ULMATREND"/>
    <s v="Yes"/>
    <x v="104"/>
    <s v="Model"/>
    <m/>
    <m/>
    <s v="Outcome Oriented Strategies"/>
    <x v="5"/>
    <m/>
    <m/>
    <m/>
    <m/>
    <m/>
    <m/>
    <m/>
    <n v="252843377"/>
    <m/>
    <b v="0"/>
    <m/>
    <n v="6517412.1099999938"/>
    <n v="239873847"/>
    <n v="239.87384700000001"/>
    <n v="12969530"/>
    <n v="12969530"/>
    <n v="252.843377"/>
    <n v="12.969530000000001"/>
    <n v="6.5174121099999942"/>
    <n v="252.843377"/>
    <n v="239.87384700000001"/>
    <n v="12.969529999999992"/>
  </r>
  <r>
    <s v="ULFTREND "/>
    <s v="Yes"/>
    <x v="105"/>
    <s v="Model"/>
    <m/>
    <m/>
    <s v="Outcome Oriented Strategies"/>
    <x v="5"/>
    <m/>
    <m/>
    <m/>
    <m/>
    <m/>
    <m/>
    <m/>
    <s v=""/>
    <m/>
    <b v="0"/>
    <m/>
    <n v="226891.29000000094"/>
    <s v=""/>
    <s v=""/>
    <s v=""/>
    <s v=""/>
    <s v=""/>
    <s v=""/>
    <n v="0.22689129000000094"/>
    <m/>
    <s v=""/>
    <s v=""/>
  </r>
  <r>
    <s v="Multhem"/>
    <s v="Yes"/>
    <x v="106"/>
    <s v="Model"/>
    <s v="On Original Risk List  "/>
    <s v="From Risk - Models master - Sheet 1"/>
    <s v="Outcome Oriented Strategies"/>
    <x v="5"/>
    <m/>
    <m/>
    <m/>
    <m/>
    <m/>
    <m/>
    <m/>
    <m/>
    <m/>
    <b v="0"/>
    <m/>
    <m/>
    <m/>
    <n v="0"/>
    <n v="0"/>
    <n v="0"/>
    <n v="0"/>
    <n v="0"/>
    <n v="0"/>
    <n v="1795.6708269999999"/>
    <n v="1777.2550980000001"/>
    <n v="18.415728999999828"/>
  </r>
  <r>
    <s v="AAPROT80"/>
    <s v="Yes"/>
    <x v="107"/>
    <s v="Model"/>
    <s v="Added by Ronan"/>
    <s v="Models AUM - Desk Mapping"/>
    <s v="Outcome Oriented Strategies"/>
    <x v="11"/>
    <m/>
    <m/>
    <m/>
    <m/>
    <m/>
    <m/>
    <m/>
    <n v="105977735"/>
    <m/>
    <b v="0"/>
    <m/>
    <n v="-3090101.6899999995"/>
    <n v="108101631"/>
    <n v="108.101631"/>
    <n v="-2123896"/>
    <n v="-2123896"/>
    <n v="105.977735"/>
    <n v="-2.1238959999999998"/>
    <n v="-3.0901016899999996"/>
    <n v="105.977735"/>
    <n v="108.101631"/>
    <n v="-2.123896000000002"/>
  </r>
  <r>
    <s v="MULSTEP"/>
    <s v="Yes"/>
    <x v="108"/>
    <s v="Model"/>
    <s v="On Original Risk List  "/>
    <s v="Not on another list - but included verbally by Salva"/>
    <s v="Outcome Oriented Strategies"/>
    <x v="3"/>
    <m/>
    <m/>
    <s v="AMUNDI.IRL/INV/MAS/PMG"/>
    <s v="BUONO SALVATORE"/>
    <s v="To be Affected"/>
    <m/>
    <n v="99030590.242356494"/>
    <m/>
    <m/>
    <b v="0"/>
    <m/>
    <n v="-334707.83"/>
    <m/>
    <n v="0"/>
    <n v="0"/>
    <n v="0"/>
    <n v="0"/>
    <n v="0"/>
    <n v="-0.33470783000000004"/>
    <n v="8.2036999999999995"/>
    <n v="8.3739450000000009"/>
    <n v="-0.17024500000000131"/>
  </r>
  <r>
    <s v="DIOP3"/>
    <s v="Yes"/>
    <x v="109"/>
    <s v="Model"/>
    <s v="On Original Risk List  "/>
    <s v="Not on another list - but included verbally by Salva"/>
    <s v="Outcome Oriented Strategies"/>
    <x v="4"/>
    <m/>
    <m/>
    <s v="AMUNDI.IRL/INV/MAS/PMG"/>
    <s v="NICHOLAS POTHIER"/>
    <s v="To be Affected"/>
    <m/>
    <n v="102220704.24242701"/>
    <n v="5231379.8499999996"/>
    <m/>
    <b v="0"/>
    <m/>
    <m/>
    <n v="6968432.6399999997"/>
    <n v="6.9684326399999996"/>
    <n v="-1737052.79"/>
    <n v="-1737052.79"/>
    <n v="5.2313798499999997"/>
    <n v="-1.7370527900000001"/>
    <n v="0"/>
    <m/>
    <m/>
    <n v="0"/>
  </r>
  <r>
    <s v="DIOP4"/>
    <s v="Yes"/>
    <x v="110"/>
    <s v="Model"/>
    <s v="On Original Risk List  "/>
    <s v="Not on another list - but included verbally by Salva"/>
    <s v="Outcome Oriented Strategies"/>
    <x v="5"/>
    <m/>
    <m/>
    <s v="AMUNDI.IRL/INV/MAS/PMG"/>
    <s v="NICHOLAS POTHIER"/>
    <s v="To be Affected"/>
    <m/>
    <n v="102840578.94022"/>
    <n v="9542350.5099999998"/>
    <m/>
    <b v="0"/>
    <m/>
    <m/>
    <n v="14185291.16"/>
    <n v="14.18529116"/>
    <n v="-4642940.6500000004"/>
    <n v="-4642940.6500000004"/>
    <n v="9.5423505100000003"/>
    <n v="-4.6429406500000008"/>
    <n v="0"/>
    <m/>
    <m/>
    <n v="0"/>
  </r>
  <r>
    <s v="BBSECCORE"/>
    <s v="Yes"/>
    <x v="111"/>
    <m/>
    <s v="On Original Risk List  "/>
    <s v="Not on another list - but included verbally by Salva"/>
    <m/>
    <x v="7"/>
    <m/>
    <m/>
    <s v="AMUNDI.IRL/INV/MAS/PMG/PMG"/>
    <s v="CASEY RICHARD"/>
    <s v="To be Affected"/>
    <m/>
    <n v="102684355.49557801"/>
    <n v="0"/>
    <m/>
    <e v="#N/A"/>
    <m/>
    <m/>
    <n v="0"/>
    <n v="0"/>
    <n v="0"/>
    <n v="0"/>
    <n v="0"/>
    <n v="0"/>
    <n v="0"/>
    <m/>
    <m/>
    <n v="0"/>
  </r>
  <r>
    <s v="BBSECPERIPH"/>
    <s v="Yes"/>
    <x v="112"/>
    <m/>
    <s v="On Original Risk List  "/>
    <s v="Not on another list - but included verbally by Salva"/>
    <m/>
    <x v="7"/>
    <m/>
    <m/>
    <s v="AMUNDI.IRL/INV/MAS/PMG/PMG"/>
    <s v="CASEY RICHARD"/>
    <s v="To be Affected"/>
    <m/>
    <n v="105073036.860901"/>
    <n v="0"/>
    <m/>
    <e v="#N/A"/>
    <m/>
    <m/>
    <n v="0"/>
    <n v="0"/>
    <n v="0"/>
    <n v="0"/>
    <n v="0"/>
    <n v="0"/>
    <n v="0"/>
    <m/>
    <m/>
    <n v="0"/>
  </r>
  <r>
    <s v="BBSECEURIG"/>
    <s v="Yes"/>
    <x v="113"/>
    <m/>
    <s v="On Original Risk List  "/>
    <s v="Not on another list - but included verbally by Salva"/>
    <m/>
    <x v="7"/>
    <m/>
    <m/>
    <s v="AMUNDI.IRL/INV/MAS/PMG/PMG"/>
    <s v="CASEY RICHARD"/>
    <s v="To be Affected"/>
    <m/>
    <n v="102950891.035953"/>
    <n v="0"/>
    <m/>
    <e v="#N/A"/>
    <m/>
    <m/>
    <n v="0"/>
    <n v="0"/>
    <n v="0"/>
    <n v="0"/>
    <n v="0"/>
    <n v="0"/>
    <n v="0"/>
    <m/>
    <m/>
    <n v="0"/>
  </r>
  <r>
    <s v="BBSECUSTBOND"/>
    <s v="Yes"/>
    <x v="114"/>
    <m/>
    <s v="On Original Risk List  "/>
    <s v="Not on another list - but included verbally by Salva"/>
    <m/>
    <x v="7"/>
    <m/>
    <m/>
    <s v="AMUNDI.IRL/INV/MAS/PMG/PMG"/>
    <s v="CASEY RICHARD"/>
    <s v="To be Affected"/>
    <m/>
    <n v="103916500.733969"/>
    <n v="0"/>
    <m/>
    <e v="#N/A"/>
    <m/>
    <m/>
    <n v="0"/>
    <n v="0"/>
    <n v="0"/>
    <n v="0"/>
    <n v="0"/>
    <n v="0"/>
    <n v="0"/>
    <m/>
    <m/>
    <n v="0"/>
  </r>
  <r>
    <s v="DIOP 1"/>
    <s v="Yes"/>
    <x v="115"/>
    <s v="Model"/>
    <s v="On Original Risk List  "/>
    <s v="Not on another list - but included verbally by Salva"/>
    <s v="Outcome Oriented Strategies"/>
    <x v="4"/>
    <m/>
    <m/>
    <m/>
    <m/>
    <m/>
    <m/>
    <m/>
    <n v="9442288.8699999992"/>
    <m/>
    <b v="0"/>
    <m/>
    <m/>
    <n v="9783751.7300000004"/>
    <n v="9.7837517300000005"/>
    <n v="-341462.86000000127"/>
    <n v="-341462.86000000127"/>
    <n v="9.4422888699999987"/>
    <n v="-0.34146286000000126"/>
    <n v="0"/>
    <m/>
    <m/>
    <n v="0"/>
  </r>
  <r>
    <s v="DIOP 2"/>
    <s v="Yes"/>
    <x v="116"/>
    <s v="Model"/>
    <s v="On Original Risk List  "/>
    <s v="Not on another list - but included verbally by Salva"/>
    <s v="Outcome Oriented Strategies"/>
    <x v="4"/>
    <m/>
    <m/>
    <m/>
    <m/>
    <m/>
    <m/>
    <m/>
    <n v="3345435.45"/>
    <m/>
    <b v="0"/>
    <m/>
    <m/>
    <n v="3901388.43"/>
    <n v="3.9013884300000004"/>
    <n v="-555952.98"/>
    <n v="-555952.98"/>
    <n v="3.3454354500000001"/>
    <n v="-0.55595297999999993"/>
    <n v="0"/>
    <m/>
    <m/>
    <n v="0"/>
  </r>
  <r>
    <s v="PF82304"/>
    <s v="Yes"/>
    <x v="117"/>
    <s v="Fund"/>
    <s v="On Original Risk List  "/>
    <s v="From Risk - Fund Responsibility - Dublin Funds"/>
    <m/>
    <x v="7"/>
    <m/>
    <m/>
    <m/>
    <s v="CASEY RICHARD"/>
    <s v="To be Affected"/>
    <s v="DUB EFI Absolute Return Aggregate"/>
    <m/>
    <m/>
    <m/>
    <b v="0"/>
    <m/>
    <m/>
    <m/>
    <m/>
    <m/>
    <m/>
    <m/>
    <m/>
    <m/>
    <m/>
    <m/>
    <m/>
  </r>
  <r>
    <s v="PF80513"/>
    <s v="Yes"/>
    <x v="118"/>
    <s v="Fund"/>
    <s v="On Original Risk List  "/>
    <s v="From Risk - Fund Responsibility - Dublin Funds"/>
    <m/>
    <x v="7"/>
    <m/>
    <m/>
    <m/>
    <s v="CASEY RICHARD"/>
    <s v="To be Affected"/>
    <s v="DUB EFI Absolute Return Aggregate"/>
    <m/>
    <m/>
    <m/>
    <b v="0"/>
    <m/>
    <m/>
    <m/>
    <m/>
    <m/>
    <m/>
    <m/>
    <m/>
    <m/>
    <m/>
    <m/>
    <m/>
  </r>
  <r>
    <s v="MUSG"/>
    <s v="Yes"/>
    <x v="119"/>
    <s v="Model"/>
    <s v="Added by Ronan"/>
    <s v="From Risk - Models Master - Sheet 2"/>
    <s v="Outcome Oriented Strategies"/>
    <x v="5"/>
    <m/>
    <m/>
    <m/>
    <m/>
    <m/>
    <m/>
    <m/>
    <m/>
    <m/>
    <n v="0"/>
    <m/>
    <m/>
    <m/>
    <n v="0"/>
    <n v="0"/>
    <n v="0"/>
    <n v="0"/>
    <n v="0"/>
    <n v="0"/>
    <n v="486.69832250000002"/>
    <n v="540.05298000000005"/>
    <n v="-53.35465750000003"/>
  </r>
  <r>
    <m/>
    <m/>
    <x v="21"/>
    <m/>
    <m/>
    <m/>
    <m/>
    <x v="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outline="1" outlineData="1" compactData="0" multipleFieldFilters="0" rowHeaderCaption="Strategy">
  <location ref="A3:F25" firstHeaderRow="0" firstDataRow="1" firstDataCol="3"/>
  <pivotFields count="31">
    <pivotField compact="0" showAll="0"/>
    <pivotField compact="0" showAll="0"/>
    <pivotField axis="axisRow" compact="0" showAll="0">
      <items count="122">
        <item x="120"/>
        <item x="3"/>
        <item x="4"/>
        <item x="5"/>
        <item x="13"/>
        <item x="31"/>
        <item x="0"/>
        <item x="1"/>
        <item x="2"/>
        <item x="36"/>
        <item x="15"/>
        <item x="16"/>
        <item x="22"/>
        <item x="19"/>
        <item x="6"/>
        <item x="23"/>
        <item x="17"/>
        <item x="18"/>
        <item x="24"/>
        <item x="25"/>
        <item x="10"/>
        <item x="8"/>
        <item x="9"/>
        <item x="118"/>
        <item x="117"/>
        <item x="26"/>
        <item x="27"/>
        <item x="7"/>
        <item x="107"/>
        <item x="111"/>
        <item x="112"/>
        <item x="113"/>
        <item x="114"/>
        <item x="75"/>
        <item x="76"/>
        <item x="37"/>
        <item x="38"/>
        <item x="39"/>
        <item x="40"/>
        <item x="41"/>
        <item x="77"/>
        <item x="78"/>
        <item x="79"/>
        <item x="80"/>
        <item x="96"/>
        <item x="81"/>
        <item x="82"/>
        <item x="42"/>
        <item x="83"/>
        <item x="43"/>
        <item x="84"/>
        <item x="44"/>
        <item x="85"/>
        <item x="45"/>
        <item x="46"/>
        <item x="47"/>
        <item x="88"/>
        <item x="101"/>
        <item x="90"/>
        <item x="86"/>
        <item x="89"/>
        <item x="91"/>
        <item x="87"/>
        <item x="115"/>
        <item x="116"/>
        <item x="109"/>
        <item x="110"/>
        <item x="33"/>
        <item x="48"/>
        <item x="49"/>
        <item x="14"/>
        <item x="29"/>
        <item x="35"/>
        <item x="28"/>
        <item x="50"/>
        <item x="74"/>
        <item x="51"/>
        <item x="20"/>
        <item x="108"/>
        <item x="52"/>
        <item x="53"/>
        <item x="102"/>
        <item x="54"/>
        <item x="30"/>
        <item x="92"/>
        <item x="93"/>
        <item x="55"/>
        <item x="56"/>
        <item x="97"/>
        <item x="98"/>
        <item x="99"/>
        <item x="100"/>
        <item x="32"/>
        <item x="34"/>
        <item x="57"/>
        <item x="58"/>
        <item x="59"/>
        <item x="60"/>
        <item x="61"/>
        <item x="62"/>
        <item x="63"/>
        <item x="64"/>
        <item x="65"/>
        <item x="105"/>
        <item x="66"/>
        <item x="67"/>
        <item x="104"/>
        <item x="94"/>
        <item x="106"/>
        <item x="68"/>
        <item x="103"/>
        <item x="69"/>
        <item x="70"/>
        <item x="71"/>
        <item x="72"/>
        <item x="73"/>
        <item x="119"/>
        <item x="95"/>
        <item x="21"/>
        <item x="11"/>
        <item x="12"/>
        <item t="default"/>
      </items>
    </pivotField>
    <pivotField axis="axisRow" compact="0" showAll="0">
      <items count="5">
        <item x="3"/>
        <item x="0"/>
        <item x="1"/>
        <item sd="0" x="2"/>
        <item t="default"/>
      </items>
    </pivotField>
    <pivotField compact="0" showAll="0"/>
    <pivotField compact="0" showAll="0"/>
    <pivotField compact="0" showAll="0"/>
    <pivotField axis="axisRow" compact="0" showAll="0" defaultSubtotal="0">
      <items count="13">
        <item h="1" sd="0" x="12"/>
        <item sd="0" x="8"/>
        <item sd="0" x="11"/>
        <item sd="0" x="10"/>
        <item sd="0" x="1"/>
        <item sd="0" x="9"/>
        <item sd="0" x="6"/>
        <item sd="0" x="2"/>
        <item sd="0" x="4"/>
        <item sd="0" x="0"/>
        <item sd="0" x="3"/>
        <item sd="0" x="5"/>
        <item h="1" sd="0" x="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dataField="1" compact="0" dragToRow="0" dragToCol="0" dragToPage="0" showAll="0" defaultSubtotal="0"/>
  </pivotFields>
  <rowFields count="3">
    <field x="3"/>
    <field x="7"/>
    <field x="2"/>
  </rowFields>
  <rowItems count="22">
    <i>
      <x v="1"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lows mln 1Q €" fld="26" baseField="7" baseItem="0"/>
    <dataField name="Sum of % Change Flows" fld="30" baseField="0" baseItem="0"/>
    <dataField name="Difference In AUM mln Q1 €" fld="25" baseField="7" baseItem="0"/>
  </dataFields>
  <formats count="20">
    <format dxfId="332">
      <pivotArea outline="0" collapsedLevelsAreSubtotals="1" fieldPosition="0"/>
    </format>
    <format dxfId="333">
      <pivotArea dataOnly="0" labelOnly="1" outline="0" axis="axisValues" fieldPosition="0"/>
    </format>
    <format dxfId="334">
      <pivotArea dataOnly="0" labelOnly="1" outline="0" axis="axisValues" fieldPosition="0"/>
    </format>
    <format dxfId="335">
      <pivotArea outline="0" collapsedLevelsAreSubtotals="1" fieldPosition="0"/>
    </format>
    <format dxfId="336">
      <pivotArea dataOnly="0" labelOnly="1" outline="0" axis="axisValues" fieldPosition="0"/>
    </format>
    <format dxfId="337">
      <pivotArea dataOnly="0" labelOnly="1" outline="0" axis="axisValues" fieldPosition="0"/>
    </format>
    <format dxfId="338">
      <pivotArea outline="0" collapsedLevelsAreSubtotals="1" fieldPosition="0"/>
    </format>
    <format dxfId="339">
      <pivotArea outline="0" collapsedLevelsAreSubtotals="1" fieldPosition="0"/>
    </format>
    <format dxfId="340">
      <pivotArea outline="0" collapsedLevelsAreSubtotals="1" fieldPosition="0"/>
    </format>
    <format dxfId="34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42">
      <pivotArea outline="0" collapsedLevelsAreSubtotals="1" fieldPosition="0"/>
    </format>
    <format dxfId="34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46">
      <pivotArea dataOnly="0" outline="0" fieldPosition="0">
        <references count="1">
          <reference field="4294967294" count="1">
            <x v="1"/>
          </reference>
        </references>
      </pivotArea>
    </format>
    <format dxfId="347">
      <pivotArea dataOnly="0" outline="0" fieldPosition="0">
        <references count="1">
          <reference field="4294967294" count="1">
            <x v="1"/>
          </reference>
        </references>
      </pivotArea>
    </format>
    <format dxfId="348">
      <pivotArea dataOnly="0" outline="0" fieldPosition="0">
        <references count="1">
          <reference field="4294967294" count="1">
            <x v="1"/>
          </reference>
        </references>
      </pivotArea>
    </format>
    <format dxfId="349">
      <pivotArea dataOnly="0" outline="0" fieldPosition="0">
        <references count="1">
          <reference field="4294967294" count="1">
            <x v="1"/>
          </reference>
        </references>
      </pivotArea>
    </format>
    <format dxfId="3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1">
      <pivotArea field="3" type="button" dataOnly="0" labelOnly="1" outline="0" axis="axisRow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outline="1" outlineData="1" compactData="0" multipleFieldFilters="0" rowHeaderCaption="Strategy">
  <location ref="A3:C15" firstHeaderRow="0" firstDataRow="1" firstDataCol="1"/>
  <pivotFields count="3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3">
        <item h="1" x="12"/>
        <item x="8"/>
        <item x="11"/>
        <item x="10"/>
        <item x="1"/>
        <item x="9"/>
        <item x="6"/>
        <item x="2"/>
        <item x="4"/>
        <item x="0"/>
        <item x="3"/>
        <item x="5"/>
        <item h="1" x="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dragToRow="0" dragToCol="0" dragToPage="0" showAll="0" defaultSubtotal="0"/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Flows mln Q1 €" fld="26" baseField="7" baseItem="0"/>
    <dataField name="Difference In AUM mln Q1 €" fld="25" baseField="7" baseItem="0"/>
  </dataFields>
  <formats count="14">
    <format dxfId="318">
      <pivotArea outline="0" collapsedLevelsAreSubtotals="1" fieldPosition="0"/>
    </format>
    <format dxfId="319">
      <pivotArea dataOnly="0" labelOnly="1" outline="0" axis="axisValues" fieldPosition="0"/>
    </format>
    <format dxfId="320">
      <pivotArea dataOnly="0" labelOnly="1" outline="0" axis="axisValues" fieldPosition="0"/>
    </format>
    <format dxfId="321">
      <pivotArea outline="0" collapsedLevelsAreSubtotals="1" fieldPosition="0"/>
    </format>
    <format dxfId="322">
      <pivotArea dataOnly="0" labelOnly="1" outline="0" axis="axisValues" fieldPosition="0"/>
    </format>
    <format dxfId="323">
      <pivotArea dataOnly="0" labelOnly="1" outline="0" axis="axisValues" fieldPosition="0"/>
    </format>
    <format dxfId="324">
      <pivotArea outline="0" collapsedLevelsAreSubtotals="1" fieldPosition="0"/>
    </format>
    <format dxfId="325">
      <pivotArea outline="0" collapsedLevelsAreSubtotals="1" fieldPosition="0"/>
    </format>
    <format dxfId="326">
      <pivotArea outline="0" collapsedLevelsAreSubtotals="1" fieldPosition="0"/>
    </format>
    <format dxfId="3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8">
      <pivotArea outline="0" collapsedLevelsAreSubtotals="1" fieldPosition="0"/>
    </format>
    <format dxfId="3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338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6" indent="0" outline="1" outlineData="1" multipleFieldFilters="0" rowHeaderCaption="Portfolio Names">
  <location ref="A3:D112" firstHeaderRow="0" firstDataRow="1" firstDataCol="1"/>
  <pivotFields count="30">
    <pivotField showAll="0"/>
    <pivotField showAll="0"/>
    <pivotField axis="axisRow" showAll="0">
      <items count="123">
        <item n="AMUNDI ELITE THEMATIC MA" x="13"/>
        <item x="0"/>
        <item x="1"/>
        <item x="2"/>
        <item x="36"/>
        <item x="15"/>
        <item x="16"/>
        <item x="22"/>
        <item x="6"/>
        <item x="23"/>
        <item x="24"/>
        <item x="25"/>
        <item x="10"/>
        <item x="8"/>
        <item x="9"/>
        <item x="118"/>
        <item x="117"/>
        <item x="107"/>
        <item x="111"/>
        <item x="112"/>
        <item x="113"/>
        <item x="114"/>
        <item x="75"/>
        <item x="76"/>
        <item x="37"/>
        <item x="38"/>
        <item x="39"/>
        <item x="40"/>
        <item x="41"/>
        <item x="77"/>
        <item x="78"/>
        <item x="79"/>
        <item x="80"/>
        <item x="96"/>
        <item x="81"/>
        <item x="82"/>
        <item x="42"/>
        <item x="83"/>
        <item x="43"/>
        <item x="84"/>
        <item x="44"/>
        <item x="85"/>
        <item x="45"/>
        <item x="46"/>
        <item x="47"/>
        <item x="88"/>
        <item x="101"/>
        <item x="86"/>
        <item x="89"/>
        <item x="87"/>
        <item x="115"/>
        <item x="116"/>
        <item x="109"/>
        <item x="110"/>
        <item x="33"/>
        <item x="48"/>
        <item x="49"/>
        <item m="1" x="120"/>
        <item x="14"/>
        <item x="29"/>
        <item x="35"/>
        <item x="28"/>
        <item x="50"/>
        <item x="74"/>
        <item x="51"/>
        <item x="108"/>
        <item x="52"/>
        <item x="53"/>
        <item x="102"/>
        <item x="54"/>
        <item x="30"/>
        <item x="92"/>
        <item x="93"/>
        <item x="55"/>
        <item x="56"/>
        <item x="97"/>
        <item x="98"/>
        <item x="99"/>
        <item x="100"/>
        <item m="1" x="121"/>
        <item x="32"/>
        <item x="34"/>
        <item x="57"/>
        <item x="58"/>
        <item x="59"/>
        <item x="60"/>
        <item x="61"/>
        <item x="62"/>
        <item x="63"/>
        <item x="64"/>
        <item x="65"/>
        <item x="66"/>
        <item x="67"/>
        <item x="94"/>
        <item x="106"/>
        <item x="68"/>
        <item x="69"/>
        <item x="70"/>
        <item x="71"/>
        <item x="72"/>
        <item x="73"/>
        <item x="119"/>
        <item x="95"/>
        <item x="26"/>
        <item x="31"/>
        <item x="27"/>
        <item x="21"/>
        <item x="103"/>
        <item x="17"/>
        <item x="18"/>
        <item x="19"/>
        <item x="20"/>
        <item x="90"/>
        <item x="91"/>
        <item x="104"/>
        <item x="105"/>
        <item x="3"/>
        <item x="4"/>
        <item x="5"/>
        <item x="7"/>
        <item x="11"/>
        <item x="12"/>
        <item t="default"/>
      </items>
    </pivotField>
    <pivotField showAll="0"/>
    <pivotField showAll="0"/>
    <pivotField showAll="0"/>
    <pivotField showAll="0"/>
    <pivotField axis="axisRow" showAll="0">
      <items count="15">
        <item h="1" m="1" x="13"/>
        <item h="1" x="8"/>
        <item x="11"/>
        <item h="1" x="10"/>
        <item x="1"/>
        <item x="9"/>
        <item x="6"/>
        <item x="2"/>
        <item x="4"/>
        <item x="0"/>
        <item x="3"/>
        <item x="5"/>
        <item h="1" x="7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43" showAll="0" defaultSubtotal="0"/>
    <pivotField numFmtId="164" showAll="0" defaultSubtotal="0"/>
    <pivotField numFmtId="164" showAll="0" defaultSubtotal="0"/>
    <pivotField dataField="1" numFmtId="43" showAll="0" defaultSubtotal="0"/>
    <pivotField dataField="1" numFmtId="43" showAll="0" defaultSubtotal="0"/>
    <pivotField dataField="1" numFmtId="43" showAll="0" defaultSubtotal="0"/>
    <pivotField showAll="0" defaultSubtotal="0"/>
    <pivotField showAll="0" defaultSubtotal="0"/>
    <pivotField showAll="0" defaultSubtotal="0"/>
  </pivotFields>
  <rowFields count="2">
    <field x="7"/>
    <field x="2"/>
  </rowFields>
  <rowItems count="109">
    <i>
      <x v="2"/>
    </i>
    <i r="1">
      <x v="17"/>
    </i>
    <i r="1">
      <x v="45"/>
    </i>
    <i r="1">
      <x v="47"/>
    </i>
    <i r="1">
      <x v="48"/>
    </i>
    <i r="1">
      <x v="49"/>
    </i>
    <i r="1">
      <x v="112"/>
    </i>
    <i r="1">
      <x v="113"/>
    </i>
    <i>
      <x v="4"/>
    </i>
    <i r="1">
      <x v="2"/>
    </i>
    <i r="1">
      <x v="5"/>
    </i>
    <i r="1">
      <x v="13"/>
    </i>
    <i r="1">
      <x v="26"/>
    </i>
    <i r="1">
      <x v="38"/>
    </i>
    <i r="1">
      <x v="40"/>
    </i>
    <i r="1">
      <x v="42"/>
    </i>
    <i r="1">
      <x v="44"/>
    </i>
    <i r="1">
      <x v="55"/>
    </i>
    <i r="1">
      <x v="62"/>
    </i>
    <i r="1">
      <x v="63"/>
    </i>
    <i r="1">
      <x v="68"/>
    </i>
    <i r="1">
      <x v="73"/>
    </i>
    <i r="1">
      <x v="74"/>
    </i>
    <i r="1">
      <x v="77"/>
    </i>
    <i r="1">
      <x v="78"/>
    </i>
    <i r="1">
      <x v="87"/>
    </i>
    <i r="1">
      <x v="88"/>
    </i>
    <i r="1">
      <x v="95"/>
    </i>
    <i r="1">
      <x v="111"/>
    </i>
    <i r="1">
      <x v="117"/>
    </i>
    <i>
      <x v="5"/>
    </i>
    <i r="1">
      <x v="54"/>
    </i>
    <i r="1">
      <x v="60"/>
    </i>
    <i r="1">
      <x v="70"/>
    </i>
    <i r="1">
      <x v="80"/>
    </i>
    <i r="1">
      <x v="81"/>
    </i>
    <i r="1">
      <x v="104"/>
    </i>
    <i>
      <x v="6"/>
    </i>
    <i r="1">
      <x v="7"/>
    </i>
    <i r="1">
      <x v="56"/>
    </i>
    <i r="1">
      <x v="58"/>
    </i>
    <i r="1">
      <x v="64"/>
    </i>
    <i r="1">
      <x v="85"/>
    </i>
    <i r="1">
      <x v="96"/>
    </i>
    <i r="1">
      <x v="97"/>
    </i>
    <i r="1">
      <x v="98"/>
    </i>
    <i r="1">
      <x v="99"/>
    </i>
    <i r="1">
      <x v="100"/>
    </i>
    <i>
      <x v="7"/>
    </i>
    <i r="1">
      <x v="3"/>
    </i>
    <i r="1">
      <x v="6"/>
    </i>
    <i r="1">
      <x v="14"/>
    </i>
    <i r="1">
      <x v="24"/>
    </i>
    <i r="1">
      <x v="27"/>
    </i>
    <i r="1">
      <x v="28"/>
    </i>
    <i r="1">
      <x v="43"/>
    </i>
    <i r="1">
      <x v="46"/>
    </i>
    <i r="1">
      <x v="69"/>
    </i>
    <i r="1">
      <x v="76"/>
    </i>
    <i r="1">
      <x v="90"/>
    </i>
    <i r="1">
      <x v="91"/>
    </i>
    <i r="1">
      <x v="92"/>
    </i>
    <i r="1">
      <x v="118"/>
    </i>
    <i r="1">
      <x v="121"/>
    </i>
    <i>
      <x v="8"/>
    </i>
    <i r="1">
      <x v="4"/>
    </i>
    <i r="1">
      <x v="50"/>
    </i>
    <i r="1">
      <x v="51"/>
    </i>
    <i r="1">
      <x v="52"/>
    </i>
    <i r="1">
      <x v="61"/>
    </i>
    <i r="1">
      <x v="71"/>
    </i>
    <i r="1">
      <x v="72"/>
    </i>
    <i r="1">
      <x v="102"/>
    </i>
    <i r="1">
      <x v="120"/>
    </i>
    <i>
      <x v="9"/>
    </i>
    <i r="1">
      <x v="1"/>
    </i>
    <i r="1">
      <x v="12"/>
    </i>
    <i r="1">
      <x v="25"/>
    </i>
    <i r="1">
      <x v="36"/>
    </i>
    <i r="1">
      <x v="66"/>
    </i>
    <i r="1">
      <x v="67"/>
    </i>
    <i r="1">
      <x v="75"/>
    </i>
    <i r="1">
      <x v="82"/>
    </i>
    <i r="1">
      <x v="83"/>
    </i>
    <i r="1">
      <x v="84"/>
    </i>
    <i r="1">
      <x v="86"/>
    </i>
    <i r="1">
      <x v="89"/>
    </i>
    <i r="1">
      <x v="116"/>
    </i>
    <i>
      <x v="10"/>
    </i>
    <i r="1">
      <x v="8"/>
    </i>
    <i r="1">
      <x v="9"/>
    </i>
    <i r="1">
      <x v="10"/>
    </i>
    <i r="1">
      <x v="11"/>
    </i>
    <i r="1">
      <x v="65"/>
    </i>
    <i r="1">
      <x v="93"/>
    </i>
    <i r="1">
      <x v="103"/>
    </i>
    <i r="1">
      <x v="105"/>
    </i>
    <i r="1">
      <x v="108"/>
    </i>
    <i r="1">
      <x v="109"/>
    </i>
    <i r="1">
      <x v="110"/>
    </i>
    <i r="1">
      <x v="119"/>
    </i>
    <i>
      <x v="11"/>
    </i>
    <i r="1">
      <x/>
    </i>
    <i r="1">
      <x v="53"/>
    </i>
    <i r="1">
      <x v="94"/>
    </i>
    <i r="1">
      <x v="101"/>
    </i>
    <i r="1">
      <x v="107"/>
    </i>
    <i r="1">
      <x v="114"/>
    </i>
    <i r="1">
      <x v="115"/>
    </i>
  </rowItems>
  <colFields count="1">
    <field x="-2"/>
  </colFields>
  <colItems count="3">
    <i>
      <x/>
    </i>
    <i i="1">
      <x v="1"/>
    </i>
    <i i="2">
      <x v="2"/>
    </i>
  </colItems>
  <dataFields count="3">
    <dataField name="Q123 Flows mln" fld="26" baseField="0" baseItem="0"/>
    <dataField name="Q123 Difference In  AUM" fld="25" baseField="0" baseItem="0"/>
    <dataField name="Total Aum  mln" fld="24" baseField="7" baseItem="7"/>
  </dataFields>
  <formats count="9">
    <format dxfId="1660">
      <pivotArea outline="0" collapsedLevelsAreSubtotals="1" fieldPosition="0"/>
    </format>
    <format dxfId="16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8">
      <pivotArea outline="0" collapsedLevelsAreSubtotals="1" fieldPosition="0"/>
    </format>
    <format dxfId="16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6">
      <pivotArea outline="0" collapsedLevelsAreSubtotals="1" fieldPosition="0"/>
    </format>
    <format dxfId="16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53">
      <pivotArea outline="0" collapsedLevelsAreSubtotals="1" fieldPosition="0"/>
    </format>
    <format dxfId="16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outline="1" outlineData="1" compactData="0" multipleFieldFilters="0" rowHeaderCaption="Strategy">
  <location ref="A3:D25" firstHeaderRow="0" firstDataRow="1" firstDataCol="2"/>
  <pivotFields count="31">
    <pivotField compact="0" showAll="0"/>
    <pivotField compact="0" showAll="0"/>
    <pivotField compact="0" showAll="0"/>
    <pivotField axis="axisRow"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axis="axisRow" compact="0" showAll="0" defaultSubtotal="0">
      <items count="13">
        <item h="1" x="12"/>
        <item x="8"/>
        <item x="11"/>
        <item x="10"/>
        <item x="1"/>
        <item x="9"/>
        <item x="6"/>
        <item x="2"/>
        <item x="4"/>
        <item x="0"/>
        <item x="3"/>
        <item x="5"/>
        <item h="1" x="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dragToRow="0" dragToCol="0" dragToPage="0" showAll="0" defaultSubtotal="0"/>
  </pivotFields>
  <rowFields count="2">
    <field x="3"/>
    <field x="7"/>
  </rowFields>
  <rowItems count="22">
    <i>
      <x v="1"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Flows mln QTD Sept 24 €" fld="26" baseField="7" baseItem="0"/>
    <dataField name="Difference In AUM mln QTD Nov 24  €" fld="25" baseField="7" baseItem="0"/>
  </dataFields>
  <formats count="14">
    <format dxfId="304">
      <pivotArea outline="0" collapsedLevelsAreSubtotals="1" fieldPosition="0"/>
    </format>
    <format dxfId="305">
      <pivotArea dataOnly="0" labelOnly="1" outline="0" axis="axisValues" fieldPosition="0"/>
    </format>
    <format dxfId="306">
      <pivotArea dataOnly="0" labelOnly="1" outline="0" axis="axisValues" fieldPosition="0"/>
    </format>
    <format dxfId="307">
      <pivotArea outline="0" collapsedLevelsAreSubtotals="1" fieldPosition="0"/>
    </format>
    <format dxfId="308">
      <pivotArea dataOnly="0" labelOnly="1" outline="0" axis="axisValues" fieldPosition="0"/>
    </format>
    <format dxfId="309">
      <pivotArea dataOnly="0" labelOnly="1" outline="0" axis="axisValues" fieldPosition="0"/>
    </format>
    <format dxfId="310">
      <pivotArea outline="0" collapsedLevelsAreSubtotals="1" fieldPosition="0"/>
    </format>
    <format dxfId="311">
      <pivotArea outline="0" collapsedLevelsAreSubtotals="1" fieldPosition="0"/>
    </format>
    <format dxfId="312">
      <pivotArea outline="0" collapsedLevelsAreSubtotals="1" fieldPosition="0"/>
    </format>
    <format dxfId="3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4">
      <pivotArea outline="0" collapsedLevelsAreSubtotals="1" fieldPosition="0"/>
    </format>
    <format dxfId="3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338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6" indent="0" outline="1" outlineData="1" multipleFieldFilters="0" rowHeaderCaption="Portfolio Names">
  <location ref="A3:D135" firstHeaderRow="0" firstDataRow="1" firstDataCol="1"/>
  <pivotFields count="30">
    <pivotField showAll="0"/>
    <pivotField showAll="0"/>
    <pivotField axis="axisRow" showAll="0">
      <items count="123">
        <item n="AMUNDI ELITE THEMATIC MA" x="13"/>
        <item x="0"/>
        <item x="1"/>
        <item x="2"/>
        <item x="36"/>
        <item x="15"/>
        <item x="16"/>
        <item x="22"/>
        <item x="6"/>
        <item x="23"/>
        <item x="24"/>
        <item x="25"/>
        <item x="10"/>
        <item x="8"/>
        <item x="9"/>
        <item x="118"/>
        <item x="117"/>
        <item x="107"/>
        <item x="111"/>
        <item x="112"/>
        <item x="113"/>
        <item x="114"/>
        <item x="75"/>
        <item x="76"/>
        <item x="37"/>
        <item x="38"/>
        <item x="39"/>
        <item x="40"/>
        <item x="41"/>
        <item x="77"/>
        <item x="78"/>
        <item x="79"/>
        <item x="80"/>
        <item x="96"/>
        <item x="81"/>
        <item x="82"/>
        <item x="42"/>
        <item x="83"/>
        <item x="43"/>
        <item x="84"/>
        <item x="44"/>
        <item x="85"/>
        <item x="45"/>
        <item x="46"/>
        <item x="47"/>
        <item x="88"/>
        <item x="101"/>
        <item x="86"/>
        <item x="89"/>
        <item x="87"/>
        <item x="115"/>
        <item x="116"/>
        <item x="109"/>
        <item x="110"/>
        <item x="33"/>
        <item x="48"/>
        <item x="49"/>
        <item m="1" x="120"/>
        <item x="14"/>
        <item x="29"/>
        <item x="35"/>
        <item x="28"/>
        <item x="50"/>
        <item x="74"/>
        <item x="51"/>
        <item x="108"/>
        <item x="52"/>
        <item x="53"/>
        <item x="102"/>
        <item x="54"/>
        <item x="30"/>
        <item x="92"/>
        <item x="93"/>
        <item x="55"/>
        <item x="56"/>
        <item x="97"/>
        <item x="98"/>
        <item x="99"/>
        <item x="100"/>
        <item m="1" x="121"/>
        <item x="32"/>
        <item x="34"/>
        <item x="57"/>
        <item x="58"/>
        <item x="59"/>
        <item x="60"/>
        <item x="61"/>
        <item x="62"/>
        <item x="63"/>
        <item x="64"/>
        <item x="65"/>
        <item x="66"/>
        <item x="67"/>
        <item x="94"/>
        <item x="106"/>
        <item x="68"/>
        <item x="69"/>
        <item x="70"/>
        <item x="71"/>
        <item x="72"/>
        <item x="73"/>
        <item x="119"/>
        <item x="95"/>
        <item x="26"/>
        <item x="31"/>
        <item x="27"/>
        <item x="21"/>
        <item x="103"/>
        <item x="17"/>
        <item x="18"/>
        <item x="19"/>
        <item x="20"/>
        <item x="90"/>
        <item x="91"/>
        <item x="104"/>
        <item x="105"/>
        <item x="3"/>
        <item x="4"/>
        <item x="5"/>
        <item x="7"/>
        <item x="11"/>
        <item x="12"/>
        <item t="default"/>
      </items>
    </pivotField>
    <pivotField showAll="0"/>
    <pivotField showAll="0"/>
    <pivotField showAll="0"/>
    <pivotField showAll="0"/>
    <pivotField axis="axisRow" showAll="0">
      <items count="15">
        <item m="1" x="13"/>
        <item x="8"/>
        <item x="11"/>
        <item x="10"/>
        <item x="1"/>
        <item x="9"/>
        <item x="6"/>
        <item x="2"/>
        <item x="4"/>
        <item x="0"/>
        <item x="3"/>
        <item x="5"/>
        <item x="7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43" showAll="0" defaultSubtotal="0"/>
    <pivotField numFmtId="164" showAll="0" defaultSubtotal="0"/>
    <pivotField numFmtId="164" showAll="0" defaultSubtotal="0"/>
    <pivotField dataField="1" numFmtId="43" showAll="0" defaultSubtotal="0"/>
    <pivotField dataField="1" numFmtId="43" showAll="0" defaultSubtotal="0"/>
    <pivotField dataField="1" numFmtId="43" showAll="0" defaultSubtotal="0"/>
    <pivotField showAll="0" defaultSubtotal="0"/>
    <pivotField showAll="0" defaultSubtotal="0"/>
    <pivotField showAll="0" defaultSubtotal="0"/>
  </pivotFields>
  <rowFields count="2">
    <field x="7"/>
    <field x="2"/>
  </rowFields>
  <rowItems count="132">
    <i>
      <x v="1"/>
    </i>
    <i r="1">
      <x v="59"/>
    </i>
    <i>
      <x v="2"/>
    </i>
    <i r="1">
      <x v="17"/>
    </i>
    <i r="1">
      <x v="45"/>
    </i>
    <i r="1">
      <x v="47"/>
    </i>
    <i r="1">
      <x v="48"/>
    </i>
    <i r="1">
      <x v="49"/>
    </i>
    <i r="1">
      <x v="112"/>
    </i>
    <i r="1">
      <x v="113"/>
    </i>
    <i>
      <x v="3"/>
    </i>
    <i r="1">
      <x v="22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9"/>
    </i>
    <i r="1">
      <x v="41"/>
    </i>
    <i>
      <x v="4"/>
    </i>
    <i r="1">
      <x v="2"/>
    </i>
    <i r="1">
      <x v="5"/>
    </i>
    <i r="1">
      <x v="13"/>
    </i>
    <i r="1">
      <x v="26"/>
    </i>
    <i r="1">
      <x v="38"/>
    </i>
    <i r="1">
      <x v="40"/>
    </i>
    <i r="1">
      <x v="42"/>
    </i>
    <i r="1">
      <x v="44"/>
    </i>
    <i r="1">
      <x v="55"/>
    </i>
    <i r="1">
      <x v="62"/>
    </i>
    <i r="1">
      <x v="63"/>
    </i>
    <i r="1">
      <x v="68"/>
    </i>
    <i r="1">
      <x v="73"/>
    </i>
    <i r="1">
      <x v="74"/>
    </i>
    <i r="1">
      <x v="77"/>
    </i>
    <i r="1">
      <x v="78"/>
    </i>
    <i r="1">
      <x v="87"/>
    </i>
    <i r="1">
      <x v="88"/>
    </i>
    <i r="1">
      <x v="95"/>
    </i>
    <i r="1">
      <x v="111"/>
    </i>
    <i r="1">
      <x v="117"/>
    </i>
    <i>
      <x v="5"/>
    </i>
    <i r="1">
      <x v="54"/>
    </i>
    <i r="1">
      <x v="60"/>
    </i>
    <i r="1">
      <x v="70"/>
    </i>
    <i r="1">
      <x v="80"/>
    </i>
    <i r="1">
      <x v="81"/>
    </i>
    <i r="1">
      <x v="104"/>
    </i>
    <i>
      <x v="6"/>
    </i>
    <i r="1">
      <x v="7"/>
    </i>
    <i r="1">
      <x v="56"/>
    </i>
    <i r="1">
      <x v="58"/>
    </i>
    <i r="1">
      <x v="64"/>
    </i>
    <i r="1">
      <x v="85"/>
    </i>
    <i r="1">
      <x v="96"/>
    </i>
    <i r="1">
      <x v="97"/>
    </i>
    <i r="1">
      <x v="98"/>
    </i>
    <i r="1">
      <x v="99"/>
    </i>
    <i r="1">
      <x v="100"/>
    </i>
    <i>
      <x v="7"/>
    </i>
    <i r="1">
      <x v="3"/>
    </i>
    <i r="1">
      <x v="6"/>
    </i>
    <i r="1">
      <x v="14"/>
    </i>
    <i r="1">
      <x v="24"/>
    </i>
    <i r="1">
      <x v="27"/>
    </i>
    <i r="1">
      <x v="28"/>
    </i>
    <i r="1">
      <x v="43"/>
    </i>
    <i r="1">
      <x v="46"/>
    </i>
    <i r="1">
      <x v="69"/>
    </i>
    <i r="1">
      <x v="76"/>
    </i>
    <i r="1">
      <x v="90"/>
    </i>
    <i r="1">
      <x v="91"/>
    </i>
    <i r="1">
      <x v="92"/>
    </i>
    <i r="1">
      <x v="118"/>
    </i>
    <i r="1">
      <x v="121"/>
    </i>
    <i>
      <x v="8"/>
    </i>
    <i r="1">
      <x v="4"/>
    </i>
    <i r="1">
      <x v="50"/>
    </i>
    <i r="1">
      <x v="51"/>
    </i>
    <i r="1">
      <x v="52"/>
    </i>
    <i r="1">
      <x v="61"/>
    </i>
    <i r="1">
      <x v="71"/>
    </i>
    <i r="1">
      <x v="72"/>
    </i>
    <i r="1">
      <x v="102"/>
    </i>
    <i r="1">
      <x v="120"/>
    </i>
    <i>
      <x v="9"/>
    </i>
    <i r="1">
      <x v="1"/>
    </i>
    <i r="1">
      <x v="12"/>
    </i>
    <i r="1">
      <x v="25"/>
    </i>
    <i r="1">
      <x v="36"/>
    </i>
    <i r="1">
      <x v="66"/>
    </i>
    <i r="1">
      <x v="67"/>
    </i>
    <i r="1">
      <x v="75"/>
    </i>
    <i r="1">
      <x v="82"/>
    </i>
    <i r="1">
      <x v="83"/>
    </i>
    <i r="1">
      <x v="84"/>
    </i>
    <i r="1">
      <x v="86"/>
    </i>
    <i r="1">
      <x v="89"/>
    </i>
    <i r="1">
      <x v="116"/>
    </i>
    <i>
      <x v="10"/>
    </i>
    <i r="1">
      <x v="8"/>
    </i>
    <i r="1">
      <x v="9"/>
    </i>
    <i r="1">
      <x v="10"/>
    </i>
    <i r="1">
      <x v="11"/>
    </i>
    <i r="1">
      <x v="65"/>
    </i>
    <i r="1">
      <x v="93"/>
    </i>
    <i r="1">
      <x v="103"/>
    </i>
    <i r="1">
      <x v="105"/>
    </i>
    <i r="1">
      <x v="108"/>
    </i>
    <i r="1">
      <x v="109"/>
    </i>
    <i r="1">
      <x v="110"/>
    </i>
    <i r="1">
      <x v="119"/>
    </i>
    <i>
      <x v="11"/>
    </i>
    <i r="1">
      <x/>
    </i>
    <i r="1">
      <x v="53"/>
    </i>
    <i r="1">
      <x v="94"/>
    </i>
    <i r="1">
      <x v="101"/>
    </i>
    <i r="1">
      <x v="107"/>
    </i>
    <i r="1">
      <x v="114"/>
    </i>
    <i r="1">
      <x v="115"/>
    </i>
    <i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106"/>
    </i>
  </rowItems>
  <colFields count="1">
    <field x="-2"/>
  </colFields>
  <colItems count="3">
    <i>
      <x/>
    </i>
    <i i="1">
      <x v="1"/>
    </i>
    <i i="2">
      <x v="2"/>
    </i>
  </colItems>
  <dataFields count="3">
    <dataField name="QTD Sept 24  Flows mln" fld="26" baseField="0" baseItem="0"/>
    <dataField name="QTD Sept 24  Difference In  AUM" fld="25" baseField="0" baseItem="0"/>
    <dataField name="QTD Sept 24  Total Aum  mln" fld="24" baseField="7" baseItem="7"/>
  </dataFields>
  <formats count="9">
    <format dxfId="1647">
      <pivotArea outline="0" collapsedLevelsAreSubtotals="1" fieldPosition="0"/>
    </format>
    <format dxfId="16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5">
      <pivotArea outline="0" collapsedLevelsAreSubtotals="1" fieldPosition="0"/>
    </format>
    <format dxfId="16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3">
      <pivotArea outline="0" collapsedLevelsAreSubtotals="1" fieldPosition="0"/>
    </format>
    <format dxfId="16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40">
      <pivotArea outline="0" collapsedLevelsAreSubtotals="1" fieldPosition="0"/>
    </format>
    <format dxfId="16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outline="1" outlineData="1" compactData="0" multipleFieldFilters="0" rowHeaderCaption="Strategy">
  <location ref="A3:G138" firstHeaderRow="0" firstDataRow="1" firstDataCol="3"/>
  <pivotFields count="31">
    <pivotField compact="0" showAll="0"/>
    <pivotField compact="0" showAll="0"/>
    <pivotField axis="axisRow" compact="0" showAll="0">
      <items count="122">
        <item x="120"/>
        <item x="3"/>
        <item x="4"/>
        <item x="5"/>
        <item x="13"/>
        <item x="31"/>
        <item x="0"/>
        <item x="1"/>
        <item x="2"/>
        <item x="36"/>
        <item x="15"/>
        <item x="16"/>
        <item x="22"/>
        <item x="19"/>
        <item x="6"/>
        <item x="23"/>
        <item x="17"/>
        <item x="18"/>
        <item x="24"/>
        <item x="25"/>
        <item x="10"/>
        <item x="8"/>
        <item x="9"/>
        <item x="118"/>
        <item x="117"/>
        <item x="26"/>
        <item x="27"/>
        <item x="107"/>
        <item x="111"/>
        <item x="112"/>
        <item x="113"/>
        <item x="114"/>
        <item x="75"/>
        <item x="76"/>
        <item x="37"/>
        <item x="38"/>
        <item x="39"/>
        <item x="40"/>
        <item x="41"/>
        <item x="77"/>
        <item x="78"/>
        <item x="79"/>
        <item x="80"/>
        <item x="96"/>
        <item x="81"/>
        <item x="82"/>
        <item x="42"/>
        <item x="83"/>
        <item x="43"/>
        <item x="84"/>
        <item x="44"/>
        <item x="85"/>
        <item x="45"/>
        <item x="46"/>
        <item x="47"/>
        <item x="88"/>
        <item x="101"/>
        <item x="90"/>
        <item x="86"/>
        <item x="89"/>
        <item x="91"/>
        <item x="87"/>
        <item x="115"/>
        <item x="116"/>
        <item x="109"/>
        <item x="110"/>
        <item x="33"/>
        <item x="48"/>
        <item x="49"/>
        <item x="14"/>
        <item x="29"/>
        <item x="35"/>
        <item x="28"/>
        <item x="50"/>
        <item x="74"/>
        <item x="51"/>
        <item x="20"/>
        <item x="108"/>
        <item x="52"/>
        <item x="53"/>
        <item x="102"/>
        <item x="54"/>
        <item x="30"/>
        <item x="92"/>
        <item x="93"/>
        <item x="55"/>
        <item x="56"/>
        <item x="97"/>
        <item x="98"/>
        <item x="99"/>
        <item x="100"/>
        <item x="32"/>
        <item x="34"/>
        <item x="57"/>
        <item x="58"/>
        <item x="59"/>
        <item x="60"/>
        <item x="61"/>
        <item x="62"/>
        <item x="63"/>
        <item x="64"/>
        <item x="65"/>
        <item x="105"/>
        <item x="66"/>
        <item x="67"/>
        <item x="104"/>
        <item x="94"/>
        <item x="106"/>
        <item x="68"/>
        <item x="103"/>
        <item x="69"/>
        <item x="70"/>
        <item x="71"/>
        <item x="72"/>
        <item x="73"/>
        <item x="119"/>
        <item x="95"/>
        <item x="21"/>
        <item x="7"/>
        <item x="11"/>
        <item x="12"/>
        <item t="default"/>
      </items>
    </pivotField>
    <pivotField axis="axisRow"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axis="axisRow" compact="0" showAll="0">
      <items count="14">
        <item h="1" sd="0" x="12"/>
        <item x="8"/>
        <item x="11"/>
        <item x="10"/>
        <item x="1"/>
        <item x="9"/>
        <item x="6"/>
        <item x="2"/>
        <item x="4"/>
        <item x="0"/>
        <item x="3"/>
        <item x="5"/>
        <item h="1" sd="0" x="7"/>
        <item t="default" sd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dataField="1" compact="0" dragToRow="0" dragToCol="0" dragToPage="0" showAll="0" defaultSubtotal="0"/>
  </pivotFields>
  <rowFields count="3">
    <field x="3"/>
    <field x="7"/>
    <field x="2"/>
  </rowFields>
  <rowItems count="135">
    <i>
      <x v="1"/>
    </i>
    <i r="1">
      <x v="1"/>
    </i>
    <i r="2">
      <x v="70"/>
    </i>
    <i r="1">
      <x v="4"/>
    </i>
    <i r="2">
      <x v="2"/>
    </i>
    <i r="2">
      <x v="7"/>
    </i>
    <i r="2">
      <x v="10"/>
    </i>
    <i r="2">
      <x v="21"/>
    </i>
    <i r="1">
      <x v="5"/>
    </i>
    <i r="2">
      <x v="5"/>
    </i>
    <i r="2">
      <x v="71"/>
    </i>
    <i r="1">
      <x v="6"/>
    </i>
    <i r="2">
      <x v="12"/>
    </i>
    <i r="2">
      <x v="69"/>
    </i>
    <i r="1">
      <x v="7"/>
    </i>
    <i r="2">
      <x v="3"/>
    </i>
    <i r="2">
      <x v="8"/>
    </i>
    <i r="2">
      <x v="11"/>
    </i>
    <i r="2">
      <x v="22"/>
    </i>
    <i r="2">
      <x v="120"/>
    </i>
    <i r="1">
      <x v="8"/>
    </i>
    <i r="2">
      <x v="9"/>
    </i>
    <i r="2">
      <x v="72"/>
    </i>
    <i r="2">
      <x v="119"/>
    </i>
    <i r="1">
      <x v="9"/>
    </i>
    <i r="2">
      <x v="1"/>
    </i>
    <i r="2">
      <x v="6"/>
    </i>
    <i r="2">
      <x v="20"/>
    </i>
    <i r="1">
      <x v="10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5"/>
    </i>
    <i r="2">
      <x v="26"/>
    </i>
    <i r="2">
      <x v="118"/>
    </i>
    <i r="1">
      <x v="11"/>
    </i>
    <i r="2">
      <x v="4"/>
    </i>
    <i>
      <x v="2"/>
    </i>
    <i r="1">
      <x v="2"/>
    </i>
    <i r="2">
      <x v="27"/>
    </i>
    <i r="2">
      <x v="55"/>
    </i>
    <i r="2">
      <x v="57"/>
    </i>
    <i r="2">
      <x v="58"/>
    </i>
    <i r="2">
      <x v="59"/>
    </i>
    <i r="2">
      <x v="60"/>
    </i>
    <i r="2">
      <x v="61"/>
    </i>
    <i r="1">
      <x v="3"/>
    </i>
    <i r="2">
      <x v="32"/>
    </i>
    <i r="2">
      <x v="33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7"/>
    </i>
    <i r="2">
      <x v="49"/>
    </i>
    <i r="2">
      <x v="51"/>
    </i>
    <i r="1">
      <x v="4"/>
    </i>
    <i r="2">
      <x v="36"/>
    </i>
    <i r="2">
      <x v="48"/>
    </i>
    <i r="2">
      <x v="50"/>
    </i>
    <i r="2">
      <x v="52"/>
    </i>
    <i r="2">
      <x v="54"/>
    </i>
    <i r="2">
      <x v="67"/>
    </i>
    <i r="2">
      <x v="73"/>
    </i>
    <i r="2">
      <x v="74"/>
    </i>
    <i r="2">
      <x v="76"/>
    </i>
    <i r="2">
      <x v="80"/>
    </i>
    <i r="2">
      <x v="85"/>
    </i>
    <i r="2">
      <x v="86"/>
    </i>
    <i r="2">
      <x v="89"/>
    </i>
    <i r="2">
      <x v="90"/>
    </i>
    <i r="2">
      <x v="98"/>
    </i>
    <i r="2">
      <x v="99"/>
    </i>
    <i r="2">
      <x v="108"/>
    </i>
    <i r="1">
      <x v="5"/>
    </i>
    <i r="2">
      <x v="66"/>
    </i>
    <i r="2">
      <x v="82"/>
    </i>
    <i r="2">
      <x v="91"/>
    </i>
    <i r="2">
      <x v="92"/>
    </i>
    <i r="1">
      <x v="6"/>
    </i>
    <i r="2">
      <x v="68"/>
    </i>
    <i r="2">
      <x v="75"/>
    </i>
    <i r="2">
      <x v="96"/>
    </i>
    <i r="2">
      <x v="110"/>
    </i>
    <i r="2">
      <x v="111"/>
    </i>
    <i r="2">
      <x v="112"/>
    </i>
    <i r="2">
      <x v="113"/>
    </i>
    <i r="2">
      <x v="114"/>
    </i>
    <i r="1">
      <x v="7"/>
    </i>
    <i r="2">
      <x v="34"/>
    </i>
    <i r="2">
      <x v="37"/>
    </i>
    <i r="2">
      <x v="38"/>
    </i>
    <i r="2">
      <x v="53"/>
    </i>
    <i r="2">
      <x v="56"/>
    </i>
    <i r="2">
      <x v="81"/>
    </i>
    <i r="2">
      <x v="88"/>
    </i>
    <i r="2">
      <x v="101"/>
    </i>
    <i r="2">
      <x v="103"/>
    </i>
    <i r="2">
      <x v="104"/>
    </i>
    <i r="1">
      <x v="8"/>
    </i>
    <i r="2">
      <x v="62"/>
    </i>
    <i r="2">
      <x v="63"/>
    </i>
    <i r="2">
      <x v="64"/>
    </i>
    <i r="2">
      <x v="83"/>
    </i>
    <i r="2">
      <x v="84"/>
    </i>
    <i r="2">
      <x v="116"/>
    </i>
    <i r="1">
      <x v="9"/>
    </i>
    <i r="2">
      <x v="35"/>
    </i>
    <i r="2">
      <x v="46"/>
    </i>
    <i r="2">
      <x v="78"/>
    </i>
    <i r="2">
      <x v="79"/>
    </i>
    <i r="2">
      <x v="87"/>
    </i>
    <i r="2">
      <x v="93"/>
    </i>
    <i r="2">
      <x v="94"/>
    </i>
    <i r="2">
      <x v="95"/>
    </i>
    <i r="2">
      <x v="97"/>
    </i>
    <i r="2">
      <x v="100"/>
    </i>
    <i r="1">
      <x v="10"/>
    </i>
    <i r="2">
      <x v="77"/>
    </i>
    <i r="2">
      <x v="106"/>
    </i>
    <i r="1">
      <x v="11"/>
    </i>
    <i r="2">
      <x v="65"/>
    </i>
    <i r="2">
      <x v="102"/>
    </i>
    <i r="2">
      <x v="105"/>
    </i>
    <i r="2">
      <x v="107"/>
    </i>
    <i r="2">
      <x v="109"/>
    </i>
    <i r="2">
      <x v="1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lows mln €" fld="26" baseField="7" baseItem="0" numFmtId="169"/>
    <dataField name="Sum of % Change Flows" fld="30" baseField="0" baseItem="0"/>
    <dataField name="Change In AUM mln €" fld="25" baseField="7" baseItem="0" numFmtId="169"/>
    <dataField name="Total AUM" fld="24" baseField="7" baseItem="9"/>
  </dataFields>
  <formats count="22">
    <format dxfId="282">
      <pivotArea outline="0" collapsedLevelsAreSubtotals="1" fieldPosition="0"/>
    </format>
    <format dxfId="283">
      <pivotArea dataOnly="0" labelOnly="1" outline="0" axis="axisValues" fieldPosition="0"/>
    </format>
    <format dxfId="284">
      <pivotArea dataOnly="0" labelOnly="1" outline="0" axis="axisValues" fieldPosition="0"/>
    </format>
    <format dxfId="285">
      <pivotArea outline="0" collapsedLevelsAreSubtotals="1" fieldPosition="0"/>
    </format>
    <format dxfId="286">
      <pivotArea dataOnly="0" labelOnly="1" outline="0" axis="axisValues" fieldPosition="0"/>
    </format>
    <format dxfId="287">
      <pivotArea dataOnly="0" labelOnly="1" outline="0" axis="axisValues" fieldPosition="0"/>
    </format>
    <format dxfId="288">
      <pivotArea outline="0" collapsedLevelsAreSubtotals="1" fieldPosition="0"/>
    </format>
    <format dxfId="289">
      <pivotArea outline="0" collapsedLevelsAreSubtotals="1" fieldPosition="0"/>
    </format>
    <format dxfId="290">
      <pivotArea outline="0" collapsedLevelsAreSubtotals="1" fieldPosition="0"/>
    </format>
    <format dxfId="29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92">
      <pivotArea outline="0" collapsedLevelsAreSubtotals="1" fieldPosition="0"/>
    </format>
    <format dxfId="29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6">
      <pivotArea dataOnly="0" outline="0" fieldPosition="0">
        <references count="1">
          <reference field="4294967294" count="1">
            <x v="1"/>
          </reference>
        </references>
      </pivotArea>
    </format>
    <format dxfId="297">
      <pivotArea dataOnly="0" outline="0" fieldPosition="0">
        <references count="1">
          <reference field="4294967294" count="1">
            <x v="1"/>
          </reference>
        </references>
      </pivotArea>
    </format>
    <format dxfId="298">
      <pivotArea dataOnly="0" outline="0" fieldPosition="0">
        <references count="1">
          <reference field="4294967294" count="1">
            <x v="1"/>
          </reference>
        </references>
      </pivotArea>
    </format>
    <format dxfId="2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2">
      <pivotArea outline="0" fieldPosition="0">
        <references count="1">
          <reference field="4294967294" count="1" selected="0">
            <x v="0"/>
          </reference>
        </references>
      </pivotArea>
    </format>
    <format dxfId="303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outline="1" outlineData="1" compactData="0" multipleFieldFilters="0" rowHeaderCaption="Strategy">
  <location ref="A3:E25" firstHeaderRow="0" firstDataRow="1" firstDataCol="2"/>
  <pivotFields count="31">
    <pivotField compact="0" showAll="0"/>
    <pivotField compact="0" showAll="0"/>
    <pivotField compact="0" showAll="0"/>
    <pivotField axis="axisRow"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axis="axisRow" compact="0" showAll="0">
      <items count="14">
        <item h="1" sd="0" x="12"/>
        <item sd="0" x="8"/>
        <item sd="0" x="11"/>
        <item sd="0" x="10"/>
        <item sd="0" x="1"/>
        <item sd="0" x="9"/>
        <item sd="0" x="6"/>
        <item sd="0" x="2"/>
        <item sd="0" x="4"/>
        <item sd="0" x="0"/>
        <item sd="0" x="3"/>
        <item sd="0" x="5"/>
        <item h="1" sd="0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dataField="1" compact="0" dragToRow="0" dragToCol="0" dragToPage="0" showAll="0" defaultSubtotal="0"/>
  </pivotFields>
  <rowFields count="2">
    <field x="3"/>
    <field x="7"/>
  </rowFields>
  <rowItems count="22">
    <i>
      <x v="1"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lows mln  €" fld="26" baseField="7" baseItem="0"/>
    <dataField name=" % Change Flows" fld="30" baseField="0" baseItem="0"/>
    <dataField name="Change In AUM mlnl €" fld="25" baseField="7" baseItem="0"/>
  </dataFields>
  <formats count="23">
    <format dxfId="259">
      <pivotArea outline="0" collapsedLevelsAreSubtotals="1" fieldPosition="0"/>
    </format>
    <format dxfId="260">
      <pivotArea dataOnly="0" labelOnly="1" outline="0" axis="axisValues" fieldPosition="0"/>
    </format>
    <format dxfId="261">
      <pivotArea dataOnly="0" labelOnly="1" outline="0" axis="axisValues" fieldPosition="0"/>
    </format>
    <format dxfId="262">
      <pivotArea outline="0" collapsedLevelsAreSubtotals="1" fieldPosition="0"/>
    </format>
    <format dxfId="263">
      <pivotArea dataOnly="0" labelOnly="1" outline="0" axis="axisValues" fieldPosition="0"/>
    </format>
    <format dxfId="264">
      <pivotArea dataOnly="0" labelOnly="1" outline="0" axis="axisValues" fieldPosition="0"/>
    </format>
    <format dxfId="265">
      <pivotArea outline="0" collapsedLevelsAreSubtotals="1" fieldPosition="0"/>
    </format>
    <format dxfId="266">
      <pivotArea outline="0" collapsedLevelsAreSubtotals="1" fieldPosition="0"/>
    </format>
    <format dxfId="267">
      <pivotArea outline="0" collapsedLevelsAreSubtotals="1" fieldPosition="0"/>
    </format>
    <format dxfId="26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69">
      <pivotArea outline="0" collapsedLevelsAreSubtotals="1" fieldPosition="0"/>
    </format>
    <format dxfId="27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3">
      <pivotArea dataOnly="0" outline="0" fieldPosition="0">
        <references count="1">
          <reference field="4294967294" count="1">
            <x v="1"/>
          </reference>
        </references>
      </pivotArea>
    </format>
    <format dxfId="274">
      <pivotArea dataOnly="0" outline="0" fieldPosition="0">
        <references count="1">
          <reference field="4294967294" count="1">
            <x v="1"/>
          </reference>
        </references>
      </pivotArea>
    </format>
    <format dxfId="275">
      <pivotArea dataOnly="0" outline="0" fieldPosition="0">
        <references count="1">
          <reference field="4294967294" count="1">
            <x v="1"/>
          </reference>
        </references>
      </pivotArea>
    </format>
    <format dxfId="276">
      <pivotArea field="3" grandRow="1" outline="0" axis="axisRow" fieldPosition="0">
        <references count="1">
          <reference field="4294967294" count="1" selected="0">
            <x v="1"/>
          </reference>
        </references>
      </pivotArea>
    </format>
    <format dxfId="277">
      <pivotArea field="3" grandRow="1" outline="0" axis="axisRow" fieldPosition="0">
        <references count="1">
          <reference field="4294967294" count="1" selected="0">
            <x v="1"/>
          </reference>
        </references>
      </pivotArea>
    </format>
    <format dxfId="278">
      <pivotArea field="3" grandRow="1" outline="0" axis="axisRow" fieldPosition="0">
        <references count="1">
          <reference field="4294967294" count="1" selected="0">
            <x v="1"/>
          </reference>
        </references>
      </pivotArea>
    </format>
    <format dxfId="279">
      <pivotArea field="3" grandRow="1" outline="0" axis="axisRow" fieldPosition="0">
        <references count="1">
          <reference field="4294967294" count="1" selected="0">
            <x v="1"/>
          </reference>
        </references>
      </pivotArea>
    </format>
    <format dxfId="2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6" indent="0" compact="0" outline="1" outlineData="1" compactData="0" multipleFieldFilters="0" rowHeaderCaption="Strategy">
  <location ref="A3:F13" firstHeaderRow="0" firstDataRow="1" firstDataCol="2"/>
  <pivotFields count="31">
    <pivotField compact="0" showAll="0"/>
    <pivotField compact="0" showAll="0"/>
    <pivotField axis="axisRow" compact="0" showAll="0">
      <items count="122">
        <item h="1" x="120"/>
        <item h="1" x="3"/>
        <item h="1" x="4"/>
        <item h="1" x="5"/>
        <item x="13"/>
        <item x="31"/>
        <item x="0"/>
        <item x="1"/>
        <item x="2"/>
        <item x="36"/>
        <item h="1" x="15"/>
        <item h="1" x="16"/>
        <item h="1" x="22"/>
        <item x="19"/>
        <item h="1" x="6"/>
        <item h="1" x="23"/>
        <item x="17"/>
        <item x="18"/>
        <item x="24"/>
        <item x="25"/>
        <item x="10"/>
        <item x="8"/>
        <item x="9"/>
        <item h="1" x="118"/>
        <item h="1" x="117"/>
        <item x="26"/>
        <item x="27"/>
        <item x="107"/>
        <item h="1" x="111"/>
        <item h="1" x="112"/>
        <item h="1" x="113"/>
        <item h="1" x="114"/>
        <item h="1" x="75"/>
        <item h="1" x="76"/>
        <item h="1" x="37"/>
        <item h="1" x="38"/>
        <item h="1" x="39"/>
        <item h="1" x="40"/>
        <item h="1" x="41"/>
        <item h="1" x="77"/>
        <item h="1" x="78"/>
        <item h="1" x="79"/>
        <item h="1" x="80"/>
        <item h="1" x="96"/>
        <item h="1" x="81"/>
        <item h="1" x="82"/>
        <item h="1" x="42"/>
        <item h="1" x="83"/>
        <item h="1" x="43"/>
        <item h="1" x="84"/>
        <item h="1" x="44"/>
        <item h="1" x="85"/>
        <item h="1" x="45"/>
        <item h="1" x="46"/>
        <item h="1" x="47"/>
        <item x="88"/>
        <item h="1" x="101"/>
        <item x="90"/>
        <item x="86"/>
        <item x="89"/>
        <item x="91"/>
        <item x="87"/>
        <item h="1" x="115"/>
        <item h="1" x="116"/>
        <item h="1" x="109"/>
        <item h="1" x="110"/>
        <item h="1" x="33"/>
        <item h="1" x="48"/>
        <item h="1" x="49"/>
        <item x="14"/>
        <item x="29"/>
        <item x="35"/>
        <item x="28"/>
        <item h="1" x="50"/>
        <item h="1" x="74"/>
        <item h="1" x="51"/>
        <item x="20"/>
        <item h="1" x="108"/>
        <item x="52"/>
        <item h="1" x="53"/>
        <item x="102"/>
        <item x="54"/>
        <item x="30"/>
        <item x="92"/>
        <item x="93"/>
        <item h="1" x="55"/>
        <item h="1" x="56"/>
        <item h="1" x="97"/>
        <item h="1" x="98"/>
        <item h="1" x="99"/>
        <item h="1" x="100"/>
        <item h="1" x="32"/>
        <item h="1" x="34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105"/>
        <item h="1" x="66"/>
        <item h="1" x="67"/>
        <item x="104"/>
        <item x="94"/>
        <item h="1" x="106"/>
        <item h="1" x="68"/>
        <item x="103"/>
        <item x="69"/>
        <item x="70"/>
        <item x="71"/>
        <item x="72"/>
        <item x="73"/>
        <item h="1" x="119"/>
        <item x="95"/>
        <item h="1" x="21"/>
        <item x="7"/>
        <item x="11"/>
        <item x="12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14">
        <item h="1" sd="0" x="12"/>
        <item sd="0" x="8"/>
        <item sd="0" x="11"/>
        <item sd="0" x="10"/>
        <item sd="0" x="1"/>
        <item sd="0" x="9"/>
        <item sd="0" x="6"/>
        <item sd="0" x="2"/>
        <item sd="0" x="4"/>
        <item sd="0" x="0"/>
        <item sd="0" x="3"/>
        <item sd="0" x="5"/>
        <item h="1" sd="0" x="7"/>
        <item t="default" sd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dataField="1" compact="0" dragToRow="0" dragToCol="0" dragToPage="0" showAll="0" defaultSubtotal="0"/>
  </pivotFields>
  <rowFields count="2">
    <field x="7"/>
    <field x="2"/>
  </rowFields>
  <rowItems count="10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lows mln €" fld="26" baseField="7" baseItem="0" numFmtId="2"/>
    <dataField name="Sum of % Change Flows" fld="30" baseField="0" baseItem="0"/>
    <dataField name="Difference In AUM mln €" fld="25" baseField="7" baseItem="0" numFmtId="2"/>
    <dataField name="Total AUM" fld="24" baseField="7" baseItem="1"/>
  </dataFields>
  <formats count="42">
    <format dxfId="217">
      <pivotArea outline="0" collapsedLevelsAreSubtotals="1" fieldPosition="0"/>
    </format>
    <format dxfId="218">
      <pivotArea dataOnly="0" labelOnly="1" outline="0" axis="axisValues" fieldPosition="0"/>
    </format>
    <format dxfId="219">
      <pivotArea dataOnly="0" labelOnly="1" outline="0" axis="axisValues" fieldPosition="0"/>
    </format>
    <format dxfId="220">
      <pivotArea outline="0" collapsedLevelsAreSubtotals="1" fieldPosition="0"/>
    </format>
    <format dxfId="221">
      <pivotArea dataOnly="0" labelOnly="1" outline="0" axis="axisValues" fieldPosition="0"/>
    </format>
    <format dxfId="222">
      <pivotArea dataOnly="0" labelOnly="1" outline="0" axis="axisValues" fieldPosition="0"/>
    </format>
    <format dxfId="223">
      <pivotArea outline="0" collapsedLevelsAreSubtotals="1" fieldPosition="0"/>
    </format>
    <format dxfId="224">
      <pivotArea outline="0" collapsedLevelsAreSubtotals="1" fieldPosition="0"/>
    </format>
    <format dxfId="225">
      <pivotArea outline="0" collapsedLevelsAreSubtotals="1" fieldPosition="0"/>
    </format>
    <format dxfId="22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27">
      <pivotArea outline="0" collapsedLevelsAreSubtotals="1" fieldPosition="0"/>
    </format>
    <format dxfId="22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1">
      <pivotArea dataOnly="0" outline="0" fieldPosition="0">
        <references count="1">
          <reference field="4294967294" count="1">
            <x v="1"/>
          </reference>
        </references>
      </pivotArea>
    </format>
    <format dxfId="232">
      <pivotArea dataOnly="0" outline="0" fieldPosition="0">
        <references count="1">
          <reference field="4294967294" count="1">
            <x v="1"/>
          </reference>
        </references>
      </pivotArea>
    </format>
    <format dxfId="233">
      <pivotArea dataOnly="0" outline="0" fieldPosition="0">
        <references count="1">
          <reference field="4294967294" count="1">
            <x v="1"/>
          </reference>
        </references>
      </pivotArea>
    </format>
    <format dxfId="2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7">
      <pivotArea fieldPosition="0">
        <references count="3">
          <reference field="4294967294" count="1" selected="0">
            <x v="2"/>
          </reference>
          <reference field="2" count="1">
            <x v="70"/>
          </reference>
          <reference field="7" count="1" selected="0">
            <x v="1"/>
          </reference>
        </references>
      </pivotArea>
    </format>
    <format dxfId="238">
      <pivotArea fieldPosition="0">
        <references count="2">
          <reference field="4294967294" count="1" selected="0">
            <x v="2"/>
          </reference>
          <reference field="7" count="1">
            <x v="2"/>
          </reference>
        </references>
      </pivotArea>
    </format>
    <format dxfId="239">
      <pivotArea fieldPosition="0">
        <references count="3">
          <reference field="4294967294" count="1" selected="0">
            <x v="2"/>
          </reference>
          <reference field="2" count="7">
            <x v="27"/>
            <x v="55"/>
            <x v="57"/>
            <x v="58"/>
            <x v="59"/>
            <x v="60"/>
            <x v="61"/>
          </reference>
          <reference field="7" count="1" selected="0">
            <x v="2"/>
          </reference>
        </references>
      </pivotArea>
    </format>
    <format dxfId="240">
      <pivotArea fieldPosition="0">
        <references count="2">
          <reference field="4294967294" count="1" selected="0">
            <x v="2"/>
          </reference>
          <reference field="7" count="1">
            <x v="4"/>
          </reference>
        </references>
      </pivotArea>
    </format>
    <format dxfId="241">
      <pivotArea fieldPosition="0">
        <references count="3">
          <reference field="4294967294" count="1" selected="0">
            <x v="2"/>
          </reference>
          <reference field="2" count="4">
            <x v="7"/>
            <x v="10"/>
            <x v="21"/>
            <x v="76"/>
          </reference>
          <reference field="7" count="1" selected="0">
            <x v="4"/>
          </reference>
        </references>
      </pivotArea>
    </format>
    <format dxfId="242">
      <pivotArea fieldPosition="0">
        <references count="2">
          <reference field="4294967294" count="1" selected="0">
            <x v="2"/>
          </reference>
          <reference field="7" count="1">
            <x v="5"/>
          </reference>
        </references>
      </pivotArea>
    </format>
    <format dxfId="243">
      <pivotArea fieldPosition="0">
        <references count="3">
          <reference field="4294967294" count="1" selected="0">
            <x v="2"/>
          </reference>
          <reference field="2" count="3">
            <x v="5"/>
            <x v="71"/>
            <x v="82"/>
          </reference>
          <reference field="7" count="1" selected="0">
            <x v="5"/>
          </reference>
        </references>
      </pivotArea>
    </format>
    <format dxfId="244">
      <pivotArea fieldPosition="0">
        <references count="2">
          <reference field="4294967294" count="1" selected="0">
            <x v="2"/>
          </reference>
          <reference field="7" count="1">
            <x v="6"/>
          </reference>
        </references>
      </pivotArea>
    </format>
    <format dxfId="245">
      <pivotArea fieldPosition="0">
        <references count="3">
          <reference field="4294967294" count="1" selected="0">
            <x v="2"/>
          </reference>
          <reference field="2" count="6">
            <x v="69"/>
            <x v="110"/>
            <x v="111"/>
            <x v="112"/>
            <x v="113"/>
            <x v="114"/>
          </reference>
          <reference field="7" count="1" selected="0">
            <x v="6"/>
          </reference>
        </references>
      </pivotArea>
    </format>
    <format dxfId="246">
      <pivotArea fieldPosition="0">
        <references count="2">
          <reference field="4294967294" count="1" selected="0">
            <x v="2"/>
          </reference>
          <reference field="7" count="1">
            <x v="7"/>
          </reference>
        </references>
      </pivotArea>
    </format>
    <format dxfId="247">
      <pivotArea fieldPosition="0">
        <references count="3">
          <reference field="4294967294" count="1" selected="0">
            <x v="2"/>
          </reference>
          <reference field="2" count="3">
            <x v="8"/>
            <x v="11"/>
            <x v="22"/>
          </reference>
          <reference field="7" count="1" selected="0">
            <x v="7"/>
          </reference>
        </references>
      </pivotArea>
    </format>
    <format dxfId="248">
      <pivotArea fieldPosition="0">
        <references count="2">
          <reference field="4294967294" count="1" selected="0">
            <x v="2"/>
          </reference>
          <reference field="7" count="1">
            <x v="8"/>
          </reference>
        </references>
      </pivotArea>
    </format>
    <format dxfId="249">
      <pivotArea fieldPosition="0">
        <references count="3">
          <reference field="4294967294" count="1" selected="0">
            <x v="2"/>
          </reference>
          <reference field="2" count="5">
            <x v="9"/>
            <x v="72"/>
            <x v="83"/>
            <x v="84"/>
            <x v="116"/>
          </reference>
          <reference field="7" count="1" selected="0">
            <x v="8"/>
          </reference>
        </references>
      </pivotArea>
    </format>
    <format dxfId="250">
      <pivotArea fieldPosition="0">
        <references count="2">
          <reference field="4294967294" count="1" selected="0">
            <x v="2"/>
          </reference>
          <reference field="7" count="1">
            <x v="9"/>
          </reference>
        </references>
      </pivotArea>
    </format>
    <format dxfId="251">
      <pivotArea fieldPosition="0">
        <references count="3">
          <reference field="4294967294" count="1" selected="0">
            <x v="2"/>
          </reference>
          <reference field="2" count="2">
            <x v="6"/>
            <x v="20"/>
          </reference>
          <reference field="7" count="1" selected="0">
            <x v="9"/>
          </reference>
        </references>
      </pivotArea>
    </format>
    <format dxfId="252">
      <pivotArea fieldPosition="0">
        <references count="2">
          <reference field="4294967294" count="1" selected="0">
            <x v="2"/>
          </reference>
          <reference field="7" count="1">
            <x v="10"/>
          </reference>
        </references>
      </pivotArea>
    </format>
    <format dxfId="253">
      <pivotArea fieldPosition="0">
        <references count="3">
          <reference field="4294967294" count="1" selected="0">
            <x v="2"/>
          </reference>
          <reference field="2" count="13">
            <x v="13"/>
            <x v="14"/>
            <x v="15"/>
            <x v="16"/>
            <x v="17"/>
            <x v="18"/>
            <x v="19"/>
            <x v="23"/>
            <x v="24"/>
            <x v="25"/>
            <x v="26"/>
            <x v="106"/>
            <x v="118"/>
          </reference>
          <reference field="7" count="1" selected="0">
            <x v="10"/>
          </reference>
        </references>
      </pivotArea>
    </format>
    <format dxfId="254">
      <pivotArea fieldPosition="0">
        <references count="2">
          <reference field="4294967294" count="1" selected="0">
            <x v="2"/>
          </reference>
          <reference field="7" count="1">
            <x v="11"/>
          </reference>
        </references>
      </pivotArea>
    </format>
    <format dxfId="255">
      <pivotArea fieldPosition="0">
        <references count="3">
          <reference field="4294967294" count="1" selected="0">
            <x v="2"/>
          </reference>
          <reference field="2" count="6">
            <x v="4"/>
            <x v="102"/>
            <x v="105"/>
            <x v="107"/>
            <x v="109"/>
            <x v="115"/>
          </reference>
          <reference field="7" count="1" selected="0">
            <x v="11"/>
          </reference>
        </references>
      </pivotArea>
    </format>
    <format dxfId="256">
      <pivotArea field="7" grandRow="1" outline="0" axis="axisRow" fieldPosition="0">
        <references count="1">
          <reference field="4294967294" count="1" selected="0">
            <x v="2"/>
          </reference>
        </references>
      </pivotArea>
    </format>
    <format dxfId="257">
      <pivotArea outline="0" fieldPosition="0">
        <references count="1">
          <reference field="4294967294" count="1" selected="0">
            <x v="0"/>
          </reference>
        </references>
      </pivotArea>
    </format>
    <format dxfId="258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1" cacheId="3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22" firstHeaderRow="0" firstDataRow="1" firstDataCol="1"/>
  <pivotFields count="8">
    <pivotField axis="axisRow" showAll="0">
      <items count="117">
        <item m="1"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2">
    <field x="2"/>
    <field x="0"/>
  </rowFields>
  <rowItems count="119">
    <i>
      <x v="1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9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3"/>
    </i>
    <i r="1">
      <x v="11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 PM" fld="5" subtotal="count" baseField="0" baseItem="0"/>
    <dataField name="Count of Backup PM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5" cacheId="3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31" firstHeaderRow="1" firstDataRow="2" firstDataCol="1"/>
  <pivotFields count="8">
    <pivotField dataField="1" showAll="0"/>
    <pivotField axis="axisRow" showAll="0">
      <items count="115">
        <item x="67"/>
        <item x="66"/>
        <item x="68"/>
        <item x="80"/>
        <item x="38"/>
        <item x="30"/>
        <item x="31"/>
        <item x="32"/>
        <item x="33"/>
        <item x="77"/>
        <item x="78"/>
        <item x="88"/>
        <item x="70"/>
        <item x="73"/>
        <item x="74"/>
        <item x="82"/>
        <item x="83"/>
        <item x="71"/>
        <item x="72"/>
        <item x="29"/>
        <item x="27"/>
        <item x="28"/>
        <item x="75"/>
        <item x="76"/>
        <item x="79"/>
        <item x="81"/>
        <item x="69"/>
        <item x="3"/>
        <item x="4"/>
        <item x="6"/>
        <item x="5"/>
        <item x="7"/>
        <item x="47"/>
        <item x="44"/>
        <item x="0"/>
        <item x="1"/>
        <item x="2"/>
        <item x="89"/>
        <item x="8"/>
        <item x="40"/>
        <item x="42"/>
        <item x="41"/>
        <item x="46"/>
        <item x="85"/>
        <item x="45"/>
        <item x="43"/>
        <item x="9"/>
        <item x="39"/>
        <item x="13"/>
        <item x="49"/>
        <item x="14"/>
        <item x="48"/>
        <item x="92"/>
        <item x="18"/>
        <item x="19"/>
        <item x="10"/>
        <item x="90"/>
        <item x="11"/>
        <item x="12"/>
        <item x="15"/>
        <item x="16"/>
        <item x="17"/>
        <item x="23"/>
        <item x="24"/>
        <item x="25"/>
        <item x="26"/>
        <item x="57"/>
        <item x="59"/>
        <item x="36"/>
        <item x="35"/>
        <item x="34"/>
        <item x="37"/>
        <item x="86"/>
        <item x="87"/>
        <item x="84"/>
        <item x="91"/>
        <item x="61"/>
        <item x="100"/>
        <item x="101"/>
        <item x="102"/>
        <item x="104"/>
        <item x="105"/>
        <item x="58"/>
        <item x="60"/>
        <item x="109"/>
        <item x="112"/>
        <item x="99"/>
        <item x="103"/>
        <item x="110"/>
        <item x="111"/>
        <item x="20"/>
        <item x="21"/>
        <item x="22"/>
        <item x="50"/>
        <item x="63"/>
        <item x="52"/>
        <item x="54"/>
        <item x="55"/>
        <item x="56"/>
        <item x="106"/>
        <item x="107"/>
        <item x="51"/>
        <item x="108"/>
        <item x="98"/>
        <item x="62"/>
        <item x="53"/>
        <item x="113"/>
        <item x="93"/>
        <item x="94"/>
        <item x="95"/>
        <item x="97"/>
        <item x="96"/>
        <item x="64"/>
        <item x="65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13">
        <item x="8"/>
        <item x="3"/>
        <item x="10"/>
        <item x="2"/>
        <item x="7"/>
        <item x="4"/>
        <item x="9"/>
        <item x="0"/>
        <item x="5"/>
        <item x="1"/>
        <item x="11"/>
        <item x="6"/>
        <item t="default"/>
      </items>
    </pivotField>
    <pivotField showAll="0"/>
    <pivotField showAll="0"/>
    <pivotField numFmtId="164" showAll="0"/>
  </pivotFields>
  <rowFields count="2">
    <field x="4"/>
    <field x="1"/>
  </rowFields>
  <rowItems count="127">
    <i>
      <x/>
    </i>
    <i r="1">
      <x v="69"/>
    </i>
    <i>
      <x v="1"/>
    </i>
    <i r="1">
      <x v="27"/>
    </i>
    <i r="1">
      <x v="55"/>
    </i>
    <i r="1">
      <x v="57"/>
    </i>
    <i r="1">
      <x v="58"/>
    </i>
    <i r="1">
      <x v="59"/>
    </i>
    <i r="1">
      <x v="60"/>
    </i>
    <i r="1">
      <x v="61"/>
    </i>
    <i>
      <x v="2"/>
    </i>
    <i r="1">
      <x v="32"/>
    </i>
    <i r="1">
      <x v="33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9"/>
    </i>
    <i r="1">
      <x v="51"/>
    </i>
    <i>
      <x v="3"/>
    </i>
    <i r="1">
      <x v="1"/>
    </i>
    <i r="1">
      <x v="6"/>
    </i>
    <i r="1">
      <x v="9"/>
    </i>
    <i r="1">
      <x v="20"/>
    </i>
    <i r="1">
      <x v="36"/>
    </i>
    <i r="1">
      <x v="48"/>
    </i>
    <i r="1">
      <x v="50"/>
    </i>
    <i r="1">
      <x v="52"/>
    </i>
    <i r="1">
      <x v="54"/>
    </i>
    <i r="1">
      <x v="66"/>
    </i>
    <i r="1">
      <x v="72"/>
    </i>
    <i r="1">
      <x v="73"/>
    </i>
    <i r="1">
      <x v="75"/>
    </i>
    <i r="1">
      <x v="79"/>
    </i>
    <i r="1">
      <x v="84"/>
    </i>
    <i r="1">
      <x v="85"/>
    </i>
    <i r="1">
      <x v="88"/>
    </i>
    <i r="1">
      <x v="89"/>
    </i>
    <i r="1">
      <x v="95"/>
    </i>
    <i r="1">
      <x v="96"/>
    </i>
    <i r="1">
      <x v="105"/>
    </i>
    <i>
      <x v="4"/>
    </i>
    <i r="1">
      <x v="4"/>
    </i>
    <i r="1">
      <x v="70"/>
    </i>
    <i r="1">
      <x v="81"/>
    </i>
    <i>
      <x v="5"/>
    </i>
    <i r="1">
      <x v="28"/>
    </i>
    <i r="1">
      <x v="29"/>
    </i>
    <i r="1">
      <x v="30"/>
    </i>
    <i r="1">
      <x v="31"/>
    </i>
    <i>
      <x v="6"/>
    </i>
    <i r="1">
      <x v="11"/>
    </i>
    <i r="1">
      <x v="67"/>
    </i>
    <i r="1">
      <x v="68"/>
    </i>
    <i r="1">
      <x v="74"/>
    </i>
    <i r="1">
      <x v="93"/>
    </i>
    <i r="1">
      <x v="107"/>
    </i>
    <i r="1">
      <x v="108"/>
    </i>
    <i r="1">
      <x v="109"/>
    </i>
    <i r="1">
      <x v="110"/>
    </i>
    <i r="1">
      <x v="111"/>
    </i>
    <i>
      <x v="7"/>
    </i>
    <i r="1">
      <x v="2"/>
    </i>
    <i r="1">
      <x v="7"/>
    </i>
    <i r="1">
      <x v="10"/>
    </i>
    <i r="1">
      <x v="21"/>
    </i>
    <i r="1">
      <x v="34"/>
    </i>
    <i r="1">
      <x v="37"/>
    </i>
    <i r="1">
      <x v="38"/>
    </i>
    <i r="1">
      <x v="53"/>
    </i>
    <i r="1">
      <x v="56"/>
    </i>
    <i r="1">
      <x v="80"/>
    </i>
    <i r="1">
      <x v="87"/>
    </i>
    <i r="1">
      <x v="98"/>
    </i>
    <i r="1">
      <x v="100"/>
    </i>
    <i r="1">
      <x v="101"/>
    </i>
    <i>
      <x v="8"/>
    </i>
    <i r="1">
      <x v="8"/>
    </i>
    <i r="1">
      <x v="62"/>
    </i>
    <i r="1">
      <x v="63"/>
    </i>
    <i r="1">
      <x v="64"/>
    </i>
    <i r="1">
      <x v="71"/>
    </i>
    <i r="1">
      <x v="82"/>
    </i>
    <i r="1">
      <x v="83"/>
    </i>
    <i r="1">
      <x v="113"/>
    </i>
    <i>
      <x v="9"/>
    </i>
    <i r="1">
      <x/>
    </i>
    <i r="1">
      <x v="5"/>
    </i>
    <i r="1">
      <x v="19"/>
    </i>
    <i r="1">
      <x v="35"/>
    </i>
    <i r="1">
      <x v="46"/>
    </i>
    <i r="1">
      <x v="77"/>
    </i>
    <i r="1">
      <x v="78"/>
    </i>
    <i r="1">
      <x v="86"/>
    </i>
    <i r="1">
      <x v="90"/>
    </i>
    <i r="1">
      <x v="91"/>
    </i>
    <i r="1">
      <x v="92"/>
    </i>
    <i r="1">
      <x v="94"/>
    </i>
    <i r="1">
      <x v="97"/>
    </i>
    <i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76"/>
    </i>
    <i r="1">
      <x v="103"/>
    </i>
    <i>
      <x v="11"/>
    </i>
    <i r="1">
      <x v="3"/>
    </i>
    <i r="1">
      <x v="65"/>
    </i>
    <i r="1">
      <x v="99"/>
    </i>
    <i r="1">
      <x v="102"/>
    </i>
    <i r="1">
      <x v="104"/>
    </i>
    <i r="1">
      <x v="106"/>
    </i>
    <i r="1">
      <x v="11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4" cacheId="326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gridDropZones="1" multipleFieldFilters="0" chartFormat="71">
  <location ref="A1:D22" firstHeaderRow="1" firstDataRow="2" firstDataCol="2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m="1" x="5"/>
        <item m="1" x="4"/>
        <item t="default"/>
      </items>
    </pivotField>
    <pivotField axis="axisRow" compact="0" outline="0" showAll="0">
      <items count="16">
        <item m="1" x="13"/>
        <item x="8"/>
        <item x="11"/>
        <item x="10"/>
        <item x="1"/>
        <item x="9"/>
        <item x="6"/>
        <item x="2"/>
        <item x="4"/>
        <item m="1" x="12"/>
        <item x="0"/>
        <item x="3"/>
        <item x="5"/>
        <item x="7"/>
        <item m="1"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 defaultSubtotal="0"/>
    <pivotField compact="0" outline="0" showAl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dataField="1" compact="0" numFmtId="43" outline="0" showAll="0" defaultSubtotal="0"/>
    <pivotField compact="0" outline="0" showAll="0"/>
    <pivotField compact="0" numFmtId="164" outline="0" showAll="0"/>
    <pivotField dataField="1" compact="0" numFmtId="43" outline="0" showAll="0" defaultSubtotal="0"/>
    <pivotField compact="0" numFmtId="43" outline="0" showAll="0" defaultSubtotal="0"/>
  </pivotFields>
  <rowFields count="2">
    <field x="6"/>
    <field x="7"/>
  </rowFields>
  <rowItems count="20">
    <i>
      <x/>
      <x v="4"/>
    </i>
    <i r="1">
      <x v="5"/>
    </i>
    <i r="1">
      <x v="6"/>
    </i>
    <i r="1">
      <x v="7"/>
    </i>
    <i r="1">
      <x v="10"/>
    </i>
    <i t="default">
      <x/>
    </i>
    <i>
      <x v="1"/>
      <x v="2"/>
    </i>
    <i r="1">
      <x v="3"/>
    </i>
    <i r="1">
      <x v="8"/>
    </i>
    <i r="1">
      <x v="11"/>
    </i>
    <i r="1">
      <x v="12"/>
    </i>
    <i t="default">
      <x v="1"/>
    </i>
    <i>
      <x v="2"/>
      <x v="1"/>
    </i>
    <i r="1">
      <x v="5"/>
    </i>
    <i r="1">
      <x v="6"/>
    </i>
    <i r="1">
      <x v="8"/>
    </i>
    <i t="default">
      <x v="2"/>
    </i>
    <i>
      <x v="3"/>
      <x v="1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UM 9th April 2021 file in mln*" fld="24" baseField="0" baseItem="0"/>
    <dataField name="AUM 31st Dec 2020 file  in mln**" fld="21" baseField="0" baseItem="0"/>
  </dataFields>
  <formats count="1">
    <format dxfId="1632">
      <pivotArea outline="0" collapsedLevelsAreSubtotals="1" fieldPosition="0"/>
    </format>
  </formats>
  <chartFormats count="31">
    <chartFormat chart="0" format="69" series="1">
      <pivotArea type="data" outline="0" fieldPosition="0"/>
    </chartFormat>
    <chartFormat chart="0" format="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11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2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8"/>
          </reference>
        </references>
      </pivotArea>
    </chartFormat>
    <chartFormat chart="6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8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65" format="8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65" format="8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90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65" format="91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65" format="92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65" format="93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2"/>
          </reference>
        </references>
      </pivotArea>
    </chartFormat>
    <chartFormat chart="65" format="94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8"/>
          </reference>
        </references>
      </pivotArea>
    </chartFormat>
    <chartFormat chart="65" format="95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11"/>
          </reference>
        </references>
      </pivotArea>
    </chartFormat>
    <chartFormat chart="66" format="9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9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66" format="9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66" format="9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" format="100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66" format="101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66" format="102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66" format="103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2"/>
          </reference>
        </references>
      </pivotArea>
    </chartFormat>
    <chartFormat chart="66" format="104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8"/>
          </reference>
        </references>
      </pivotArea>
    </chartFormat>
    <chartFormat chart="66" format="105">
      <pivotArea type="data" outline="0" fieldPosition="0">
        <references count="3">
          <reference field="4294967294" count="1" selected="0">
            <x v="1"/>
          </reference>
          <reference field="6" count="1" selected="0">
            <x v="1"/>
          </reference>
          <reference field="7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5" cacheId="32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6" indent="0" compact="0" compactData="0" multipleFieldFilters="0" chartFormat="96">
  <location ref="A3:C19" firstHeaderRow="0" firstDataRow="1" firstDataCol="1"/>
  <pivotFields count="3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1">
        <item h="1" x="21"/>
        <item h="1" x="95"/>
        <item h="1" x="119"/>
        <item h="1" x="73"/>
        <item h="1" x="72"/>
        <item h="1" x="71"/>
        <item h="1" x="70"/>
        <item h="1" x="69"/>
        <item h="1" x="103"/>
        <item h="1" x="68"/>
        <item x="106"/>
        <item x="94"/>
        <item h="1" x="104"/>
        <item h="1" x="67"/>
        <item h="1" x="66"/>
        <item h="1" x="105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34"/>
        <item h="1" x="32"/>
        <item h="1" m="1" x="121"/>
        <item h="1" m="1" x="120"/>
        <item h="1" m="1" x="124"/>
        <item h="1" m="1" x="123"/>
        <item h="1" m="1" x="122"/>
        <item m="1" x="130"/>
        <item h="1" x="100"/>
        <item h="1" x="99"/>
        <item h="1" x="98"/>
        <item h="1" x="97"/>
        <item h="1" x="56"/>
        <item h="1" x="55"/>
        <item h="1" x="93"/>
        <item h="1" x="92"/>
        <item h="1" x="30"/>
        <item h="1" x="54"/>
        <item h="1" x="102"/>
        <item h="1" x="53"/>
        <item h="1" x="52"/>
        <item h="1" x="11"/>
        <item h="1" x="108"/>
        <item x="20"/>
        <item h="1" x="51"/>
        <item h="1" x="74"/>
        <item h="1" x="50"/>
        <item h="1" x="28"/>
        <item h="1" x="35"/>
        <item h="1" x="29"/>
        <item h="1" x="14"/>
        <item h="1" m="1" x="126"/>
        <item h="1" m="1" x="129"/>
        <item h="1" x="49"/>
        <item h="1" x="48"/>
        <item h="1" x="33"/>
        <item h="1" m="1" x="127"/>
        <item h="1" m="1" x="125"/>
        <item h="1" x="110"/>
        <item h="1" x="109"/>
        <item h="1" x="116"/>
        <item h="1" x="115"/>
        <item h="1" x="87"/>
        <item h="1" x="91"/>
        <item h="1" x="89"/>
        <item h="1" x="86"/>
        <item h="1" x="90"/>
        <item h="1" x="101"/>
        <item h="1" x="88"/>
        <item h="1" x="47"/>
        <item h="1" x="46"/>
        <item h="1" x="45"/>
        <item h="1" x="85"/>
        <item h="1" x="44"/>
        <item h="1" x="84"/>
        <item h="1" x="43"/>
        <item h="1" x="83"/>
        <item h="1" x="42"/>
        <item h="1" x="82"/>
        <item h="1" x="81"/>
        <item h="1" x="96"/>
        <item h="1" x="80"/>
        <item h="1" x="79"/>
        <item h="1" x="78"/>
        <item h="1" x="77"/>
        <item h="1" x="41"/>
        <item h="1" x="40"/>
        <item h="1" x="39"/>
        <item h="1" x="38"/>
        <item h="1" x="37"/>
        <item h="1" x="76"/>
        <item h="1" x="75"/>
        <item h="1" x="114"/>
        <item h="1" x="113"/>
        <item h="1" x="112"/>
        <item h="1" x="111"/>
        <item h="1" x="107"/>
        <item h="1" x="7"/>
        <item h="1" x="27"/>
        <item h="1" x="26"/>
        <item h="1" x="117"/>
        <item h="1" x="118"/>
        <item h="1" x="12"/>
        <item h="1" x="9"/>
        <item x="8"/>
        <item x="10"/>
        <item h="1" x="25"/>
        <item h="1" x="24"/>
        <item x="18"/>
        <item x="17"/>
        <item h="1" x="23"/>
        <item h="1" x="6"/>
        <item x="19"/>
        <item h="1" x="22"/>
        <item h="1" m="1" x="128"/>
        <item x="16"/>
        <item x="15"/>
        <item x="36"/>
        <item x="2"/>
        <item x="1"/>
        <item x="0"/>
        <item x="31"/>
        <item x="13"/>
        <item h="1" x="5"/>
        <item h="1" x="4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 v="10"/>
    </i>
    <i>
      <x v="11"/>
    </i>
    <i>
      <x v="48"/>
    </i>
    <i>
      <x v="109"/>
    </i>
    <i>
      <x v="110"/>
    </i>
    <i>
      <x v="113"/>
    </i>
    <i>
      <x v="114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</rowItems>
  <colFields count="1">
    <field x="-2"/>
  </colFields>
  <colItems count="2">
    <i>
      <x/>
    </i>
    <i i="1">
      <x v="1"/>
    </i>
  </colItems>
  <dataFields count="2">
    <dataField name="Sum of Difference In AUM" fld="25" baseField="0" baseItem="0" numFmtId="165"/>
    <dataField name="Sum of Flows April mln" fld="26" baseField="0" baseItem="0" numFmtId="165"/>
  </dataFields>
  <formats count="9">
    <format dxfId="1631">
      <pivotArea outline="0" collapsedLevelsAreSubtotals="1" fieldPosition="0"/>
    </format>
    <format dxfId="1630">
      <pivotArea outline="0" collapsedLevelsAreSubtotals="1" fieldPosition="0"/>
    </format>
    <format dxfId="1629">
      <pivotArea outline="0" collapsedLevelsAreSubtotals="1" fieldPosition="0"/>
    </format>
    <format dxfId="1628">
      <pivotArea outline="0" fieldPosition="0">
        <references count="1">
          <reference field="4294967294" count="1" selected="0">
            <x v="0"/>
          </reference>
        </references>
      </pivotArea>
    </format>
    <format dxfId="1627">
      <pivotArea outline="0" fieldPosition="0">
        <references count="1">
          <reference field="4294967294" count="1" selected="0">
            <x v="1"/>
          </reference>
        </references>
      </pivotArea>
    </format>
    <format dxfId="1626">
      <pivotArea outline="0" collapsedLevelsAreSubtotals="1" fieldPosition="0"/>
    </format>
    <format dxfId="16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4">
      <pivotArea outline="0" collapsedLevelsAreSubtotals="1" fieldPosition="0"/>
    </format>
    <format dxfId="16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4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15" cacheId="32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6" indent="0" compact="0" compactData="0" multipleFieldFilters="0" chartFormat="18">
  <location ref="A3:A33" firstHeaderRow="1" firstDataRow="1" firstDataCol="1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4">
        <item h="1" x="21"/>
        <item x="95"/>
        <item x="119"/>
        <item x="73"/>
        <item x="72"/>
        <item x="71"/>
        <item x="70"/>
        <item x="69"/>
        <item h="1" x="103"/>
        <item h="1" x="68"/>
        <item x="106"/>
        <item x="94"/>
        <item h="1" x="104"/>
        <item h="1" x="67"/>
        <item h="1" x="66"/>
        <item h="1" x="105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34"/>
        <item h="1" x="32"/>
        <item m="1" x="121"/>
        <item m="1" x="120"/>
        <item m="1" x="124"/>
        <item m="1" x="123"/>
        <item m="1" x="122"/>
        <item m="1" x="130"/>
        <item h="1" x="100"/>
        <item h="1" x="99"/>
        <item h="1" x="98"/>
        <item h="1" x="97"/>
        <item h="1" x="56"/>
        <item h="1" x="55"/>
        <item x="93"/>
        <item x="92"/>
        <item h="1" x="30"/>
        <item h="1" x="54"/>
        <item h="1" x="102"/>
        <item h="1" x="53"/>
        <item h="1" x="52"/>
        <item h="1" x="11"/>
        <item h="1" x="108"/>
        <item h="1" x="20"/>
        <item h="1" x="51"/>
        <item h="1" x="74"/>
        <item h="1" x="50"/>
        <item x="28"/>
        <item x="35"/>
        <item x="29"/>
        <item x="14"/>
        <item h="1" m="1" x="126"/>
        <item h="1" m="1" x="129"/>
        <item h="1" m="1" x="133"/>
        <item h="1" m="1" x="131"/>
        <item h="1" m="1" x="132"/>
        <item h="1" x="49"/>
        <item h="1" x="48"/>
        <item h="1" x="33"/>
        <item h="1" m="1" x="127"/>
        <item m="1" x="125"/>
        <item h="1" x="110"/>
        <item h="1" x="109"/>
        <item h="1" x="116"/>
        <item h="1" x="115"/>
        <item h="1" x="87"/>
        <item h="1" x="91"/>
        <item x="89"/>
        <item h="1" x="86"/>
        <item h="1" x="90"/>
        <item h="1" x="101"/>
        <item x="88"/>
        <item h="1" x="47"/>
        <item h="1" x="46"/>
        <item h="1" x="45"/>
        <item h="1" x="85"/>
        <item h="1" x="44"/>
        <item h="1" x="84"/>
        <item h="1" x="43"/>
        <item h="1" x="83"/>
        <item h="1" x="42"/>
        <item h="1" x="82"/>
        <item h="1" x="81"/>
        <item h="1" x="96"/>
        <item h="1" x="80"/>
        <item h="1" x="79"/>
        <item h="1" x="78"/>
        <item h="1" x="77"/>
        <item h="1" x="41"/>
        <item h="1" x="40"/>
        <item h="1" x="39"/>
        <item h="1" x="38"/>
        <item x="37"/>
        <item h="1" x="76"/>
        <item h="1" x="75"/>
        <item h="1" x="114"/>
        <item h="1" x="113"/>
        <item h="1" x="112"/>
        <item h="1" x="111"/>
        <item x="107"/>
        <item h="1" x="7"/>
        <item h="1" x="27"/>
        <item h="1" x="26"/>
        <item h="1" x="117"/>
        <item x="118"/>
        <item h="1" x="12"/>
        <item x="9"/>
        <item x="8"/>
        <item h="1" x="10"/>
        <item x="25"/>
        <item x="24"/>
        <item h="1" x="18"/>
        <item h="1" x="17"/>
        <item x="23"/>
        <item x="6"/>
        <item h="1" x="19"/>
        <item h="1" x="22"/>
        <item h="1" m="1" x="128"/>
        <item h="1" x="16"/>
        <item h="1" x="15"/>
        <item x="36"/>
        <item x="2"/>
        <item x="1"/>
        <item x="0"/>
        <item h="1" x="31"/>
        <item h="1" x="13"/>
        <item h="1" x="5"/>
        <item h="1" x="4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39"/>
    </i>
    <i>
      <x v="40"/>
    </i>
    <i>
      <x v="52"/>
    </i>
    <i>
      <x v="53"/>
    </i>
    <i>
      <x v="54"/>
    </i>
    <i>
      <x v="55"/>
    </i>
    <i>
      <x v="72"/>
    </i>
    <i>
      <x v="76"/>
    </i>
    <i>
      <x v="97"/>
    </i>
    <i>
      <x v="104"/>
    </i>
    <i>
      <x v="109"/>
    </i>
    <i>
      <x v="111"/>
    </i>
    <i>
      <x v="112"/>
    </i>
    <i>
      <x v="114"/>
    </i>
    <i>
      <x v="115"/>
    </i>
    <i>
      <x v="118"/>
    </i>
    <i>
      <x v="119"/>
    </i>
    <i>
      <x v="125"/>
    </i>
    <i>
      <x v="126"/>
    </i>
    <i>
      <x v="127"/>
    </i>
    <i>
      <x v="12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15" cacheId="32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6" indent="0" compact="0" compactData="0" multipleFieldFilters="0" chartFormat="22">
  <location ref="A3:A52" firstHeaderRow="1" firstDataRow="1" firstDataCol="1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4">
        <item h="1" x="21"/>
        <item h="1" x="95"/>
        <item h="1" x="119"/>
        <item h="1" x="73"/>
        <item h="1" x="72"/>
        <item h="1" x="71"/>
        <item h="1" x="70"/>
        <item h="1" x="69"/>
        <item h="1" x="103"/>
        <item x="68"/>
        <item h="1" x="106"/>
        <item h="1" x="94"/>
        <item h="1" x="104"/>
        <item x="67"/>
        <item x="66"/>
        <item h="1" x="105"/>
        <item x="65"/>
        <item x="64"/>
        <item x="63"/>
        <item x="62"/>
        <item x="61"/>
        <item x="60"/>
        <item x="59"/>
        <item x="58"/>
        <item x="57"/>
        <item h="1" x="34"/>
        <item h="1" x="32"/>
        <item h="1" m="1" x="121"/>
        <item h="1" m="1" x="120"/>
        <item h="1" m="1" x="124"/>
        <item h="1" m="1" x="123"/>
        <item h="1" m="1" x="122"/>
        <item h="1" m="1" x="130"/>
        <item h="1" x="100"/>
        <item h="1" x="99"/>
        <item h="1" x="98"/>
        <item h="1" x="97"/>
        <item x="56"/>
        <item x="55"/>
        <item h="1" x="93"/>
        <item h="1" x="92"/>
        <item h="1" x="30"/>
        <item x="54"/>
        <item x="102"/>
        <item x="53"/>
        <item x="52"/>
        <item h="1" x="11"/>
        <item x="108"/>
        <item h="1" x="20"/>
        <item x="51"/>
        <item x="74"/>
        <item x="50"/>
        <item h="1" x="28"/>
        <item x="35"/>
        <item x="29"/>
        <item h="1" x="14"/>
        <item h="1" m="1" x="126"/>
        <item h="1" m="1" x="129"/>
        <item h="1" m="1" x="133"/>
        <item h="1" m="1" x="131"/>
        <item h="1" m="1" x="132"/>
        <item x="49"/>
        <item x="48"/>
        <item h="1" x="33"/>
        <item h="1" m="1" x="127"/>
        <item m="1" x="125"/>
        <item h="1" x="110"/>
        <item h="1" x="109"/>
        <item h="1" x="116"/>
        <item h="1" x="115"/>
        <item h="1" x="87"/>
        <item h="1" x="91"/>
        <item h="1" x="89"/>
        <item h="1" x="86"/>
        <item h="1" x="90"/>
        <item h="1" x="101"/>
        <item h="1" x="88"/>
        <item x="47"/>
        <item x="46"/>
        <item x="45"/>
        <item x="85"/>
        <item x="44"/>
        <item x="84"/>
        <item x="43"/>
        <item x="83"/>
        <item x="42"/>
        <item x="82"/>
        <item x="81"/>
        <item x="96"/>
        <item x="80"/>
        <item x="79"/>
        <item x="78"/>
        <item x="77"/>
        <item x="41"/>
        <item x="40"/>
        <item x="39"/>
        <item x="38"/>
        <item x="37"/>
        <item x="76"/>
        <item x="75"/>
        <item h="1" x="114"/>
        <item h="1" x="113"/>
        <item h="1" x="112"/>
        <item h="1" x="111"/>
        <item h="1" x="107"/>
        <item h="1" x="7"/>
        <item h="1" x="27"/>
        <item h="1" x="26"/>
        <item h="1" x="117"/>
        <item h="1" x="118"/>
        <item h="1" x="12"/>
        <item h="1" x="9"/>
        <item h="1" x="8"/>
        <item h="1" x="10"/>
        <item h="1" x="25"/>
        <item h="1" x="24"/>
        <item h="1" x="18"/>
        <item h="1" x="17"/>
        <item h="1" x="23"/>
        <item h="1" x="6"/>
        <item h="1" x="19"/>
        <item h="1" x="22"/>
        <item h="1" m="1" x="128"/>
        <item h="1" x="16"/>
        <item h="1" x="15"/>
        <item h="1" x="36"/>
        <item h="1" x="2"/>
        <item h="1" x="1"/>
        <item h="1" x="0"/>
        <item h="1" x="31"/>
        <item h="1" x="13"/>
        <item h="1" x="5"/>
        <item h="1" x="4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9">
    <i>
      <x v="9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37"/>
    </i>
    <i>
      <x v="38"/>
    </i>
    <i>
      <x v="42"/>
    </i>
    <i>
      <x v="43"/>
    </i>
    <i>
      <x v="44"/>
    </i>
    <i>
      <x v="45"/>
    </i>
    <i>
      <x v="47"/>
    </i>
    <i>
      <x v="49"/>
    </i>
    <i>
      <x v="50"/>
    </i>
    <i>
      <x v="51"/>
    </i>
    <i>
      <x v="53"/>
    </i>
    <i>
      <x v="54"/>
    </i>
    <i>
      <x v="61"/>
    </i>
    <i>
      <x v="62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PivotTable3" cacheId="31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rowHeaderCaption="Strategy">
  <location ref="A3:G17" firstHeaderRow="1" firstDataRow="3" firstDataCol="1"/>
  <pivotFields count="31">
    <pivotField showAll="0"/>
    <pivotField showAll="0"/>
    <pivotField showAll="0"/>
    <pivotField axis="axisCol" showAll="0" defaultSubtotal="0">
      <items count="4">
        <item x="3"/>
        <item x="0"/>
        <item x="1"/>
        <item h="1" x="2"/>
      </items>
    </pivotField>
    <pivotField showAll="0"/>
    <pivotField showAll="0"/>
    <pivotField showAll="0"/>
    <pivotField axis="axisRow" showAll="0" defaultSubtotal="0">
      <items count="13">
        <item h="1" x="12"/>
        <item x="8"/>
        <item x="11"/>
        <item x="10"/>
        <item x="1"/>
        <item x="9"/>
        <item x="6"/>
        <item x="2"/>
        <item x="4"/>
        <item x="0"/>
        <item x="3"/>
        <item x="5"/>
        <item h="1" x="7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 defaultSubtotal="0"/>
    <pivotField showAll="0" defaultSubtotal="0"/>
    <pivotField showAll="0" defaultSubtotal="0"/>
    <pivotField showAll="0" defaultSubtotal="0"/>
    <pivotField dragToRow="0" dragToCol="0" dragToPage="0" showAll="0" defaultSubtotal="0"/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3"/>
  </colFields>
  <colItems count="6">
    <i>
      <x/>
      <x v="1"/>
    </i>
    <i r="1">
      <x v="2"/>
    </i>
    <i i="1">
      <x v="1"/>
      <x v="1"/>
    </i>
    <i r="1" i="1">
      <x v="2"/>
    </i>
    <i t="grand">
      <x/>
    </i>
    <i t="grand" i="1">
      <x/>
    </i>
  </colItems>
  <dataFields count="2">
    <dataField name="Flows mln QTD €" fld="26" baseField="7" baseItem="0"/>
    <dataField name="Difference In AUM mln QTD €" fld="25" baseField="7" baseItem="0"/>
  </dataFields>
  <formats count="14">
    <format dxfId="203">
      <pivotArea outline="0" collapsedLevelsAreSubtotals="1" fieldPosition="0"/>
    </format>
    <format dxfId="204">
      <pivotArea dataOnly="0" labelOnly="1" outline="0" axis="axisValues" fieldPosition="0"/>
    </format>
    <format dxfId="205">
      <pivotArea dataOnly="0" labelOnly="1" outline="0" axis="axisValues" fieldPosition="0"/>
    </format>
    <format dxfId="206">
      <pivotArea outline="0" collapsedLevelsAreSubtotals="1" fieldPosition="0"/>
    </format>
    <format dxfId="207">
      <pivotArea dataOnly="0" labelOnly="1" outline="0" axis="axisValues" fieldPosition="0"/>
    </format>
    <format dxfId="208">
      <pivotArea dataOnly="0" labelOnly="1" outline="0" axis="axisValues" fieldPosition="0"/>
    </format>
    <format dxfId="209">
      <pivotArea outline="0" collapsedLevelsAreSubtotals="1" fieldPosition="0"/>
    </format>
    <format dxfId="210">
      <pivotArea outline="0" collapsedLevelsAreSubtotals="1" fieldPosition="0"/>
    </format>
    <format dxfId="211">
      <pivotArea outline="0" collapsedLevelsAreSubtotals="1" fieldPosition="0"/>
    </format>
    <format dxfId="2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3">
      <pivotArea outline="0" collapsedLevelsAreSubtotals="1" fieldPosition="0"/>
    </format>
    <format dxfId="2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PivotTable1" cacheId="334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gridDropZones="1" multipleFieldFilters="0">
  <location ref="A3:D125" firstHeaderRow="2" firstDataRow="2" firstDataCol="3"/>
  <pivotFields count="24">
    <pivotField axis="axisRow" compact="0" outline="0" showAll="0">
      <items count="132">
        <item x="37"/>
        <item x="38"/>
        <item x="39"/>
        <item x="107"/>
        <item x="111"/>
        <item x="113"/>
        <item x="112"/>
        <item x="114"/>
        <item x="41"/>
        <item x="42"/>
        <item x="88"/>
        <item x="43"/>
        <item x="44"/>
        <item x="89"/>
        <item x="46"/>
        <item x="47"/>
        <item x="57"/>
        <item x="58"/>
        <item x="59"/>
        <item x="115"/>
        <item x="116"/>
        <item x="109"/>
        <item x="110"/>
        <item x="8"/>
        <item x="9"/>
        <item x="10"/>
        <item x="0"/>
        <item x="1"/>
        <item x="2"/>
        <item m="1" x="127"/>
        <item x="36"/>
        <item x="35"/>
        <item x="29"/>
        <item x="14"/>
        <item x="28"/>
        <item m="1" x="125"/>
        <item x="83"/>
        <item x="77"/>
        <item x="79"/>
        <item x="78"/>
        <item x="82"/>
        <item x="76"/>
        <item x="81"/>
        <item x="80"/>
        <item x="75"/>
        <item x="85"/>
        <item x="84"/>
        <item x="60"/>
        <item x="67"/>
        <item x="62"/>
        <item x="68"/>
        <item x="63"/>
        <item x="64"/>
        <item x="65"/>
        <item x="48"/>
        <item x="92"/>
        <item x="49"/>
        <item x="93"/>
        <item x="108"/>
        <item x="106"/>
        <item x="61"/>
        <item x="119"/>
        <item x="95"/>
        <item m="1" x="124"/>
        <item x="24"/>
        <item x="25"/>
        <item x="6"/>
        <item x="23"/>
        <item x="51"/>
        <item x="96"/>
        <item x="50"/>
        <item x="74"/>
        <item x="22"/>
        <item m="1" x="126"/>
        <item x="40"/>
        <item x="101"/>
        <item x="45"/>
        <item m="1" x="123"/>
        <item m="1" x="128"/>
        <item m="1" x="129"/>
        <item m="1" x="130"/>
        <item m="1" x="121"/>
        <item m="1" x="120"/>
        <item m="1" x="122"/>
        <item x="69"/>
        <item x="70"/>
        <item x="71"/>
        <item x="73"/>
        <item x="72"/>
        <item x="94"/>
        <item x="97"/>
        <item x="52"/>
        <item x="53"/>
        <item x="102"/>
        <item x="98"/>
        <item x="54"/>
        <item x="66"/>
        <item x="55"/>
        <item x="99"/>
        <item x="100"/>
        <item x="56"/>
        <item x="118"/>
        <item x="3"/>
        <item x="4"/>
        <item x="5"/>
        <item x="7"/>
        <item x="11"/>
        <item x="21"/>
        <item x="13"/>
        <item x="15"/>
        <item x="16"/>
        <item x="17"/>
        <item x="18"/>
        <item x="19"/>
        <item x="20"/>
        <item x="26"/>
        <item x="27"/>
        <item x="30"/>
        <item x="31"/>
        <item x="32"/>
        <item x="33"/>
        <item x="34"/>
        <item x="86"/>
        <item x="87"/>
        <item x="90"/>
        <item x="91"/>
        <item x="103"/>
        <item x="104"/>
        <item x="105"/>
        <item x="117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m="1" x="4"/>
        <item x="1"/>
        <item x="2"/>
        <item x="3"/>
        <item t="default"/>
      </items>
    </pivotField>
    <pivotField axis="axisRow" compact="0" outline="0" showAll="0">
      <items count="16">
        <item sd="0" m="1" x="14"/>
        <item m="1" x="12"/>
        <item sd="0" x="8"/>
        <item x="11"/>
        <item sd="0" x="10"/>
        <item x="1"/>
        <item sd="0" x="9"/>
        <item x="6"/>
        <item x="2"/>
        <item x="4"/>
        <item sd="0" m="1" x="13"/>
        <item x="0"/>
        <item x="3"/>
        <item x="7"/>
        <item x="5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3">
    <field x="6"/>
    <field x="7"/>
    <field x="0"/>
  </rowFields>
  <rowItems count="121">
    <i>
      <x/>
      <x v="5"/>
      <x v="2"/>
    </i>
    <i r="2">
      <x v="11"/>
    </i>
    <i r="2">
      <x v="12"/>
    </i>
    <i r="2">
      <x v="15"/>
    </i>
    <i r="2">
      <x v="23"/>
    </i>
    <i r="2">
      <x v="27"/>
    </i>
    <i r="2">
      <x v="49"/>
    </i>
    <i r="2">
      <x v="50"/>
    </i>
    <i r="2">
      <x v="51"/>
    </i>
    <i r="2">
      <x v="54"/>
    </i>
    <i r="2">
      <x v="70"/>
    </i>
    <i r="2">
      <x v="71"/>
    </i>
    <i r="2">
      <x v="76"/>
    </i>
    <i r="2">
      <x v="93"/>
    </i>
    <i r="2">
      <x v="97"/>
    </i>
    <i r="2">
      <x v="98"/>
    </i>
    <i r="2">
      <x v="99"/>
    </i>
    <i r="2">
      <x v="100"/>
    </i>
    <i r="2">
      <x v="103"/>
    </i>
    <i r="2">
      <x v="109"/>
    </i>
    <i r="2">
      <x v="114"/>
    </i>
    <i t="default" r="1">
      <x v="5"/>
    </i>
    <i r="1">
      <x v="6"/>
    </i>
    <i r="1">
      <x v="7"/>
      <x v="47"/>
    </i>
    <i r="2">
      <x v="56"/>
    </i>
    <i r="2">
      <x v="68"/>
    </i>
    <i r="2">
      <x v="72"/>
    </i>
    <i r="2">
      <x v="84"/>
    </i>
    <i r="2">
      <x v="85"/>
    </i>
    <i r="2">
      <x v="86"/>
    </i>
    <i r="2">
      <x v="87"/>
    </i>
    <i r="2">
      <x v="88"/>
    </i>
    <i t="default" r="1">
      <x v="7"/>
    </i>
    <i r="1">
      <x v="8"/>
      <x/>
    </i>
    <i r="2">
      <x v="8"/>
    </i>
    <i r="2">
      <x v="14"/>
    </i>
    <i r="2">
      <x v="24"/>
    </i>
    <i r="2">
      <x v="28"/>
    </i>
    <i r="2">
      <x v="48"/>
    </i>
    <i r="2">
      <x v="53"/>
    </i>
    <i r="2">
      <x v="74"/>
    </i>
    <i r="2">
      <x v="75"/>
    </i>
    <i r="2">
      <x v="94"/>
    </i>
    <i r="2">
      <x v="95"/>
    </i>
    <i r="2">
      <x v="96"/>
    </i>
    <i r="2">
      <x v="104"/>
    </i>
    <i r="2">
      <x v="110"/>
    </i>
    <i r="2">
      <x v="130"/>
    </i>
    <i t="default" r="1">
      <x v="8"/>
    </i>
    <i r="1">
      <x v="11"/>
      <x v="1"/>
    </i>
    <i r="2">
      <x v="9"/>
    </i>
    <i r="2">
      <x v="16"/>
    </i>
    <i r="2">
      <x v="17"/>
    </i>
    <i r="2">
      <x v="18"/>
    </i>
    <i r="2">
      <x v="25"/>
    </i>
    <i r="2">
      <x v="26"/>
    </i>
    <i r="2">
      <x v="52"/>
    </i>
    <i r="2">
      <x v="60"/>
    </i>
    <i r="2">
      <x v="90"/>
    </i>
    <i r="2">
      <x v="91"/>
    </i>
    <i r="2">
      <x v="92"/>
    </i>
    <i r="2">
      <x v="102"/>
    </i>
    <i t="default" r="1">
      <x v="11"/>
    </i>
    <i t="default">
      <x/>
    </i>
    <i>
      <x v="2"/>
      <x v="3"/>
      <x v="3"/>
    </i>
    <i r="2">
      <x v="10"/>
    </i>
    <i r="2">
      <x v="13"/>
    </i>
    <i r="2">
      <x v="122"/>
    </i>
    <i r="2">
      <x v="123"/>
    </i>
    <i r="2">
      <x v="124"/>
    </i>
    <i r="2">
      <x v="125"/>
    </i>
    <i t="default" r="1">
      <x v="3"/>
    </i>
    <i r="1">
      <x v="4"/>
    </i>
    <i r="1">
      <x v="9"/>
      <x v="19"/>
    </i>
    <i r="2">
      <x v="20"/>
    </i>
    <i r="2">
      <x v="21"/>
    </i>
    <i r="2">
      <x v="30"/>
    </i>
    <i r="2">
      <x v="55"/>
    </i>
    <i r="2">
      <x v="57"/>
    </i>
    <i r="2">
      <x v="62"/>
    </i>
    <i r="2">
      <x v="106"/>
    </i>
    <i t="default" r="1">
      <x v="9"/>
    </i>
    <i r="1">
      <x v="12"/>
      <x v="58"/>
    </i>
    <i r="2">
      <x v="64"/>
    </i>
    <i r="2">
      <x v="65"/>
    </i>
    <i r="2">
      <x v="66"/>
    </i>
    <i r="2">
      <x v="67"/>
    </i>
    <i r="2">
      <x v="89"/>
    </i>
    <i r="2">
      <x v="105"/>
    </i>
    <i r="2">
      <x v="111"/>
    </i>
    <i r="2">
      <x v="112"/>
    </i>
    <i r="2">
      <x v="113"/>
    </i>
    <i r="2">
      <x v="115"/>
    </i>
    <i r="2">
      <x v="116"/>
    </i>
    <i t="default" r="1">
      <x v="12"/>
    </i>
    <i r="1">
      <x v="14"/>
      <x v="22"/>
    </i>
    <i r="2">
      <x v="59"/>
    </i>
    <i r="2">
      <x v="61"/>
    </i>
    <i r="2">
      <x v="108"/>
    </i>
    <i r="2">
      <x v="126"/>
    </i>
    <i r="2">
      <x v="127"/>
    </i>
    <i r="2">
      <x v="128"/>
    </i>
    <i t="default" r="1">
      <x v="14"/>
    </i>
    <i t="default">
      <x v="2"/>
    </i>
    <i>
      <x v="3"/>
      <x v="2"/>
    </i>
    <i r="1">
      <x v="6"/>
    </i>
    <i r="1">
      <x v="7"/>
      <x v="33"/>
    </i>
    <i t="default" r="1">
      <x v="7"/>
    </i>
    <i r="1">
      <x v="9"/>
      <x v="34"/>
    </i>
    <i t="default" r="1">
      <x v="9"/>
    </i>
    <i t="default">
      <x v="3"/>
    </i>
    <i>
      <x v="4"/>
      <x v="13"/>
      <x v="4"/>
    </i>
    <i r="2">
      <x v="5"/>
    </i>
    <i r="2">
      <x v="6"/>
    </i>
    <i r="2">
      <x v="7"/>
    </i>
    <i r="2">
      <x v="101"/>
    </i>
    <i r="2">
      <x v="107"/>
    </i>
    <i r="2">
      <x v="129"/>
    </i>
    <i t="default" r="1">
      <x v="13"/>
    </i>
    <i t="default">
      <x v="4"/>
    </i>
    <i t="grand">
      <x/>
    </i>
  </rowItems>
  <colItems count="1">
    <i/>
  </colItems>
  <dataFields count="1">
    <dataField name="Sum of Difference final" fld="23" baseField="6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PivotTable1" cacheId="322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6" indent="0" outline="1" outlineData="1" multipleFieldFilters="0" rowHeaderCaption="Portfolio Names">
  <location ref="A1:C11" firstHeaderRow="0" firstDataRow="1" firstDataCol="1"/>
  <pivotFields count="30">
    <pivotField showAll="0"/>
    <pivotField showAll="0"/>
    <pivotField axis="axisRow" showAll="0" sortType="ascending" defaultSubtotal="0">
      <items count="131">
        <item h="1" x="3"/>
        <item h="1" x="4"/>
        <item h="1" x="5"/>
        <item n="AMUNDI ELITE THEMATIC MA" x="13"/>
        <item x="31"/>
        <item x="0"/>
        <item x="1"/>
        <item x="2"/>
        <item h="1" x="36"/>
        <item x="15"/>
        <item x="16"/>
        <item h="1" m="1" x="128"/>
        <item h="1" x="22"/>
        <item h="1" x="19"/>
        <item h="1" x="6"/>
        <item h="1" x="23"/>
        <item h="1" x="17"/>
        <item h="1" x="18"/>
        <item h="1" x="24"/>
        <item h="1" x="25"/>
        <item h="1" x="10"/>
        <item h="1" x="8"/>
        <item h="1" x="9"/>
        <item h="1" x="12"/>
        <item h="1" x="118"/>
        <item h="1" x="117"/>
        <item x="26"/>
        <item h="1" x="27"/>
        <item h="1" x="7"/>
        <item h="1" x="107"/>
        <item h="1" x="111"/>
        <item h="1" x="112"/>
        <item h="1" x="113"/>
        <item h="1" x="114"/>
        <item h="1" x="75"/>
        <item h="1" x="76"/>
        <item h="1" x="37"/>
        <item h="1" x="38"/>
        <item h="1" x="39"/>
        <item h="1" x="40"/>
        <item h="1" x="41"/>
        <item h="1" x="77"/>
        <item h="1" x="78"/>
        <item h="1" x="79"/>
        <item h="1" x="80"/>
        <item h="1" x="96"/>
        <item h="1" x="81"/>
        <item h="1" x="82"/>
        <item h="1" x="42"/>
        <item h="1" x="83"/>
        <item h="1" x="43"/>
        <item h="1" x="84"/>
        <item h="1" x="44"/>
        <item h="1" x="85"/>
        <item h="1" x="45"/>
        <item h="1" x="46"/>
        <item h="1" x="47"/>
        <item h="1" x="88"/>
        <item h="1" x="101"/>
        <item h="1" x="90"/>
        <item h="1" x="86"/>
        <item h="1" x="89"/>
        <item h="1" x="91"/>
        <item h="1" x="87"/>
        <item h="1" x="115"/>
        <item h="1" x="116"/>
        <item h="1" x="109"/>
        <item h="1" x="110"/>
        <item h="1" m="1" x="125"/>
        <item h="1" m="1" x="127"/>
        <item h="1" x="33"/>
        <item h="1" x="48"/>
        <item h="1" x="49"/>
        <item h="1" m="1" x="129"/>
        <item h="1" m="1" x="126"/>
        <item h="1" x="14"/>
        <item h="1" x="29"/>
        <item h="1" x="35"/>
        <item h="1" x="28"/>
        <item h="1" x="50"/>
        <item h="1" x="74"/>
        <item h="1" x="51"/>
        <item h="1" x="20"/>
        <item h="1" x="108"/>
        <item h="1" x="11"/>
        <item h="1" x="52"/>
        <item h="1" x="53"/>
        <item h="1" x="102"/>
        <item h="1" x="54"/>
        <item h="1" x="30"/>
        <item x="92"/>
        <item x="93"/>
        <item h="1" x="55"/>
        <item h="1" x="56"/>
        <item h="1" x="97"/>
        <item h="1" x="98"/>
        <item h="1" x="99"/>
        <item h="1" x="100"/>
        <item m="1" x="130"/>
        <item h="1" m="1" x="122"/>
        <item h="1" m="1" x="123"/>
        <item h="1" m="1" x="124"/>
        <item h="1" m="1" x="120"/>
        <item h="1" m="1" x="121"/>
        <item h="1" x="32"/>
        <item h="1" x="34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105"/>
        <item h="1" x="66"/>
        <item h="1" x="67"/>
        <item h="1" x="104"/>
        <item h="1" x="94"/>
        <item h="1" x="106"/>
        <item h="1" x="68"/>
        <item h="1" x="103"/>
        <item h="1" x="69"/>
        <item h="1" x="70"/>
        <item h="1" x="71"/>
        <item h="1" x="72"/>
        <item h="1" x="73"/>
        <item h="1" x="119"/>
        <item h="1" x="95"/>
        <item h="1" x="2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43" showAll="0" defaultSubtotal="0"/>
    <pivotField numFmtId="164" showAll="0" defaultSubtotal="0"/>
    <pivotField numFmtId="164" showAll="0" defaultSubtotal="0"/>
    <pivotField numFmtId="43" showAll="0" defaultSubtotal="0"/>
    <pivotField dataField="1" numFmtId="43" showAll="0" defaultSubtotal="0"/>
    <pivotField dataField="1" numFmtId="43" showAll="0" defaultSubtotal="0"/>
    <pivotField showAll="0" defaultSubtotal="0"/>
    <pivotField showAll="0" defaultSubtotal="0"/>
    <pivotField showAll="0" defaultSubtotal="0"/>
  </pivotFields>
  <rowFields count="1">
    <field x="2"/>
  </rowFields>
  <rowItems count="10">
    <i>
      <x v="3"/>
    </i>
    <i>
      <x v="4"/>
    </i>
    <i>
      <x v="5"/>
    </i>
    <i>
      <x v="6"/>
    </i>
    <i>
      <x v="7"/>
    </i>
    <i>
      <x v="9"/>
    </i>
    <i>
      <x v="10"/>
    </i>
    <i>
      <x v="26"/>
    </i>
    <i>
      <x v="90"/>
    </i>
    <i>
      <x v="91"/>
    </i>
  </rowItems>
  <colFields count="1">
    <field x="-2"/>
  </colFields>
  <colItems count="2">
    <i>
      <x/>
    </i>
    <i i="1">
      <x v="1"/>
    </i>
  </colItems>
  <dataFields count="2">
    <dataField name="Flows mln QTD" fld="26" baseField="0" baseItem="0"/>
    <dataField name=" Difference In AUM" fld="25" baseField="0" baseItem="0"/>
  </dataFields>
  <formats count="6">
    <format dxfId="1622">
      <pivotArea outline="0" collapsedLevelsAreSubtotals="1" fieldPosition="0"/>
    </format>
    <format dxfId="16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0">
      <pivotArea outline="0" collapsedLevelsAreSubtotals="1" fieldPosition="0"/>
    </format>
    <format dxfId="16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8">
      <pivotArea outline="0" collapsedLevelsAreSubtotals="1" fieldPosition="0"/>
    </format>
    <format dxfId="16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PivotTable1" cacheId="334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A2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m="1" x="4"/>
        <item x="1"/>
        <item x="2"/>
        <item x="3"/>
        <item t="default"/>
      </items>
    </pivotField>
    <pivotField axis="axisRow" showAll="0">
      <items count="16">
        <item m="1" x="14"/>
        <item m="1" x="12"/>
        <item x="8"/>
        <item x="11"/>
        <item x="10"/>
        <item x="1"/>
        <item x="9"/>
        <item x="6"/>
        <item x="2"/>
        <item x="4"/>
        <item m="1" x="13"/>
        <item x="0"/>
        <item x="3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numFmtId="164" showAll="0"/>
  </pivotFields>
  <rowFields count="2">
    <field x="6"/>
    <field x="7"/>
  </rowFields>
  <rowItems count="20">
    <i>
      <x/>
    </i>
    <i r="1">
      <x v="5"/>
    </i>
    <i r="1">
      <x v="6"/>
    </i>
    <i r="1">
      <x v="7"/>
    </i>
    <i r="1">
      <x v="8"/>
    </i>
    <i r="1">
      <x v="11"/>
    </i>
    <i>
      <x v="2"/>
    </i>
    <i r="1">
      <x v="3"/>
    </i>
    <i r="1">
      <x v="4"/>
    </i>
    <i r="1">
      <x v="9"/>
    </i>
    <i r="1">
      <x v="12"/>
    </i>
    <i r="1">
      <x v="13"/>
    </i>
    <i>
      <x v="3"/>
    </i>
    <i r="1">
      <x v="2"/>
    </i>
    <i r="1">
      <x v="6"/>
    </i>
    <i r="1">
      <x v="7"/>
    </i>
    <i r="1">
      <x v="9"/>
    </i>
    <i>
      <x v="4"/>
    </i>
    <i r="1"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H20:J35" totalsRowShown="0" headerRowDxfId="1651" headerRowBorderDxfId="1650">
  <autoFilter ref="H20:J35" xr:uid="{00000000-0009-0000-0100-000003000000}"/>
  <tableColumns count="3">
    <tableColumn id="1" xr3:uid="{00000000-0010-0000-0000-000001000000}" name="Funds"/>
    <tableColumn id="2" xr3:uid="{00000000-0010-0000-0000-000002000000}" name="Sum of Flows QTD mln" dataDxfId="1649" dataCellStyle="Comma"/>
    <tableColumn id="3" xr3:uid="{00000000-0010-0000-0000-000003000000}" name="Sum of Difference In AUM" dataDxfId="1648" dataCellStyle="Comma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H20:J35" totalsRowShown="0" headerRowDxfId="1638" headerRowBorderDxfId="1637">
  <autoFilter ref="H20:J35" xr:uid="{00000000-0009-0000-0100-000001000000}"/>
  <tableColumns count="3">
    <tableColumn id="1" xr3:uid="{00000000-0010-0000-0100-000001000000}" name="Funds"/>
    <tableColumn id="2" xr3:uid="{00000000-0010-0000-0100-000002000000}" name="Sum of Flows QTD mln" dataDxfId="1636" dataCellStyle="Comma"/>
    <tableColumn id="3" xr3:uid="{00000000-0010-0000-0100-000003000000}" name="Sum of Difference In AUM" dataDxfId="1635" dataCellStyle="Comma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H115" totalsRowShown="0" headerRowDxfId="1634">
  <autoFilter ref="A1:H115" xr:uid="{00000000-0009-0000-0100-000006000000}"/>
  <sortState xmlns:xlrd2="http://schemas.microsoft.com/office/spreadsheetml/2017/richdata2" ref="A2:H115">
    <sortCondition ref="A1:A115"/>
  </sortState>
  <tableColumns count="8">
    <tableColumn id="1" xr3:uid="{00000000-0010-0000-0200-000001000000}" name="Code"/>
    <tableColumn id="2" xr3:uid="{00000000-0010-0000-0200-000002000000}" name="Portfolios name"/>
    <tableColumn id="3" xr3:uid="{00000000-0010-0000-0200-000003000000}" name="Fund or Model"/>
    <tableColumn id="4" xr3:uid="{00000000-0010-0000-0200-000004000000}" name="Strategy Type"/>
    <tableColumn id="5" xr3:uid="{00000000-0010-0000-0200-000005000000}" name="Strategy Detail"/>
    <tableColumn id="6" xr3:uid="{00000000-0010-0000-0200-000006000000}" name="Lead PM"/>
    <tableColumn id="7" xr3:uid="{00000000-0010-0000-0200-000007000000}" name="Backup PM"/>
    <tableColumn id="8" xr3:uid="{00000000-0010-0000-0200-000008000000}" name="AUM 31st Jan 2024" dataDxfId="1633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13" displayName="Table13" ref="H18:J30" totalsRowShown="0" headerRowDxfId="1616" headerRowBorderDxfId="1615">
  <autoFilter ref="H18:J30" xr:uid="{00000000-0009-0000-0100-000002000000}"/>
  <tableColumns count="3">
    <tableColumn id="1" xr3:uid="{00000000-0010-0000-0300-000001000000}" name="Funds"/>
    <tableColumn id="2" xr3:uid="{00000000-0010-0000-0300-000002000000}" name="Flows mln QTD €" dataDxfId="1614" dataCellStyle="Comma"/>
    <tableColumn id="3" xr3:uid="{00000000-0010-0000-0300-000003000000}" name=" Difference  mln In AUM€" dataDxfId="1613" dataCellStyle="Comma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46"/>
  <sheetViews>
    <sheetView workbookViewId="0">
      <selection activeCell="E6" sqref="E6"/>
    </sheetView>
  </sheetViews>
  <sheetFormatPr defaultRowHeight="15" x14ac:dyDescent="0.25"/>
  <cols>
    <col min="1" max="1" width="11.85546875" customWidth="1"/>
    <col min="2" max="2" width="18.28515625" style="14" bestFit="1" customWidth="1"/>
    <col min="3" max="3" width="17.5703125" style="14" bestFit="1" customWidth="1"/>
    <col min="4" max="4" width="10.42578125" bestFit="1" customWidth="1"/>
    <col min="5" max="5" width="13.28515625" bestFit="1" customWidth="1"/>
    <col min="6" max="6" width="13.85546875" bestFit="1" customWidth="1"/>
  </cols>
  <sheetData>
    <row r="3" spans="1:6" ht="36" customHeight="1" x14ac:dyDescent="0.25">
      <c r="A3" s="65" t="s">
        <v>1761</v>
      </c>
      <c r="B3" s="10" t="s">
        <v>1745</v>
      </c>
      <c r="C3" s="10" t="s">
        <v>265</v>
      </c>
      <c r="D3" s="42" t="s">
        <v>1911</v>
      </c>
      <c r="E3" s="64" t="s">
        <v>1914</v>
      </c>
      <c r="F3" s="42" t="s">
        <v>1907</v>
      </c>
    </row>
    <row r="4" spans="1:6" x14ac:dyDescent="0.25">
      <c r="A4" t="s">
        <v>1762</v>
      </c>
      <c r="B4"/>
      <c r="C4"/>
      <c r="D4" s="27">
        <v>-519.25036263261438</v>
      </c>
      <c r="E4" s="54">
        <v>-0.1250560398587682</v>
      </c>
      <c r="F4" s="27">
        <v>-350.87000176323647</v>
      </c>
    </row>
    <row r="5" spans="1:6" x14ac:dyDescent="0.25">
      <c r="B5" t="s">
        <v>1774</v>
      </c>
      <c r="C5"/>
      <c r="D5" s="27">
        <v>-2.977460730000002</v>
      </c>
      <c r="E5" s="54">
        <v>-4.0101650192777269E-2</v>
      </c>
      <c r="F5" s="27">
        <v>-2.9849540900000036</v>
      </c>
    </row>
    <row r="6" spans="1:6" x14ac:dyDescent="0.25">
      <c r="B6" t="s">
        <v>1756</v>
      </c>
      <c r="C6"/>
      <c r="D6" s="27">
        <v>-7.3841967103152903</v>
      </c>
      <c r="E6" s="54">
        <v>-2.8701928973401229E-2</v>
      </c>
      <c r="F6" s="27">
        <v>-5.1672111199999486</v>
      </c>
    </row>
    <row r="7" spans="1:6" x14ac:dyDescent="0.25">
      <c r="B7" t="s">
        <v>1775</v>
      </c>
      <c r="C7"/>
      <c r="D7" s="27">
        <v>-14.921085353006134</v>
      </c>
      <c r="E7" s="54">
        <v>-0.12510662584406596</v>
      </c>
      <c r="F7" s="27">
        <v>-18.078060633006139</v>
      </c>
    </row>
    <row r="8" spans="1:6" x14ac:dyDescent="0.25">
      <c r="B8" t="s">
        <v>1768</v>
      </c>
      <c r="C8"/>
      <c r="D8" s="27">
        <v>-26.306785200000004</v>
      </c>
      <c r="E8" s="54">
        <v>-7.149356228983958E-2</v>
      </c>
      <c r="F8" s="27">
        <v>-32.025050100230274</v>
      </c>
    </row>
    <row r="9" spans="1:6" x14ac:dyDescent="0.25">
      <c r="B9" t="s">
        <v>1769</v>
      </c>
      <c r="C9"/>
      <c r="D9" s="27">
        <v>25.096397303936381</v>
      </c>
      <c r="E9" s="54">
        <v>0.1442818954340348</v>
      </c>
      <c r="F9" s="27">
        <v>27.735834780000005</v>
      </c>
    </row>
    <row r="10" spans="1:6" x14ac:dyDescent="0.25">
      <c r="B10" t="s">
        <v>1755</v>
      </c>
      <c r="C10"/>
      <c r="D10" s="27">
        <v>-11.006051520000002</v>
      </c>
      <c r="E10" s="54">
        <v>-3.7418930758587571E-2</v>
      </c>
      <c r="F10" s="27">
        <v>-16.633531450000032</v>
      </c>
    </row>
    <row r="11" spans="1:6" x14ac:dyDescent="0.25">
      <c r="B11" t="s">
        <v>1770</v>
      </c>
      <c r="C11"/>
      <c r="D11" s="27">
        <v>-9.8263789832293575</v>
      </c>
      <c r="E11" s="54">
        <v>-2.2059036132851491E-2</v>
      </c>
      <c r="F11" s="27">
        <v>-1.6296295400000511</v>
      </c>
    </row>
    <row r="12" spans="1:6" x14ac:dyDescent="0.25">
      <c r="B12" t="s">
        <v>1773</v>
      </c>
      <c r="C12"/>
      <c r="D12" s="27">
        <v>-335.01256567000001</v>
      </c>
      <c r="E12" s="54">
        <v>-0.18945034092349711</v>
      </c>
      <c r="F12" s="27">
        <v>-420.76861742</v>
      </c>
    </row>
    <row r="13" spans="1:6" x14ac:dyDescent="0.25">
      <c r="B13" t="s">
        <v>1776</v>
      </c>
      <c r="C13"/>
      <c r="D13" s="27">
        <v>-136.91223576999997</v>
      </c>
      <c r="E13" s="54">
        <v>-0.21014083444532289</v>
      </c>
      <c r="F13" s="27">
        <v>118.68121780999994</v>
      </c>
    </row>
    <row r="14" spans="1:6" x14ac:dyDescent="0.25">
      <c r="A14" t="s">
        <v>1820</v>
      </c>
      <c r="B14"/>
      <c r="C14"/>
      <c r="D14" s="27">
        <v>-307.44577430000004</v>
      </c>
      <c r="E14" s="54">
        <v>-3.5126255599445884E-2</v>
      </c>
      <c r="F14" s="27">
        <v>-88.065456399999988</v>
      </c>
    </row>
    <row r="15" spans="1:6" x14ac:dyDescent="0.25">
      <c r="B15" t="s">
        <v>1771</v>
      </c>
      <c r="C15"/>
      <c r="D15" s="27">
        <v>-65.534485890000028</v>
      </c>
      <c r="E15" s="54">
        <v>-5.4219270670619803E-2</v>
      </c>
      <c r="F15" s="27">
        <v>-44.165264000000001</v>
      </c>
    </row>
    <row r="16" spans="1:6" x14ac:dyDescent="0.25">
      <c r="B16" t="s">
        <v>1772</v>
      </c>
      <c r="C16"/>
      <c r="D16" s="27">
        <v>-8.7313300000000038E-2</v>
      </c>
      <c r="E16" s="54">
        <v>-1.2552394309988004E-2</v>
      </c>
      <c r="F16" s="27">
        <v>-1.984E-2</v>
      </c>
    </row>
    <row r="17" spans="1:6" x14ac:dyDescent="0.25">
      <c r="B17" t="s">
        <v>1756</v>
      </c>
      <c r="C17"/>
      <c r="D17" s="27">
        <v>-20.272350039999978</v>
      </c>
      <c r="E17" s="54">
        <v>-3.0977101472705694E-2</v>
      </c>
      <c r="F17" s="27">
        <v>-17.236822119999974</v>
      </c>
    </row>
    <row r="18" spans="1:6" x14ac:dyDescent="0.25">
      <c r="B18" t="s">
        <v>1775</v>
      </c>
      <c r="C18"/>
      <c r="D18" s="27">
        <v>-35.84882743</v>
      </c>
      <c r="E18" s="54">
        <v>-1.1128297982468574E-2</v>
      </c>
      <c r="F18" s="27">
        <v>100.73189800000002</v>
      </c>
    </row>
    <row r="19" spans="1:6" x14ac:dyDescent="0.25">
      <c r="B19" t="s">
        <v>1768</v>
      </c>
      <c r="C19"/>
      <c r="D19" s="27">
        <v>-130.64609221999999</v>
      </c>
      <c r="E19" s="54">
        <v>-0.10657307585951364</v>
      </c>
      <c r="F19" s="27">
        <v>-120.73859999999999</v>
      </c>
    </row>
    <row r="20" spans="1:6" x14ac:dyDescent="0.25">
      <c r="B20" t="s">
        <v>1769</v>
      </c>
      <c r="C20"/>
      <c r="D20" s="27">
        <v>-11.949810230000001</v>
      </c>
      <c r="E20" s="54">
        <v>-2.6006460690674624E-2</v>
      </c>
      <c r="F20" s="27">
        <v>4.694793999999999</v>
      </c>
    </row>
    <row r="21" spans="1:6" x14ac:dyDescent="0.25">
      <c r="B21" t="s">
        <v>1755</v>
      </c>
      <c r="C21"/>
      <c r="D21" s="27">
        <v>-54.349644720000022</v>
      </c>
      <c r="E21" s="54">
        <v>-8.6591532370879437E-2</v>
      </c>
      <c r="F21" s="27">
        <v>-57.063288630000002</v>
      </c>
    </row>
    <row r="22" spans="1:6" x14ac:dyDescent="0.25">
      <c r="B22" t="s">
        <v>1770</v>
      </c>
      <c r="C22"/>
      <c r="D22" s="27">
        <v>-3.7120639899999999</v>
      </c>
      <c r="E22" s="54">
        <v>-2.165760349702656E-2</v>
      </c>
      <c r="F22" s="27">
        <v>-2.638989</v>
      </c>
    </row>
    <row r="23" spans="1:6" x14ac:dyDescent="0.25">
      <c r="B23" t="s">
        <v>1773</v>
      </c>
      <c r="C23"/>
      <c r="D23" s="27">
        <v>-0.67521059999999999</v>
      </c>
      <c r="E23" s="54">
        <v>-0.14351059404844216</v>
      </c>
      <c r="F23" s="27">
        <v>-0.46890500000000002</v>
      </c>
    </row>
    <row r="24" spans="1:6" x14ac:dyDescent="0.25">
      <c r="B24" t="s">
        <v>1776</v>
      </c>
      <c r="C24"/>
      <c r="D24" s="27">
        <v>15.630024119999987</v>
      </c>
      <c r="E24" s="54">
        <v>1.3336587472606498E-2</v>
      </c>
      <c r="F24" s="27">
        <v>48.839560349999999</v>
      </c>
    </row>
    <row r="25" spans="1:6" x14ac:dyDescent="0.25">
      <c r="A25" t="s">
        <v>1767</v>
      </c>
      <c r="B25"/>
      <c r="C25"/>
      <c r="D25" s="27">
        <v>-826.69613693261454</v>
      </c>
      <c r="E25" s="54">
        <v>-6.4061467014249474E-2</v>
      </c>
      <c r="F25" s="27">
        <v>-438.93545816323643</v>
      </c>
    </row>
    <row r="26" spans="1:6" x14ac:dyDescent="0.25">
      <c r="B26"/>
      <c r="C26"/>
    </row>
    <row r="27" spans="1:6" x14ac:dyDescent="0.25">
      <c r="B27"/>
      <c r="C27"/>
    </row>
    <row r="28" spans="1:6" x14ac:dyDescent="0.25">
      <c r="B28"/>
      <c r="C28"/>
    </row>
    <row r="29" spans="1:6" x14ac:dyDescent="0.25">
      <c r="B29"/>
      <c r="C29"/>
    </row>
    <row r="30" spans="1:6" x14ac:dyDescent="0.25">
      <c r="B30"/>
      <c r="C30"/>
    </row>
    <row r="31" spans="1:6" x14ac:dyDescent="0.25">
      <c r="B31"/>
      <c r="C31"/>
    </row>
    <row r="32" spans="1:6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</sheetData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37"/>
  <sheetViews>
    <sheetView workbookViewId="0">
      <selection activeCell="C13" sqref="C13"/>
    </sheetView>
  </sheetViews>
  <sheetFormatPr defaultRowHeight="15" x14ac:dyDescent="0.25"/>
  <cols>
    <col min="1" max="1" width="18.28515625" customWidth="1"/>
    <col min="2" max="2" width="14.85546875" style="14" customWidth="1"/>
    <col min="3" max="3" width="26.7109375" style="14" customWidth="1"/>
    <col min="4" max="4" width="22.28515625" bestFit="1" customWidth="1"/>
    <col min="5" max="5" width="24.5703125" bestFit="1" customWidth="1"/>
  </cols>
  <sheetData>
    <row r="3" spans="1:3" ht="36" customHeight="1" x14ac:dyDescent="0.25">
      <c r="A3" s="10" t="s">
        <v>1745</v>
      </c>
      <c r="B3" s="42" t="s">
        <v>1906</v>
      </c>
      <c r="C3" s="42" t="s">
        <v>1907</v>
      </c>
    </row>
    <row r="4" spans="1:3" x14ac:dyDescent="0.25">
      <c r="A4" t="s">
        <v>1774</v>
      </c>
      <c r="B4" s="27">
        <v>-2.977460730000002</v>
      </c>
      <c r="C4" s="27">
        <v>-2.9849540900000036</v>
      </c>
    </row>
    <row r="5" spans="1:3" x14ac:dyDescent="0.25">
      <c r="A5" t="s">
        <v>1771</v>
      </c>
      <c r="B5" s="27">
        <v>-65.534485890000028</v>
      </c>
      <c r="C5" s="27">
        <v>-44.165264000000001</v>
      </c>
    </row>
    <row r="6" spans="1:3" x14ac:dyDescent="0.25">
      <c r="A6" t="s">
        <v>1772</v>
      </c>
      <c r="B6" s="27">
        <v>-8.7313300000000038E-2</v>
      </c>
      <c r="C6" s="27">
        <v>-1.984E-2</v>
      </c>
    </row>
    <row r="7" spans="1:3" x14ac:dyDescent="0.25">
      <c r="A7" t="s">
        <v>1756</v>
      </c>
      <c r="B7" s="27">
        <v>-27.656546750315265</v>
      </c>
      <c r="C7" s="27">
        <v>-22.404033239999926</v>
      </c>
    </row>
    <row r="8" spans="1:3" x14ac:dyDescent="0.25">
      <c r="A8" t="s">
        <v>1775</v>
      </c>
      <c r="B8" s="27">
        <v>-50.769912783006127</v>
      </c>
      <c r="C8" s="27">
        <v>82.653837366993869</v>
      </c>
    </row>
    <row r="9" spans="1:3" x14ac:dyDescent="0.25">
      <c r="A9" t="s">
        <v>1768</v>
      </c>
      <c r="B9" s="27">
        <v>-156.95287741999999</v>
      </c>
      <c r="C9" s="27">
        <v>-152.76365010023028</v>
      </c>
    </row>
    <row r="10" spans="1:3" x14ac:dyDescent="0.25">
      <c r="A10" t="s">
        <v>1769</v>
      </c>
      <c r="B10" s="27">
        <v>13.146587073936381</v>
      </c>
      <c r="C10" s="27">
        <v>32.430628780000006</v>
      </c>
    </row>
    <row r="11" spans="1:3" x14ac:dyDescent="0.25">
      <c r="A11" t="s">
        <v>1755</v>
      </c>
      <c r="B11" s="27">
        <v>-65.355696240000015</v>
      </c>
      <c r="C11" s="27">
        <v>-73.696820080000052</v>
      </c>
    </row>
    <row r="12" spans="1:3" x14ac:dyDescent="0.25">
      <c r="A12" t="s">
        <v>1770</v>
      </c>
      <c r="B12" s="27">
        <v>-13.538442973229358</v>
      </c>
      <c r="C12" s="27">
        <v>-4.2686185400000509</v>
      </c>
    </row>
    <row r="13" spans="1:3" x14ac:dyDescent="0.25">
      <c r="A13" t="s">
        <v>1773</v>
      </c>
      <c r="B13" s="27">
        <v>-335.68777627000003</v>
      </c>
      <c r="C13" s="27">
        <v>-421.23752242</v>
      </c>
    </row>
    <row r="14" spans="1:3" x14ac:dyDescent="0.25">
      <c r="A14" t="s">
        <v>1776</v>
      </c>
      <c r="B14" s="27">
        <v>-121.28221164999998</v>
      </c>
      <c r="C14" s="27">
        <v>167.52077815999991</v>
      </c>
    </row>
    <row r="15" spans="1:3" x14ac:dyDescent="0.25">
      <c r="A15" t="s">
        <v>1767</v>
      </c>
      <c r="B15" s="27">
        <v>-826.69613693261442</v>
      </c>
      <c r="C15" s="27">
        <v>-438.93545816323655</v>
      </c>
    </row>
    <row r="16" spans="1:3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22"/>
  <sheetViews>
    <sheetView zoomScale="80" zoomScaleNormal="80" workbookViewId="0">
      <selection activeCell="A75" sqref="A75"/>
    </sheetView>
  </sheetViews>
  <sheetFormatPr defaultRowHeight="15" x14ac:dyDescent="0.25"/>
  <cols>
    <col min="1" max="1" width="84" customWidth="1"/>
    <col min="2" max="2" width="15.7109375" style="32" customWidth="1"/>
    <col min="3" max="3" width="23.85546875" style="32" customWidth="1"/>
    <col min="4" max="4" width="15" style="15" customWidth="1"/>
    <col min="5" max="5" width="48" bestFit="1" customWidth="1"/>
    <col min="6" max="6" width="10.5703125" bestFit="1" customWidth="1"/>
    <col min="8" max="8" width="35.85546875" customWidth="1"/>
    <col min="9" max="9" width="9" style="32" customWidth="1"/>
    <col min="10" max="10" width="10.5703125" style="32" customWidth="1"/>
    <col min="12" max="12" width="36.140625" customWidth="1"/>
    <col min="13" max="13" width="10.28515625" customWidth="1"/>
    <col min="14" max="14" width="11" customWidth="1"/>
  </cols>
  <sheetData>
    <row r="2" spans="1:4" ht="10.5" customHeight="1" x14ac:dyDescent="0.25"/>
    <row r="3" spans="1:4" ht="28.5" customHeight="1" x14ac:dyDescent="0.25">
      <c r="A3" s="10" t="s">
        <v>1852</v>
      </c>
      <c r="B3" s="52" t="s">
        <v>1908</v>
      </c>
      <c r="C3" s="52" t="s">
        <v>1909</v>
      </c>
      <c r="D3" s="52" t="s">
        <v>1910</v>
      </c>
    </row>
    <row r="4" spans="1:4" ht="11.25" customHeight="1" x14ac:dyDescent="0.25">
      <c r="A4" s="12" t="s">
        <v>1771</v>
      </c>
      <c r="B4" s="28">
        <v>-65.534485890000028</v>
      </c>
      <c r="C4" s="28">
        <v>-44.165263999999993</v>
      </c>
      <c r="D4" s="28">
        <v>1208.693608</v>
      </c>
    </row>
    <row r="5" spans="1:4" ht="11.25" customHeight="1" x14ac:dyDescent="0.25">
      <c r="A5" s="13" t="s">
        <v>1797</v>
      </c>
      <c r="B5" s="28">
        <v>-3.0901016899999996</v>
      </c>
      <c r="C5" s="28">
        <v>-2.1238959999999998</v>
      </c>
      <c r="D5" s="28">
        <v>105.977735</v>
      </c>
    </row>
    <row r="6" spans="1:4" ht="11.25" customHeight="1" x14ac:dyDescent="0.25">
      <c r="A6" s="13" t="s">
        <v>184</v>
      </c>
      <c r="B6" s="28">
        <v>-16.088829240000003</v>
      </c>
      <c r="C6" s="28">
        <v>-15.428341</v>
      </c>
      <c r="D6" s="28">
        <v>116.83254700000001</v>
      </c>
    </row>
    <row r="7" spans="1:4" ht="11.25" customHeight="1" x14ac:dyDescent="0.25">
      <c r="A7" s="13" t="s">
        <v>1805</v>
      </c>
      <c r="B7" s="28">
        <v>-10.521304209999998</v>
      </c>
      <c r="C7" s="28">
        <v>-6.3869829999999999</v>
      </c>
      <c r="D7" s="28">
        <v>195.36410599999999</v>
      </c>
    </row>
    <row r="8" spans="1:4" ht="11.25" customHeight="1" x14ac:dyDescent="0.25">
      <c r="A8" s="13" t="s">
        <v>193</v>
      </c>
      <c r="B8" s="28">
        <v>-25.728394100000024</v>
      </c>
      <c r="C8" s="28">
        <v>-24.41432</v>
      </c>
      <c r="D8" s="28">
        <v>279.29356200000001</v>
      </c>
    </row>
    <row r="9" spans="1:4" ht="11.25" customHeight="1" x14ac:dyDescent="0.25">
      <c r="A9" s="13" t="s">
        <v>1806</v>
      </c>
      <c r="B9" s="28">
        <v>-11.494400819999999</v>
      </c>
      <c r="C9" s="28">
        <v>-4.9180989999999998</v>
      </c>
      <c r="D9" s="28">
        <v>307.505809</v>
      </c>
    </row>
    <row r="10" spans="1:4" ht="11.25" customHeight="1" x14ac:dyDescent="0.25">
      <c r="A10" s="13" t="s">
        <v>1894</v>
      </c>
      <c r="B10" s="28">
        <v>0.36790654000000012</v>
      </c>
      <c r="C10" s="28">
        <v>3.9554010000000002</v>
      </c>
      <c r="D10" s="28">
        <v>96.897818999999998</v>
      </c>
    </row>
    <row r="11" spans="1:4" ht="11.25" customHeight="1" x14ac:dyDescent="0.25">
      <c r="A11" s="13" t="s">
        <v>1895</v>
      </c>
      <c r="B11" s="28">
        <v>1.0206376299999997</v>
      </c>
      <c r="C11" s="28">
        <v>5.1509739999999997</v>
      </c>
      <c r="D11" s="28">
        <v>106.82203</v>
      </c>
    </row>
    <row r="12" spans="1:4" ht="11.25" customHeight="1" x14ac:dyDescent="0.25">
      <c r="A12" s="12" t="s">
        <v>1756</v>
      </c>
      <c r="B12" s="28">
        <v>-27.656546750315265</v>
      </c>
      <c r="C12" s="28">
        <v>-22.404033239999922</v>
      </c>
      <c r="D12" s="28">
        <v>911.70197063000023</v>
      </c>
    </row>
    <row r="13" spans="1:4" ht="11.25" customHeight="1" x14ac:dyDescent="0.25">
      <c r="A13" s="13" t="s">
        <v>271</v>
      </c>
      <c r="B13" s="28">
        <v>-6.5852741259017717</v>
      </c>
      <c r="C13" s="28">
        <v>-4.3407969299999474</v>
      </c>
      <c r="D13" s="28">
        <v>242.80630035000001</v>
      </c>
    </row>
    <row r="14" spans="1:4" ht="11.25" customHeight="1" x14ac:dyDescent="0.25">
      <c r="A14" s="13" t="s">
        <v>1834</v>
      </c>
      <c r="B14" s="28">
        <v>0</v>
      </c>
      <c r="C14" s="28">
        <v>0</v>
      </c>
      <c r="D14" s="28">
        <v>6.9702261600000002</v>
      </c>
    </row>
    <row r="15" spans="1:4" ht="12.75" customHeight="1" x14ac:dyDescent="0.25">
      <c r="A15" s="13" t="s">
        <v>1800</v>
      </c>
      <c r="B15" s="28">
        <v>-0.79892258441351893</v>
      </c>
      <c r="C15" s="28">
        <v>-0.82641419000000138</v>
      </c>
      <c r="D15" s="28">
        <v>7.4952658199999993</v>
      </c>
    </row>
    <row r="16" spans="1:4" ht="11.25" customHeight="1" x14ac:dyDescent="0.25">
      <c r="A16" s="13" t="s">
        <v>175</v>
      </c>
      <c r="B16" s="28">
        <v>-0.56769212999999996</v>
      </c>
      <c r="C16" s="28">
        <v>-0.33834199999999998</v>
      </c>
      <c r="D16" s="28">
        <v>29.605967</v>
      </c>
    </row>
    <row r="17" spans="1:10" ht="11.25" customHeight="1" x14ac:dyDescent="0.25">
      <c r="A17" s="13" t="s">
        <v>201</v>
      </c>
      <c r="B17" s="28">
        <v>0</v>
      </c>
      <c r="C17" s="28">
        <v>0</v>
      </c>
      <c r="D17" s="28">
        <v>2.6489999999999999E-3</v>
      </c>
    </row>
    <row r="18" spans="1:10" ht="11.25" customHeight="1" x14ac:dyDescent="0.25">
      <c r="A18" s="13" t="s">
        <v>202</v>
      </c>
      <c r="B18" s="28">
        <v>0</v>
      </c>
      <c r="C18" s="28">
        <v>3.2299999999999999E-4</v>
      </c>
      <c r="D18" s="28">
        <v>8.3275000000000002E-2</v>
      </c>
    </row>
    <row r="19" spans="1:10" ht="11.25" customHeight="1" x14ac:dyDescent="0.25">
      <c r="A19" s="13" t="s">
        <v>161</v>
      </c>
      <c r="B19" s="28">
        <v>0</v>
      </c>
      <c r="C19" s="28">
        <v>1.073E-3</v>
      </c>
      <c r="D19" s="28">
        <v>7.8464999999999993E-2</v>
      </c>
    </row>
    <row r="20" spans="1:10" ht="11.25" customHeight="1" x14ac:dyDescent="0.25">
      <c r="A20" s="13" t="s">
        <v>158</v>
      </c>
      <c r="B20" s="28">
        <v>0</v>
      </c>
      <c r="C20" s="28">
        <v>0</v>
      </c>
      <c r="D20" s="28">
        <v>2.3564000000000002E-2</v>
      </c>
      <c r="H20" s="36" t="s">
        <v>1848</v>
      </c>
      <c r="I20" s="37" t="s">
        <v>1841</v>
      </c>
      <c r="J20" s="37" t="s">
        <v>1818</v>
      </c>
    </row>
    <row r="21" spans="1:10" ht="11.25" customHeight="1" x14ac:dyDescent="0.25">
      <c r="A21" s="13" t="s">
        <v>228</v>
      </c>
      <c r="B21" s="28">
        <v>-4.047481480000001</v>
      </c>
      <c r="C21" s="28">
        <v>-3.2147709999999998</v>
      </c>
      <c r="D21" s="28">
        <v>86.278219000000007</v>
      </c>
      <c r="H21" s="12" t="s">
        <v>1844</v>
      </c>
      <c r="I21" s="32">
        <v>-176.18717991999983</v>
      </c>
      <c r="J21" s="32">
        <v>117.4358515</v>
      </c>
    </row>
    <row r="22" spans="1:10" ht="11.25" customHeight="1" x14ac:dyDescent="0.25">
      <c r="A22" s="13" t="s">
        <v>163</v>
      </c>
      <c r="B22" s="28">
        <v>-4.6289986200000008</v>
      </c>
      <c r="C22" s="28">
        <v>-3.8796740000000001</v>
      </c>
      <c r="D22" s="28">
        <v>87.573063000000005</v>
      </c>
      <c r="H22" s="12" t="s">
        <v>210</v>
      </c>
      <c r="I22" s="32">
        <v>-50.325315669999981</v>
      </c>
      <c r="J22" s="32">
        <v>-51.999433379999992</v>
      </c>
    </row>
    <row r="23" spans="1:10" ht="11.25" customHeight="1" x14ac:dyDescent="0.25">
      <c r="A23" s="13" t="s">
        <v>188</v>
      </c>
      <c r="B23" s="28">
        <v>-0.18858552999999972</v>
      </c>
      <c r="C23" s="28">
        <v>0.68201500000000004</v>
      </c>
      <c r="D23" s="28">
        <v>122.521317</v>
      </c>
      <c r="H23" s="12" t="s">
        <v>184</v>
      </c>
      <c r="I23" s="32">
        <v>-45.267893960000023</v>
      </c>
      <c r="J23" s="32">
        <v>-28.503755000000002</v>
      </c>
    </row>
    <row r="24" spans="1:10" ht="11.25" customHeight="1" x14ac:dyDescent="0.25">
      <c r="A24" s="13" t="s">
        <v>183</v>
      </c>
      <c r="B24" s="28">
        <v>-0.52380644999999981</v>
      </c>
      <c r="C24" s="28">
        <v>-0.28632200000000002</v>
      </c>
      <c r="D24" s="28">
        <v>27.311191999999998</v>
      </c>
      <c r="H24" s="12" t="s">
        <v>1751</v>
      </c>
      <c r="I24" s="32">
        <v>10.325450860000009</v>
      </c>
      <c r="J24" s="32">
        <v>212.69367500000001</v>
      </c>
    </row>
    <row r="25" spans="1:10" ht="11.25" customHeight="1" x14ac:dyDescent="0.25">
      <c r="A25" s="13" t="s">
        <v>179</v>
      </c>
      <c r="B25" s="28">
        <v>-0.66876387000000015</v>
      </c>
      <c r="C25" s="28">
        <v>-0.65925999999999996</v>
      </c>
      <c r="D25" s="28">
        <v>12.030735999999999</v>
      </c>
      <c r="H25" s="12" t="s">
        <v>1846</v>
      </c>
      <c r="I25" s="32">
        <v>13.817207068041839</v>
      </c>
      <c r="J25" s="32">
        <v>21.290271579999985</v>
      </c>
    </row>
    <row r="26" spans="1:10" ht="11.25" customHeight="1" x14ac:dyDescent="0.25">
      <c r="A26" s="13" t="s">
        <v>180</v>
      </c>
      <c r="B26" s="28">
        <v>-0.67315084999999997</v>
      </c>
      <c r="C26" s="28">
        <v>-0.61331500000000005</v>
      </c>
      <c r="D26" s="28">
        <v>15.554245</v>
      </c>
      <c r="H26" s="12" t="s">
        <v>1806</v>
      </c>
      <c r="I26" s="32">
        <v>17.180495970000003</v>
      </c>
      <c r="J26" s="32">
        <v>26.976358999999999</v>
      </c>
    </row>
    <row r="27" spans="1:10" ht="11.25" customHeight="1" x14ac:dyDescent="0.25">
      <c r="A27" s="13" t="s">
        <v>192</v>
      </c>
      <c r="B27" s="28">
        <v>0</v>
      </c>
      <c r="C27" s="28">
        <v>0</v>
      </c>
      <c r="D27" s="28">
        <v>0</v>
      </c>
      <c r="H27" s="12" t="s">
        <v>1845</v>
      </c>
      <c r="I27" s="32">
        <v>41.471598764558749</v>
      </c>
      <c r="J27" s="32">
        <v>39.459761950000015</v>
      </c>
    </row>
    <row r="28" spans="1:10" ht="11.25" customHeight="1" x14ac:dyDescent="0.25">
      <c r="A28" s="13" t="s">
        <v>165</v>
      </c>
      <c r="B28" s="28">
        <v>0</v>
      </c>
      <c r="C28" s="28">
        <v>0</v>
      </c>
      <c r="D28" s="28">
        <v>0</v>
      </c>
      <c r="H28" s="12" t="s">
        <v>1842</v>
      </c>
      <c r="I28" s="32">
        <v>43.818986010000003</v>
      </c>
      <c r="J28" s="32">
        <v>44.247377979999996</v>
      </c>
    </row>
    <row r="29" spans="1:10" ht="11.25" customHeight="1" x14ac:dyDescent="0.25">
      <c r="A29" s="13" t="s">
        <v>169</v>
      </c>
      <c r="B29" s="28">
        <v>-0.35063567999999989</v>
      </c>
      <c r="C29" s="28">
        <v>-0.30473</v>
      </c>
      <c r="D29" s="28">
        <v>7.6160690000000004</v>
      </c>
      <c r="H29" s="31" t="s">
        <v>1843</v>
      </c>
      <c r="I29" s="33">
        <v>104.94957015</v>
      </c>
      <c r="J29" s="33">
        <v>98.074560539999993</v>
      </c>
    </row>
    <row r="30" spans="1:10" ht="11.25" customHeight="1" x14ac:dyDescent="0.25">
      <c r="A30" s="13" t="s">
        <v>174</v>
      </c>
      <c r="B30" s="28">
        <v>-1.3791577200000009</v>
      </c>
      <c r="C30" s="28">
        <v>-1.3804369999999999</v>
      </c>
      <c r="D30" s="28">
        <v>72.484395000000006</v>
      </c>
      <c r="H30" s="31" t="s">
        <v>184</v>
      </c>
      <c r="I30" s="33">
        <v>-45.267893960000023</v>
      </c>
      <c r="J30" s="33">
        <v>-28.503755000000002</v>
      </c>
    </row>
    <row r="31" spans="1:10" ht="11.25" customHeight="1" x14ac:dyDescent="0.25">
      <c r="A31" s="13" t="s">
        <v>167</v>
      </c>
      <c r="B31" s="28">
        <v>-0.18290858999999995</v>
      </c>
      <c r="C31" s="28">
        <v>-0.18221300000000001</v>
      </c>
      <c r="D31" s="28">
        <v>1.067361</v>
      </c>
      <c r="H31" t="s">
        <v>193</v>
      </c>
      <c r="I31" s="32">
        <v>-145.1712943600001</v>
      </c>
      <c r="J31" s="32">
        <v>-109.329283</v>
      </c>
    </row>
    <row r="32" spans="1:10" ht="11.25" customHeight="1" x14ac:dyDescent="0.25">
      <c r="A32" s="13" t="s">
        <v>1886</v>
      </c>
      <c r="B32" s="28">
        <v>-7.0611691199999749</v>
      </c>
      <c r="C32" s="28">
        <v>-7.0611691199999749</v>
      </c>
      <c r="D32" s="28">
        <v>192.1996613</v>
      </c>
      <c r="H32" t="s">
        <v>225</v>
      </c>
      <c r="I32" s="32">
        <v>-78.218517750000018</v>
      </c>
      <c r="J32" s="32">
        <v>-75.150979000000007</v>
      </c>
    </row>
    <row r="33" spans="1:10" ht="11.25" customHeight="1" x14ac:dyDescent="0.25">
      <c r="A33" s="13" t="s">
        <v>1900</v>
      </c>
      <c r="B33" s="28"/>
      <c r="C33" s="28"/>
      <c r="D33" s="28"/>
      <c r="H33" s="12" t="s">
        <v>1847</v>
      </c>
      <c r="I33" s="32">
        <v>325.57582057000002</v>
      </c>
      <c r="J33" s="32">
        <v>325.57582057000002</v>
      </c>
    </row>
    <row r="34" spans="1:10" ht="11.25" customHeight="1" x14ac:dyDescent="0.25">
      <c r="A34" s="12" t="s">
        <v>1775</v>
      </c>
      <c r="B34" s="28">
        <v>-50.769912783006127</v>
      </c>
      <c r="C34" s="28">
        <v>82.653837366993855</v>
      </c>
      <c r="D34" s="28">
        <v>3340.6784773126383</v>
      </c>
      <c r="H34" t="s">
        <v>224</v>
      </c>
      <c r="I34" s="32">
        <v>-155.45426297000009</v>
      </c>
      <c r="J34" s="32">
        <v>-174.27421200000001</v>
      </c>
    </row>
    <row r="35" spans="1:10" ht="11.25" customHeight="1" x14ac:dyDescent="0.25">
      <c r="A35" s="13" t="s">
        <v>1827</v>
      </c>
      <c r="B35" s="28">
        <v>-7.4993419999999977E-2</v>
      </c>
      <c r="C35" s="28">
        <v>-3.400871</v>
      </c>
      <c r="D35" s="28">
        <v>46.360523000000001</v>
      </c>
      <c r="H35" s="34" t="s">
        <v>1767</v>
      </c>
      <c r="I35" s="35">
        <f>SUM(I21:I34)</f>
        <v>-138.75322919739941</v>
      </c>
      <c r="J35" s="35">
        <f>SUM(J21:J34)</f>
        <v>417.99226074000001</v>
      </c>
    </row>
    <row r="36" spans="1:10" ht="11.25" customHeight="1" x14ac:dyDescent="0.25">
      <c r="A36" s="13" t="s">
        <v>212</v>
      </c>
      <c r="B36" s="28">
        <v>-0.44665158000000016</v>
      </c>
      <c r="C36" s="28">
        <v>-3.603626860000007</v>
      </c>
      <c r="D36" s="28">
        <v>53.160977919999993</v>
      </c>
    </row>
    <row r="37" spans="1:10" ht="11.25" customHeight="1" x14ac:dyDescent="0.25">
      <c r="A37" s="13" t="s">
        <v>1825</v>
      </c>
      <c r="B37" s="28">
        <v>-32.352755369999997</v>
      </c>
      <c r="C37" s="28">
        <v>23.919048</v>
      </c>
      <c r="D37" s="28">
        <v>1901.251614</v>
      </c>
    </row>
    <row r="38" spans="1:10" ht="11.25" customHeight="1" x14ac:dyDescent="0.25">
      <c r="A38" s="13" t="s">
        <v>1826</v>
      </c>
      <c r="B38" s="28">
        <v>1.0081118999999952</v>
      </c>
      <c r="C38" s="28">
        <v>79.886841000000004</v>
      </c>
      <c r="D38" s="28">
        <v>1100.0064890000001</v>
      </c>
    </row>
    <row r="39" spans="1:10" ht="14.25" customHeight="1" x14ac:dyDescent="0.25">
      <c r="A39" s="13" t="s">
        <v>1828</v>
      </c>
      <c r="B39" s="28">
        <v>-4.4291905399999969</v>
      </c>
      <c r="C39" s="28">
        <v>0.32688</v>
      </c>
      <c r="D39" s="28">
        <v>173.79290399999999</v>
      </c>
    </row>
    <row r="40" spans="1:10" x14ac:dyDescent="0.25">
      <c r="A40" s="13" t="s">
        <v>1857</v>
      </c>
      <c r="B40" s="28">
        <v>-14.474433773006133</v>
      </c>
      <c r="C40" s="28">
        <v>-14.474433773006133</v>
      </c>
      <c r="D40" s="28">
        <v>66.105969392638031</v>
      </c>
    </row>
    <row r="41" spans="1:10" x14ac:dyDescent="0.25">
      <c r="A41" s="12" t="s">
        <v>1768</v>
      </c>
      <c r="B41" s="28">
        <v>-156.95287741999999</v>
      </c>
      <c r="C41" s="28">
        <v>-152.76365010023028</v>
      </c>
      <c r="D41" s="28">
        <v>1593.8429170992035</v>
      </c>
    </row>
    <row r="42" spans="1:10" ht="11.25" customHeight="1" x14ac:dyDescent="0.25">
      <c r="A42" s="13" t="s">
        <v>258</v>
      </c>
      <c r="B42" s="28">
        <v>0</v>
      </c>
      <c r="C42" s="28">
        <v>3.4298218397697209</v>
      </c>
      <c r="D42" s="28">
        <v>169.20099427920363</v>
      </c>
    </row>
    <row r="43" spans="1:10" ht="11.25" customHeight="1" x14ac:dyDescent="0.25">
      <c r="A43" s="13" t="s">
        <v>164</v>
      </c>
      <c r="B43" s="28">
        <v>-0.91659171999999978</v>
      </c>
      <c r="C43" s="28">
        <v>-0.81194699999999997</v>
      </c>
      <c r="D43" s="28">
        <v>24.819921999999998</v>
      </c>
    </row>
    <row r="44" spans="1:10" x14ac:dyDescent="0.25">
      <c r="A44" s="13" t="s">
        <v>208</v>
      </c>
      <c r="B44" s="28">
        <v>-26.306785200000004</v>
      </c>
      <c r="C44" s="28">
        <v>-35.454871939999997</v>
      </c>
      <c r="D44" s="28">
        <v>198.75920182000002</v>
      </c>
    </row>
    <row r="45" spans="1:10" ht="11.25" customHeight="1" x14ac:dyDescent="0.25">
      <c r="A45" s="13" t="s">
        <v>168</v>
      </c>
      <c r="B45" s="28">
        <v>-0.37310855999999992</v>
      </c>
      <c r="C45" s="28">
        <v>-0.29906899999999997</v>
      </c>
      <c r="D45" s="28">
        <v>33.652386</v>
      </c>
    </row>
    <row r="46" spans="1:10" ht="11.25" customHeight="1" x14ac:dyDescent="0.25">
      <c r="A46" s="13" t="s">
        <v>162</v>
      </c>
      <c r="B46" s="28">
        <v>-0.64437375999999991</v>
      </c>
      <c r="C46" s="28">
        <v>-0.616815</v>
      </c>
      <c r="D46" s="28">
        <v>12.28045</v>
      </c>
      <c r="H46">
        <v>1997</v>
      </c>
      <c r="I46" s="32">
        <v>2022</v>
      </c>
      <c r="J46" s="32">
        <f>I46-H46</f>
        <v>25</v>
      </c>
    </row>
    <row r="47" spans="1:10" ht="11.25" customHeight="1" x14ac:dyDescent="0.25">
      <c r="A47" s="13" t="s">
        <v>223</v>
      </c>
      <c r="B47" s="28">
        <v>-1.6527143599999989</v>
      </c>
      <c r="C47" s="28">
        <v>-1.4651460000000001</v>
      </c>
      <c r="D47" s="28">
        <v>23.044547999999999</v>
      </c>
    </row>
    <row r="48" spans="1:10" ht="11.25" customHeight="1" x14ac:dyDescent="0.25">
      <c r="A48" s="13" t="s">
        <v>219</v>
      </c>
      <c r="B48" s="28">
        <v>-17.940993880000018</v>
      </c>
      <c r="C48" s="28">
        <v>-16.022860999999999</v>
      </c>
      <c r="D48" s="28">
        <v>234.65801400000001</v>
      </c>
      <c r="J48" s="32">
        <v>55</v>
      </c>
    </row>
    <row r="49" spans="1:7" ht="11.25" customHeight="1" x14ac:dyDescent="0.25">
      <c r="A49" s="13" t="s">
        <v>200</v>
      </c>
      <c r="B49" s="28">
        <v>-1.6815717899999993</v>
      </c>
      <c r="C49" s="28">
        <v>-1.488772</v>
      </c>
      <c r="D49" s="28">
        <v>17.723614999999999</v>
      </c>
    </row>
    <row r="50" spans="1:7" ht="11.25" customHeight="1" x14ac:dyDescent="0.25">
      <c r="A50" s="13" t="s">
        <v>220</v>
      </c>
      <c r="B50" s="28">
        <v>-40.659051159999983</v>
      </c>
      <c r="C50" s="28">
        <v>-37.621934000000003</v>
      </c>
      <c r="D50" s="28">
        <v>328.85118399999999</v>
      </c>
    </row>
    <row r="51" spans="1:7" ht="11.25" customHeight="1" x14ac:dyDescent="0.25">
      <c r="A51" s="13" t="s">
        <v>166</v>
      </c>
      <c r="B51" s="28">
        <v>-66.777686989999992</v>
      </c>
      <c r="C51" s="28">
        <v>-62.412056</v>
      </c>
      <c r="D51" s="28">
        <v>550.85260200000005</v>
      </c>
    </row>
    <row r="52" spans="1:7" ht="11.25" customHeight="1" x14ac:dyDescent="0.25">
      <c r="A52" s="12" t="s">
        <v>1769</v>
      </c>
      <c r="B52" s="28">
        <v>13.146587073936379</v>
      </c>
      <c r="C52" s="28">
        <v>32.430628780000006</v>
      </c>
      <c r="D52" s="28">
        <v>633.43393758000002</v>
      </c>
    </row>
    <row r="53" spans="1:7" ht="12" customHeight="1" x14ac:dyDescent="0.25">
      <c r="A53" s="13" t="s">
        <v>209</v>
      </c>
      <c r="B53" s="28">
        <v>-1.1998127503379725</v>
      </c>
      <c r="C53" s="28">
        <v>-1.8619050799999981</v>
      </c>
      <c r="D53" s="28">
        <v>83.82320390000001</v>
      </c>
    </row>
    <row r="54" spans="1:7" ht="12" customHeight="1" x14ac:dyDescent="0.25">
      <c r="A54" s="13" t="s">
        <v>1835</v>
      </c>
      <c r="B54" s="28">
        <v>0</v>
      </c>
      <c r="C54" s="28">
        <v>0</v>
      </c>
      <c r="D54" s="28">
        <v>3.9275610899999998</v>
      </c>
    </row>
    <row r="55" spans="1:7" ht="12" customHeight="1" x14ac:dyDescent="0.25">
      <c r="A55" s="13" t="s">
        <v>1798</v>
      </c>
      <c r="B55" s="28">
        <v>-1.656568065725647</v>
      </c>
      <c r="C55" s="28">
        <v>1.6449617400000021</v>
      </c>
      <c r="D55" s="28">
        <v>58.236487470000007</v>
      </c>
    </row>
    <row r="56" spans="1:7" ht="12" customHeight="1" x14ac:dyDescent="0.25">
      <c r="A56" s="13" t="s">
        <v>176</v>
      </c>
      <c r="B56" s="28">
        <v>-8.0966316200000019</v>
      </c>
      <c r="C56" s="28">
        <v>9.4599969999999995</v>
      </c>
      <c r="D56" s="28">
        <v>286.17241000000001</v>
      </c>
    </row>
    <row r="57" spans="1:7" ht="12" customHeight="1" x14ac:dyDescent="0.25">
      <c r="A57" s="13" t="s">
        <v>207</v>
      </c>
      <c r="B57" s="28">
        <v>-0.44445929000000006</v>
      </c>
      <c r="C57" s="28">
        <v>1.4288E-2</v>
      </c>
      <c r="D57" s="28">
        <v>20.379176000000001</v>
      </c>
    </row>
    <row r="58" spans="1:7" ht="11.25" customHeight="1" x14ac:dyDescent="0.25">
      <c r="A58" s="13" t="s">
        <v>214</v>
      </c>
      <c r="B58" s="28">
        <v>-1.9473099999999993E-2</v>
      </c>
      <c r="C58" s="28">
        <v>3.2878999999999999E-2</v>
      </c>
      <c r="D58" s="28">
        <v>1.2590710000000001</v>
      </c>
    </row>
    <row r="59" spans="1:7" ht="11.25" customHeight="1" x14ac:dyDescent="0.25">
      <c r="A59" s="13" t="s">
        <v>159</v>
      </c>
      <c r="B59" s="28">
        <v>0</v>
      </c>
      <c r="C59" s="28">
        <v>0</v>
      </c>
      <c r="D59" s="28">
        <v>3.3771000000000002E-2</v>
      </c>
      <c r="E59" s="15"/>
      <c r="F59" s="15"/>
      <c r="G59" s="29"/>
    </row>
    <row r="60" spans="1:7" ht="11.25" customHeight="1" x14ac:dyDescent="0.25">
      <c r="A60" s="13" t="s">
        <v>1888</v>
      </c>
      <c r="B60" s="28">
        <v>-3.4928270000000018E-2</v>
      </c>
      <c r="C60" s="28">
        <v>7.7644000000000005E-2</v>
      </c>
      <c r="D60" s="28">
        <v>3.9914540000000001</v>
      </c>
    </row>
    <row r="61" spans="1:7" ht="11.25" customHeight="1" x14ac:dyDescent="0.25">
      <c r="A61" s="13" t="s">
        <v>181</v>
      </c>
      <c r="B61" s="28">
        <v>-0.90587480999999992</v>
      </c>
      <c r="C61" s="28">
        <v>-0.95003899999999997</v>
      </c>
      <c r="D61" s="28">
        <v>18.063936999999999</v>
      </c>
    </row>
    <row r="62" spans="1:7" ht="11.25" customHeight="1" x14ac:dyDescent="0.25">
      <c r="A62" s="13" t="s">
        <v>226</v>
      </c>
      <c r="B62" s="28">
        <v>0</v>
      </c>
      <c r="C62" s="28">
        <v>0</v>
      </c>
      <c r="D62" s="28">
        <v>0</v>
      </c>
    </row>
    <row r="63" spans="1:7" ht="11.25" customHeight="1" x14ac:dyDescent="0.25">
      <c r="A63" s="13" t="s">
        <v>173</v>
      </c>
      <c r="B63" s="28">
        <v>-2.4464384199999989</v>
      </c>
      <c r="C63" s="28">
        <v>-3.9464709999999998</v>
      </c>
      <c r="D63" s="28">
        <v>128.78750199999999</v>
      </c>
    </row>
    <row r="64" spans="1:7" ht="11.25" customHeight="1" x14ac:dyDescent="0.25">
      <c r="A64" s="13" t="s">
        <v>206</v>
      </c>
      <c r="B64" s="28">
        <v>-6.8171000000000008E-4</v>
      </c>
      <c r="C64" s="28">
        <v>4.1349999999999998E-3</v>
      </c>
      <c r="D64" s="28">
        <v>0.411051</v>
      </c>
    </row>
    <row r="65" spans="1:14" ht="11.25" customHeight="1" x14ac:dyDescent="0.25">
      <c r="A65" s="13" t="s">
        <v>205</v>
      </c>
      <c r="B65" s="28">
        <v>-1.3230099999999997E-3</v>
      </c>
      <c r="C65" s="28">
        <v>2.3609999999999998E-3</v>
      </c>
      <c r="D65" s="28">
        <v>0.39553500000000003</v>
      </c>
    </row>
    <row r="66" spans="1:14" ht="11.25" customHeight="1" x14ac:dyDescent="0.25">
      <c r="A66" s="13" t="s">
        <v>1902</v>
      </c>
      <c r="B66" s="28"/>
      <c r="C66" s="28"/>
      <c r="D66" s="28"/>
    </row>
    <row r="67" spans="1:14" ht="11.25" customHeight="1" x14ac:dyDescent="0.25">
      <c r="A67" s="13" t="s">
        <v>1949</v>
      </c>
      <c r="B67" s="28">
        <v>27.952778120000001</v>
      </c>
      <c r="C67" s="28">
        <v>27.952778120000001</v>
      </c>
      <c r="D67" s="28">
        <v>27.952778120000001</v>
      </c>
      <c r="H67" s="47" t="s">
        <v>1852</v>
      </c>
      <c r="I67" s="48" t="s">
        <v>1851</v>
      </c>
      <c r="J67" s="48" t="s">
        <v>1854</v>
      </c>
      <c r="L67" s="51" t="s">
        <v>1852</v>
      </c>
      <c r="M67" s="48" t="s">
        <v>1851</v>
      </c>
      <c r="N67" s="48" t="s">
        <v>1854</v>
      </c>
    </row>
    <row r="68" spans="1:14" ht="11.25" customHeight="1" x14ac:dyDescent="0.25">
      <c r="A68" s="12" t="s">
        <v>1755</v>
      </c>
      <c r="B68" s="28">
        <v>-65.355696240000015</v>
      </c>
      <c r="C68" s="28">
        <v>-73.696820080000037</v>
      </c>
      <c r="D68" s="28">
        <v>921.7859934999999</v>
      </c>
      <c r="H68" s="43" t="s">
        <v>1768</v>
      </c>
      <c r="I68" s="44">
        <f>SUM(I69:I73)</f>
        <v>-91.900916149999972</v>
      </c>
      <c r="J68" s="44">
        <f>SUM(J69:J73)</f>
        <v>-100.71295599999999</v>
      </c>
      <c r="L68" s="43" t="s">
        <v>1768</v>
      </c>
      <c r="M68" s="44">
        <f>SUM(M69:M73)</f>
        <v>-56.907446949999979</v>
      </c>
      <c r="N68" s="44">
        <f>SUM(N69:N73)</f>
        <v>-22.313614999999999</v>
      </c>
    </row>
    <row r="69" spans="1:14" ht="11.25" customHeight="1" x14ac:dyDescent="0.25">
      <c r="A69" s="13" t="s">
        <v>1791</v>
      </c>
      <c r="B69" s="28">
        <v>-4.8674646900000011</v>
      </c>
      <c r="C69" s="28">
        <v>-1.3859767000000178</v>
      </c>
      <c r="D69" s="28">
        <v>136.42863849</v>
      </c>
      <c r="H69" s="45" t="s">
        <v>223</v>
      </c>
      <c r="I69" s="46">
        <v>-5.4972224100000009</v>
      </c>
      <c r="J69" s="46">
        <v>-6.9919779999999996</v>
      </c>
      <c r="L69" s="45" t="s">
        <v>223</v>
      </c>
      <c r="M69" s="46">
        <v>-3.0360826799999985</v>
      </c>
      <c r="N69" s="46">
        <v>-4.7620269999999998</v>
      </c>
    </row>
    <row r="70" spans="1:14" ht="11.25" customHeight="1" x14ac:dyDescent="0.25">
      <c r="A70" s="13" t="s">
        <v>1758</v>
      </c>
      <c r="B70" s="28">
        <v>0</v>
      </c>
      <c r="C70" s="28">
        <v>-0.34146286000000126</v>
      </c>
      <c r="D70" s="28">
        <v>9.4422888699999987</v>
      </c>
      <c r="H70" s="45" t="s">
        <v>219</v>
      </c>
      <c r="I70" s="46">
        <v>-11.251755760000002</v>
      </c>
      <c r="J70" s="46">
        <v>-12.930476000000001</v>
      </c>
      <c r="L70" s="45" t="s">
        <v>219</v>
      </c>
      <c r="M70" s="46">
        <v>-5.4439499100000042</v>
      </c>
      <c r="N70" s="46">
        <v>-3.1342210000000001</v>
      </c>
    </row>
    <row r="71" spans="1:14" ht="11.25" customHeight="1" x14ac:dyDescent="0.25">
      <c r="A71" s="13" t="s">
        <v>1759</v>
      </c>
      <c r="B71" s="28">
        <v>0</v>
      </c>
      <c r="C71" s="28">
        <v>-0.55595297999999993</v>
      </c>
      <c r="D71" s="28">
        <v>3.3454354500000001</v>
      </c>
      <c r="H71" s="45" t="s">
        <v>200</v>
      </c>
      <c r="I71" s="46">
        <v>-5.935457479999994</v>
      </c>
      <c r="J71" s="46">
        <v>-6.9071749999999996</v>
      </c>
      <c r="L71" s="45" t="s">
        <v>200</v>
      </c>
      <c r="M71" s="46">
        <v>-4.3881462799999964</v>
      </c>
      <c r="N71" s="46">
        <v>-4.4252909999999996</v>
      </c>
    </row>
    <row r="72" spans="1:14" ht="11.25" customHeight="1" x14ac:dyDescent="0.25">
      <c r="A72" s="13" t="s">
        <v>256</v>
      </c>
      <c r="B72" s="28">
        <v>0</v>
      </c>
      <c r="C72" s="28">
        <v>-1.7370527900000001</v>
      </c>
      <c r="D72" s="28">
        <v>5.2313798499999997</v>
      </c>
      <c r="H72" s="45" t="s">
        <v>220</v>
      </c>
      <c r="I72" s="46">
        <v>-17.398139220000015</v>
      </c>
      <c r="J72" s="46">
        <v>-18.295400999999998</v>
      </c>
      <c r="L72" s="45" t="s">
        <v>220</v>
      </c>
      <c r="M72" s="46">
        <v>-8.6183647300000104</v>
      </c>
      <c r="N72" s="46">
        <v>10.114461</v>
      </c>
    </row>
    <row r="73" spans="1:14" ht="11.25" customHeight="1" x14ac:dyDescent="0.25">
      <c r="A73" s="13" t="s">
        <v>189</v>
      </c>
      <c r="B73" s="28">
        <v>-6.1385868300000004</v>
      </c>
      <c r="C73" s="28">
        <v>-15.268212409999997</v>
      </c>
      <c r="D73" s="28">
        <v>59.556669140000004</v>
      </c>
      <c r="H73" s="45" t="s">
        <v>166</v>
      </c>
      <c r="I73" s="46">
        <v>-51.818341279999956</v>
      </c>
      <c r="J73" s="46">
        <v>-55.587926000000003</v>
      </c>
      <c r="L73" s="45" t="s">
        <v>166</v>
      </c>
      <c r="M73" s="46">
        <v>-35.420903349999975</v>
      </c>
      <c r="N73" s="46">
        <v>-20.106536999999999</v>
      </c>
    </row>
    <row r="74" spans="1:14" ht="11.25" customHeight="1" x14ac:dyDescent="0.25">
      <c r="A74" s="13" t="s">
        <v>225</v>
      </c>
      <c r="B74" s="28">
        <v>-15.24702263</v>
      </c>
      <c r="C74" s="28">
        <v>-15.083515999999999</v>
      </c>
      <c r="D74" s="28">
        <v>215.40694099999999</v>
      </c>
      <c r="H74" s="43" t="s">
        <v>1755</v>
      </c>
      <c r="I74" s="44">
        <f>SUM(I75:I78)</f>
        <v>-224.25022035999999</v>
      </c>
      <c r="J74" s="44">
        <f>SUM(J75:J78)</f>
        <v>-263.15804831000003</v>
      </c>
      <c r="L74" s="43" t="s">
        <v>1755</v>
      </c>
      <c r="M74" s="44">
        <f>SUM(M75:M78)</f>
        <v>-161.78978101000001</v>
      </c>
      <c r="N74" s="44">
        <f>SUM(N75:N78)</f>
        <v>-211.38995497999997</v>
      </c>
    </row>
    <row r="75" spans="1:14" ht="11.25" customHeight="1" x14ac:dyDescent="0.25">
      <c r="A75" s="13" t="s">
        <v>224</v>
      </c>
      <c r="B75" s="28">
        <v>-14.572498070000004</v>
      </c>
      <c r="C75" s="28">
        <v>-15.027385000000001</v>
      </c>
      <c r="D75" s="28">
        <v>154.99134000000001</v>
      </c>
      <c r="H75" s="45" t="s">
        <v>225</v>
      </c>
      <c r="I75" s="46">
        <v>-36.314371439999981</v>
      </c>
      <c r="J75" s="46">
        <v>-44.721212000000001</v>
      </c>
      <c r="L75" s="45" t="s">
        <v>225</v>
      </c>
      <c r="M75" s="46">
        <v>-26.112645920000016</v>
      </c>
      <c r="N75" s="46">
        <v>-35.511462999999999</v>
      </c>
    </row>
    <row r="76" spans="1:14" ht="11.25" customHeight="1" x14ac:dyDescent="0.25">
      <c r="A76" s="13" t="s">
        <v>221</v>
      </c>
      <c r="B76" s="28">
        <v>-24.530124020000017</v>
      </c>
      <c r="C76" s="28">
        <v>-24.317919</v>
      </c>
      <c r="D76" s="28">
        <v>239.23803599999999</v>
      </c>
      <c r="H76" s="45" t="s">
        <v>224</v>
      </c>
      <c r="I76" s="46">
        <v>-78.463880470000021</v>
      </c>
      <c r="J76" s="46">
        <v>-97.809182000000007</v>
      </c>
      <c r="L76" s="45" t="s">
        <v>224</v>
      </c>
      <c r="M76" s="46">
        <v>-54.229809260000032</v>
      </c>
      <c r="N76" s="46">
        <v>-76.649979000000002</v>
      </c>
    </row>
    <row r="77" spans="1:14" ht="11.25" customHeight="1" x14ac:dyDescent="0.25">
      <c r="A77" s="13" t="s">
        <v>1942</v>
      </c>
      <c r="B77" s="28">
        <v>0</v>
      </c>
      <c r="C77" s="28">
        <v>2.0657659999981523E-2</v>
      </c>
      <c r="D77" s="28">
        <v>98.145264699999984</v>
      </c>
      <c r="H77" s="45" t="s">
        <v>210</v>
      </c>
      <c r="I77" s="46">
        <v>-26.976997820000001</v>
      </c>
      <c r="J77" s="46">
        <v>-27.307313310000001</v>
      </c>
      <c r="L77" s="45" t="s">
        <v>210</v>
      </c>
      <c r="M77" s="46">
        <v>-28.449560279999996</v>
      </c>
      <c r="N77" s="46">
        <v>-31.34512297999996</v>
      </c>
    </row>
    <row r="78" spans="1:14" ht="11.25" customHeight="1" x14ac:dyDescent="0.25">
      <c r="A78" s="12" t="s">
        <v>1770</v>
      </c>
      <c r="B78" s="28">
        <v>-13.538442973229358</v>
      </c>
      <c r="C78" s="28">
        <v>-4.2686185400000509</v>
      </c>
      <c r="D78" s="28">
        <v>616.85594656999979</v>
      </c>
      <c r="H78" s="45" t="s">
        <v>221</v>
      </c>
      <c r="I78" s="46">
        <v>-82.494970629999983</v>
      </c>
      <c r="J78" s="46">
        <v>-93.320340999999999</v>
      </c>
      <c r="L78" s="45" t="s">
        <v>221</v>
      </c>
      <c r="M78" s="46">
        <v>-52.997765549999983</v>
      </c>
      <c r="N78" s="46">
        <v>-67.883390000000006</v>
      </c>
    </row>
    <row r="79" spans="1:14" x14ac:dyDescent="0.25">
      <c r="A79" s="13" t="s">
        <v>270</v>
      </c>
      <c r="B79" s="28">
        <v>-4.4015434198297569</v>
      </c>
      <c r="C79" s="28">
        <v>0.85909411999994512</v>
      </c>
      <c r="D79" s="28">
        <v>324.00943785999993</v>
      </c>
      <c r="H79" s="43" t="s">
        <v>1773</v>
      </c>
      <c r="I79" s="44">
        <f>SUM(I80:I87)</f>
        <v>408.51323551000019</v>
      </c>
      <c r="J79" s="44">
        <f>SUM(J80:J87)</f>
        <v>442.01249906000004</v>
      </c>
      <c r="L79" s="43" t="s">
        <v>1773</v>
      </c>
      <c r="M79" s="44">
        <f>SUM(M80:M88)</f>
        <v>638.48742583000001</v>
      </c>
      <c r="N79" s="44">
        <f>SUM(N80:N88)</f>
        <v>699.49960591000001</v>
      </c>
    </row>
    <row r="80" spans="1:14" ht="11.25" customHeight="1" x14ac:dyDescent="0.25">
      <c r="A80" s="13" t="s">
        <v>1799</v>
      </c>
      <c r="B80" s="28">
        <v>-5.4248355633996006</v>
      </c>
      <c r="C80" s="28">
        <v>-2.4887236599999962</v>
      </c>
      <c r="D80" s="28">
        <v>121.44878271</v>
      </c>
      <c r="H80" s="45" t="s">
        <v>1870</v>
      </c>
      <c r="I80" s="46">
        <v>-41.104726169999999</v>
      </c>
      <c r="J80" s="46">
        <v>-39.15883994</v>
      </c>
      <c r="L80" s="45" t="s">
        <v>1870</v>
      </c>
      <c r="M80" s="46">
        <v>-25.654944519999983</v>
      </c>
      <c r="N80" s="46">
        <v>-17.750439079999982</v>
      </c>
    </row>
    <row r="81" spans="1:14" ht="11.25" customHeight="1" x14ac:dyDescent="0.25">
      <c r="A81" s="13" t="s">
        <v>178</v>
      </c>
      <c r="B81" s="28">
        <v>-0.91588527000000008</v>
      </c>
      <c r="C81" s="28">
        <v>-4.2335999999999999E-2</v>
      </c>
      <c r="D81" s="28">
        <v>44.621308999999997</v>
      </c>
      <c r="H81" s="45" t="s">
        <v>1871</v>
      </c>
      <c r="I81" s="46">
        <v>-36.189319209999987</v>
      </c>
      <c r="J81" s="46">
        <v>-34.637218360000013</v>
      </c>
      <c r="L81" s="45" t="s">
        <v>1871</v>
      </c>
      <c r="M81" s="46">
        <v>-22.528424600000001</v>
      </c>
      <c r="N81" s="46">
        <v>-17.199873139999987</v>
      </c>
    </row>
    <row r="82" spans="1:14" ht="11.25" customHeight="1" x14ac:dyDescent="0.25">
      <c r="A82" s="13" t="s">
        <v>199</v>
      </c>
      <c r="B82" s="28">
        <v>0</v>
      </c>
      <c r="C82" s="28">
        <v>5.45E-3</v>
      </c>
      <c r="D82" s="28">
        <v>0.22134799999999999</v>
      </c>
      <c r="H82" s="45" t="s">
        <v>1872</v>
      </c>
      <c r="I82" s="46">
        <v>-46.231503379999985</v>
      </c>
      <c r="J82" s="46">
        <v>-44.761276659999965</v>
      </c>
      <c r="L82" s="45" t="s">
        <v>1872</v>
      </c>
      <c r="M82" s="46">
        <v>-65.487689640000028</v>
      </c>
      <c r="N82" s="46">
        <v>-55.497440330000011</v>
      </c>
    </row>
    <row r="83" spans="1:14" ht="12" customHeight="1" x14ac:dyDescent="0.25">
      <c r="A83" s="13" t="s">
        <v>170</v>
      </c>
      <c r="B83" s="28">
        <v>-0.61411252000000005</v>
      </c>
      <c r="C83" s="28">
        <v>-0.59741200000000005</v>
      </c>
      <c r="D83" s="28">
        <v>10.517232999999999</v>
      </c>
      <c r="H83" s="45" t="s">
        <v>1873</v>
      </c>
      <c r="I83" s="46">
        <v>-31.290276240000001</v>
      </c>
      <c r="J83" s="46">
        <v>-30.598899689999996</v>
      </c>
      <c r="L83" s="45" t="s">
        <v>1873</v>
      </c>
      <c r="M83" s="46">
        <v>-22.23059537</v>
      </c>
      <c r="N83" s="46">
        <v>-16.839461440000026</v>
      </c>
    </row>
    <row r="84" spans="1:14" ht="11.25" customHeight="1" x14ac:dyDescent="0.25">
      <c r="A84" s="13" t="s">
        <v>203</v>
      </c>
      <c r="B84" s="28">
        <v>-0.51472249999999986</v>
      </c>
      <c r="C84" s="28">
        <v>-0.475381</v>
      </c>
      <c r="D84" s="28">
        <v>17.251249999999999</v>
      </c>
      <c r="H84" s="45" t="s">
        <v>1874</v>
      </c>
      <c r="I84" s="46">
        <v>-19.934579930000002</v>
      </c>
      <c r="J84" s="46">
        <v>-0.92601900000000004</v>
      </c>
      <c r="L84" s="45" t="s">
        <v>1874</v>
      </c>
      <c r="M84" s="46">
        <v>-28.800020430000014</v>
      </c>
      <c r="N84" s="46">
        <v>-24.464610910000026</v>
      </c>
    </row>
    <row r="85" spans="1:14" ht="11.25" customHeight="1" x14ac:dyDescent="0.25">
      <c r="A85" s="13" t="s">
        <v>213</v>
      </c>
      <c r="B85" s="28">
        <v>0</v>
      </c>
      <c r="C85" s="28">
        <v>0</v>
      </c>
      <c r="D85" s="28">
        <v>5.0175780000000003</v>
      </c>
      <c r="H85" s="45" t="s">
        <v>1875</v>
      </c>
      <c r="I85" s="46">
        <v>-14.712069380000003</v>
      </c>
      <c r="J85" s="46">
        <v>-37.413316430000009</v>
      </c>
      <c r="L85" s="45" t="s">
        <v>1875</v>
      </c>
      <c r="M85" s="46">
        <v>-14.701011939999999</v>
      </c>
      <c r="N85" s="46">
        <v>-11.466883629999995</v>
      </c>
    </row>
    <row r="86" spans="1:14" ht="11.25" customHeight="1" x14ac:dyDescent="0.25">
      <c r="A86" s="13" t="s">
        <v>171</v>
      </c>
      <c r="B86" s="28">
        <v>-8.5763499999999999E-3</v>
      </c>
      <c r="C86" s="28">
        <v>-1.129E-3</v>
      </c>
      <c r="D86" s="28">
        <v>1.3635029999999999</v>
      </c>
      <c r="H86" s="45" t="s">
        <v>1876</v>
      </c>
      <c r="I86" s="46">
        <v>-5.8520781300000007</v>
      </c>
      <c r="J86" s="46">
        <v>35.32002397000003</v>
      </c>
      <c r="L86" s="45" t="s">
        <v>1876</v>
      </c>
      <c r="M86" s="46">
        <v>-6.7963247899999999</v>
      </c>
      <c r="N86" s="46">
        <v>7.1814400200001005</v>
      </c>
    </row>
    <row r="87" spans="1:14" ht="11.25" customHeight="1" x14ac:dyDescent="0.25">
      <c r="A87" s="13" t="s">
        <v>182</v>
      </c>
      <c r="B87" s="28">
        <v>-0.15550710000000009</v>
      </c>
      <c r="C87" s="28">
        <v>-9.9270000000000001E-3</v>
      </c>
      <c r="D87" s="28">
        <v>26.945799999999998</v>
      </c>
      <c r="H87" s="45" t="s">
        <v>1877</v>
      </c>
      <c r="I87" s="46">
        <v>603.82778795000013</v>
      </c>
      <c r="J87" s="46">
        <v>594.18804517000001</v>
      </c>
      <c r="L87" s="45" t="s">
        <v>1877</v>
      </c>
      <c r="M87" s="46">
        <v>-2.4812059499999997</v>
      </c>
      <c r="N87" s="46">
        <v>4.1646526100000143</v>
      </c>
    </row>
    <row r="88" spans="1:14" ht="11.25" customHeight="1" x14ac:dyDescent="0.25">
      <c r="A88" s="13" t="s">
        <v>204</v>
      </c>
      <c r="B88" s="28">
        <v>-3.7616500000000005E-3</v>
      </c>
      <c r="C88" s="28">
        <v>1.0460000000000001E-3</v>
      </c>
      <c r="D88" s="28">
        <v>0.79557</v>
      </c>
      <c r="H88" s="43" t="s">
        <v>1776</v>
      </c>
      <c r="I88" s="44">
        <f>I89</f>
        <v>421.41076185999998</v>
      </c>
      <c r="J88" s="44">
        <f>J89</f>
        <v>430.76333052999996</v>
      </c>
      <c r="L88" s="45" t="s">
        <v>1879</v>
      </c>
      <c r="M88" s="46">
        <v>827.16764307000005</v>
      </c>
      <c r="N88" s="46">
        <v>831.37222180999993</v>
      </c>
    </row>
    <row r="89" spans="1:14" ht="11.25" customHeight="1" x14ac:dyDescent="0.25">
      <c r="A89" s="13" t="s">
        <v>160</v>
      </c>
      <c r="B89" s="28">
        <v>-1.7807070000000001E-2</v>
      </c>
      <c r="C89" s="28">
        <v>-1.7422E-2</v>
      </c>
      <c r="D89" s="28">
        <v>0.25534299999999999</v>
      </c>
      <c r="H89" s="45" t="s">
        <v>1847</v>
      </c>
      <c r="I89" s="46">
        <v>421.41076185999998</v>
      </c>
      <c r="J89" s="46">
        <v>430.76333052999996</v>
      </c>
      <c r="L89" s="43" t="s">
        <v>1776</v>
      </c>
      <c r="M89" s="44">
        <f>SUM(M90:M92)</f>
        <v>373.97488000000004</v>
      </c>
      <c r="N89" s="44">
        <f>SUM(N90:N92)</f>
        <v>503.04882725999977</v>
      </c>
    </row>
    <row r="90" spans="1:14" ht="11.25" customHeight="1" x14ac:dyDescent="0.25">
      <c r="A90" s="13" t="s">
        <v>177</v>
      </c>
      <c r="B90" s="28">
        <v>-1.4816915300000004</v>
      </c>
      <c r="C90" s="28">
        <v>-1.501878</v>
      </c>
      <c r="D90" s="28">
        <v>64.408792000000005</v>
      </c>
      <c r="L90" s="45" t="s">
        <v>1847</v>
      </c>
      <c r="M90" s="46">
        <v>282.37395572000008</v>
      </c>
      <c r="N90" s="46">
        <v>320.95734925999977</v>
      </c>
    </row>
    <row r="91" spans="1:14" ht="11.25" customHeight="1" x14ac:dyDescent="0.25">
      <c r="A91" s="13" t="s">
        <v>1901</v>
      </c>
      <c r="B91" s="28"/>
      <c r="C91" s="28"/>
      <c r="D91" s="28"/>
      <c r="L91" s="45" t="s">
        <v>1751</v>
      </c>
      <c r="M91" s="46">
        <v>46.081562390000016</v>
      </c>
      <c r="N91" s="46">
        <v>133.56962300000001</v>
      </c>
    </row>
    <row r="92" spans="1:14" ht="11.25" customHeight="1" x14ac:dyDescent="0.25">
      <c r="A92" s="12" t="s">
        <v>1773</v>
      </c>
      <c r="B92" s="28">
        <v>-335.68777626999997</v>
      </c>
      <c r="C92" s="28">
        <v>-421.23752242000012</v>
      </c>
      <c r="D92" s="28">
        <v>1773.0446880299999</v>
      </c>
      <c r="L92" s="50" t="s">
        <v>1867</v>
      </c>
      <c r="M92" s="49">
        <v>45.519361889999992</v>
      </c>
      <c r="N92" s="49">
        <v>48.521855000000002</v>
      </c>
    </row>
    <row r="93" spans="1:14" ht="11.25" customHeight="1" x14ac:dyDescent="0.25">
      <c r="A93" s="13" t="s">
        <v>215</v>
      </c>
      <c r="B93" s="28"/>
      <c r="C93" s="28"/>
      <c r="D93" s="28"/>
    </row>
    <row r="94" spans="1:14" ht="14.25" customHeight="1" x14ac:dyDescent="0.25">
      <c r="A94" s="13" t="s">
        <v>259</v>
      </c>
      <c r="B94" s="28"/>
      <c r="C94" s="28"/>
      <c r="D94" s="28"/>
      <c r="L94" s="43" t="s">
        <v>1880</v>
      </c>
      <c r="M94" s="44">
        <f>M68+M74+M79+M89</f>
        <v>793.76507787000014</v>
      </c>
      <c r="N94" s="44">
        <f>N68+N74+N79+N89</f>
        <v>968.84486318999984</v>
      </c>
    </row>
    <row r="95" spans="1:14" ht="13.5" customHeight="1" x14ac:dyDescent="0.25">
      <c r="A95" s="13" t="s">
        <v>227</v>
      </c>
      <c r="B95" s="28"/>
      <c r="C95" s="28"/>
      <c r="D95" s="28"/>
    </row>
    <row r="96" spans="1:14" ht="12.75" customHeight="1" x14ac:dyDescent="0.25">
      <c r="A96" s="13" t="s">
        <v>216</v>
      </c>
      <c r="B96" s="28"/>
      <c r="C96" s="28"/>
      <c r="D96" s="28"/>
    </row>
    <row r="97" spans="1:4" ht="11.25" customHeight="1" x14ac:dyDescent="0.25">
      <c r="A97" s="13" t="s">
        <v>222</v>
      </c>
      <c r="B97" s="28">
        <v>-0.33470783000000004</v>
      </c>
      <c r="C97" s="28">
        <v>0</v>
      </c>
      <c r="D97" s="28">
        <v>0</v>
      </c>
    </row>
    <row r="98" spans="1:4" ht="11.25" customHeight="1" x14ac:dyDescent="0.25">
      <c r="A98" s="13" t="s">
        <v>172</v>
      </c>
      <c r="B98" s="28">
        <v>-0.34050277000000001</v>
      </c>
      <c r="C98" s="28">
        <v>-0.46890500000000002</v>
      </c>
      <c r="D98" s="28">
        <v>4.7049529999999997</v>
      </c>
    </row>
    <row r="99" spans="1:4" ht="11.25" customHeight="1" x14ac:dyDescent="0.25">
      <c r="A99" s="13" t="s">
        <v>1849</v>
      </c>
      <c r="B99" s="28">
        <v>-75.897228409999983</v>
      </c>
      <c r="C99" s="28">
        <v>-103.51483618</v>
      </c>
      <c r="D99" s="28">
        <v>451.98023058000001</v>
      </c>
    </row>
    <row r="100" spans="1:4" ht="11.25" customHeight="1" x14ac:dyDescent="0.25">
      <c r="A100" s="13" t="s">
        <v>1863</v>
      </c>
      <c r="B100" s="28">
        <v>-47.534278330000006</v>
      </c>
      <c r="C100" s="28">
        <v>-63.884147670000019</v>
      </c>
      <c r="D100" s="28">
        <v>277.93822362999998</v>
      </c>
    </row>
    <row r="101" spans="1:4" ht="11.25" customHeight="1" x14ac:dyDescent="0.25">
      <c r="A101" s="13" t="s">
        <v>1878</v>
      </c>
      <c r="B101" s="28">
        <v>-114.98840888000004</v>
      </c>
      <c r="C101" s="28">
        <v>-138.67363238999999</v>
      </c>
      <c r="D101" s="28">
        <v>335.14685768999999</v>
      </c>
    </row>
    <row r="102" spans="1:4" ht="12.75" customHeight="1" x14ac:dyDescent="0.25">
      <c r="A102" s="13" t="s">
        <v>1882</v>
      </c>
      <c r="B102" s="28">
        <v>-68.314787599999974</v>
      </c>
      <c r="C102" s="28">
        <v>-89.223301379999995</v>
      </c>
      <c r="D102" s="28">
        <v>319.41248587000001</v>
      </c>
    </row>
    <row r="103" spans="1:4" ht="13.5" customHeight="1" x14ac:dyDescent="0.25">
      <c r="A103" s="13" t="s">
        <v>1884</v>
      </c>
      <c r="B103" s="28">
        <v>-10.126505439999999</v>
      </c>
      <c r="C103" s="28">
        <v>-7.3314559100000265</v>
      </c>
      <c r="D103" s="28">
        <v>290.32317913999998</v>
      </c>
    </row>
    <row r="104" spans="1:4" ht="11.25" customHeight="1" x14ac:dyDescent="0.25">
      <c r="A104" s="13" t="s">
        <v>1913</v>
      </c>
      <c r="B104" s="28">
        <v>-18.151357009999995</v>
      </c>
      <c r="C104" s="28">
        <v>-18.141243890000002</v>
      </c>
      <c r="D104" s="28">
        <v>93.538758120000011</v>
      </c>
    </row>
    <row r="105" spans="1:4" ht="15" customHeight="1" x14ac:dyDescent="0.25">
      <c r="A105" s="12" t="s">
        <v>1776</v>
      </c>
      <c r="B105" s="28">
        <v>-121.28221164999998</v>
      </c>
      <c r="C105" s="28">
        <v>167.52077815999994</v>
      </c>
      <c r="D105" s="28">
        <v>1823.49186639</v>
      </c>
    </row>
    <row r="106" spans="1:4" ht="11.25" customHeight="1" x14ac:dyDescent="0.25">
      <c r="A106" s="13" t="s">
        <v>1847</v>
      </c>
      <c r="B106" s="28">
        <v>-136.91223576999997</v>
      </c>
      <c r="C106" s="28">
        <v>118.68121780999994</v>
      </c>
      <c r="D106" s="28">
        <v>651.52608787999998</v>
      </c>
    </row>
    <row r="107" spans="1:4" ht="11.25" customHeight="1" x14ac:dyDescent="0.25">
      <c r="A107" s="13" t="s">
        <v>257</v>
      </c>
      <c r="B107" s="28">
        <v>0</v>
      </c>
      <c r="C107" s="28">
        <v>-4.6429406500000008</v>
      </c>
      <c r="D107" s="28">
        <v>9.5423505100000003</v>
      </c>
    </row>
    <row r="108" spans="1:4" ht="11.25" customHeight="1" x14ac:dyDescent="0.25">
      <c r="A108" s="13" t="s">
        <v>1751</v>
      </c>
      <c r="B108" s="28">
        <v>0</v>
      </c>
      <c r="C108" s="28">
        <v>0</v>
      </c>
      <c r="D108" s="28">
        <v>0</v>
      </c>
    </row>
    <row r="109" spans="1:4" ht="11.25" customHeight="1" x14ac:dyDescent="0.25">
      <c r="A109" s="13" t="s">
        <v>1753</v>
      </c>
      <c r="B109" s="28">
        <v>0</v>
      </c>
      <c r="C109" s="28">
        <v>0</v>
      </c>
      <c r="D109" s="28">
        <v>0</v>
      </c>
    </row>
    <row r="110" spans="1:4" ht="11.25" customHeight="1" x14ac:dyDescent="0.25">
      <c r="A110" s="13" t="s">
        <v>1867</v>
      </c>
      <c r="B110" s="28">
        <v>8.885720719999993</v>
      </c>
      <c r="C110" s="28">
        <v>40.512971</v>
      </c>
      <c r="D110" s="28">
        <v>909.58005100000003</v>
      </c>
    </row>
    <row r="111" spans="1:4" ht="11.25" customHeight="1" x14ac:dyDescent="0.25">
      <c r="A111" s="13" t="s">
        <v>1897</v>
      </c>
      <c r="B111" s="28">
        <v>6.5174121099999942</v>
      </c>
      <c r="C111" s="28">
        <v>12.969530000000001</v>
      </c>
      <c r="D111" s="28">
        <v>252.843377</v>
      </c>
    </row>
    <row r="112" spans="1:4" x14ac:dyDescent="0.25">
      <c r="A112" s="13" t="s">
        <v>1898</v>
      </c>
      <c r="B112" s="28">
        <v>0.22689129000000094</v>
      </c>
      <c r="C112" s="28">
        <v>0</v>
      </c>
      <c r="D112" s="28">
        <v>0</v>
      </c>
    </row>
    <row r="113" spans="2:4" ht="11.25" customHeight="1" x14ac:dyDescent="0.25">
      <c r="B113"/>
      <c r="C113"/>
      <c r="D113"/>
    </row>
    <row r="114" spans="2:4" ht="11.25" customHeight="1" x14ac:dyDescent="0.25">
      <c r="B114"/>
      <c r="C114"/>
      <c r="D114"/>
    </row>
    <row r="115" spans="2:4" ht="11.25" customHeight="1" x14ac:dyDescent="0.25">
      <c r="B115"/>
      <c r="C115"/>
      <c r="D115"/>
    </row>
    <row r="116" spans="2:4" ht="11.25" customHeight="1" x14ac:dyDescent="0.25">
      <c r="B116"/>
      <c r="C116"/>
      <c r="D116"/>
    </row>
    <row r="117" spans="2:4" ht="14.25" customHeight="1" x14ac:dyDescent="0.25">
      <c r="B117"/>
      <c r="C117"/>
      <c r="D117"/>
    </row>
    <row r="118" spans="2:4" ht="12.75" customHeight="1" x14ac:dyDescent="0.25">
      <c r="B118"/>
      <c r="C118"/>
      <c r="D118"/>
    </row>
    <row r="119" spans="2:4" x14ac:dyDescent="0.25">
      <c r="B119"/>
      <c r="C119"/>
    </row>
    <row r="120" spans="2:4" x14ac:dyDescent="0.25">
      <c r="B120"/>
      <c r="C120"/>
    </row>
    <row r="121" spans="2:4" x14ac:dyDescent="0.25">
      <c r="B121"/>
      <c r="C121"/>
    </row>
    <row r="122" spans="2:4" x14ac:dyDescent="0.25">
      <c r="B122"/>
      <c r="C122"/>
    </row>
  </sheetData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37"/>
  <sheetViews>
    <sheetView workbookViewId="0">
      <selection activeCell="C13" sqref="C13"/>
    </sheetView>
  </sheetViews>
  <sheetFormatPr defaultRowHeight="15" x14ac:dyDescent="0.25"/>
  <cols>
    <col min="1" max="1" width="18.28515625" customWidth="1"/>
    <col min="2" max="2" width="18.28515625" style="14" bestFit="1" customWidth="1"/>
    <col min="3" max="3" width="13.140625" style="14" bestFit="1" customWidth="1"/>
    <col min="4" max="4" width="22.28515625" customWidth="1"/>
    <col min="5" max="5" width="24.5703125" bestFit="1" customWidth="1"/>
  </cols>
  <sheetData>
    <row r="3" spans="1:4" ht="36" customHeight="1" x14ac:dyDescent="0.25">
      <c r="A3" s="10" t="s">
        <v>1761</v>
      </c>
      <c r="B3" s="10" t="s">
        <v>1745</v>
      </c>
      <c r="C3" s="42" t="s">
        <v>1943</v>
      </c>
      <c r="D3" s="42" t="s">
        <v>1947</v>
      </c>
    </row>
    <row r="4" spans="1:4" x14ac:dyDescent="0.25">
      <c r="A4" t="s">
        <v>1762</v>
      </c>
      <c r="B4"/>
      <c r="C4" s="27">
        <v>-519.25036263261438</v>
      </c>
      <c r="D4" s="27">
        <v>-350.87000176323647</v>
      </c>
    </row>
    <row r="5" spans="1:4" x14ac:dyDescent="0.25">
      <c r="B5" t="s">
        <v>1774</v>
      </c>
      <c r="C5" s="27">
        <v>-2.977460730000002</v>
      </c>
      <c r="D5" s="27">
        <v>-2.9849540900000036</v>
      </c>
    </row>
    <row r="6" spans="1:4" x14ac:dyDescent="0.25">
      <c r="B6" t="s">
        <v>1756</v>
      </c>
      <c r="C6" s="27">
        <v>-7.3841967103152903</v>
      </c>
      <c r="D6" s="27">
        <v>-5.1672111199999486</v>
      </c>
    </row>
    <row r="7" spans="1:4" x14ac:dyDescent="0.25">
      <c r="B7" t="s">
        <v>1775</v>
      </c>
      <c r="C7" s="27">
        <v>-14.921085353006134</v>
      </c>
      <c r="D7" s="27">
        <v>-18.078060633006139</v>
      </c>
    </row>
    <row r="8" spans="1:4" x14ac:dyDescent="0.25">
      <c r="B8" t="s">
        <v>1768</v>
      </c>
      <c r="C8" s="27">
        <v>-26.306785200000004</v>
      </c>
      <c r="D8" s="27">
        <v>-32.025050100230274</v>
      </c>
    </row>
    <row r="9" spans="1:4" x14ac:dyDescent="0.25">
      <c r="B9" t="s">
        <v>1769</v>
      </c>
      <c r="C9" s="27">
        <v>25.096397303936381</v>
      </c>
      <c r="D9" s="27">
        <v>27.735834780000005</v>
      </c>
    </row>
    <row r="10" spans="1:4" x14ac:dyDescent="0.25">
      <c r="B10" t="s">
        <v>1755</v>
      </c>
      <c r="C10" s="27">
        <v>-11.006051520000002</v>
      </c>
      <c r="D10" s="27">
        <v>-16.633531450000032</v>
      </c>
    </row>
    <row r="11" spans="1:4" x14ac:dyDescent="0.25">
      <c r="B11" t="s">
        <v>1770</v>
      </c>
      <c r="C11" s="27">
        <v>-9.8263789832293575</v>
      </c>
      <c r="D11" s="27">
        <v>-1.6296295400000511</v>
      </c>
    </row>
    <row r="12" spans="1:4" x14ac:dyDescent="0.25">
      <c r="B12" t="s">
        <v>1773</v>
      </c>
      <c r="C12" s="27">
        <v>-335.01256567000001</v>
      </c>
      <c r="D12" s="27">
        <v>-420.76861742</v>
      </c>
    </row>
    <row r="13" spans="1:4" x14ac:dyDescent="0.25">
      <c r="B13" t="s">
        <v>1776</v>
      </c>
      <c r="C13" s="27">
        <v>-136.91223576999997</v>
      </c>
      <c r="D13" s="27">
        <v>118.68121780999994</v>
      </c>
    </row>
    <row r="14" spans="1:4" x14ac:dyDescent="0.25">
      <c r="A14" t="s">
        <v>1820</v>
      </c>
      <c r="B14"/>
      <c r="C14" s="27">
        <v>-307.44577430000004</v>
      </c>
      <c r="D14" s="27">
        <v>-88.065456399999988</v>
      </c>
    </row>
    <row r="15" spans="1:4" x14ac:dyDescent="0.25">
      <c r="B15" t="s">
        <v>1771</v>
      </c>
      <c r="C15" s="27">
        <v>-65.534485890000028</v>
      </c>
      <c r="D15" s="27">
        <v>-44.165264000000001</v>
      </c>
    </row>
    <row r="16" spans="1:4" x14ac:dyDescent="0.25">
      <c r="B16" t="s">
        <v>1772</v>
      </c>
      <c r="C16" s="27">
        <v>-8.7313300000000038E-2</v>
      </c>
      <c r="D16" s="27">
        <v>-1.984E-2</v>
      </c>
    </row>
    <row r="17" spans="1:4" x14ac:dyDescent="0.25">
      <c r="B17" t="s">
        <v>1756</v>
      </c>
      <c r="C17" s="27">
        <v>-20.272350039999978</v>
      </c>
      <c r="D17" s="27">
        <v>-17.236822119999974</v>
      </c>
    </row>
    <row r="18" spans="1:4" x14ac:dyDescent="0.25">
      <c r="B18" t="s">
        <v>1775</v>
      </c>
      <c r="C18" s="27">
        <v>-35.84882743</v>
      </c>
      <c r="D18" s="27">
        <v>100.73189800000002</v>
      </c>
    </row>
    <row r="19" spans="1:4" x14ac:dyDescent="0.25">
      <c r="B19" t="s">
        <v>1768</v>
      </c>
      <c r="C19" s="27">
        <v>-130.64609221999999</v>
      </c>
      <c r="D19" s="27">
        <v>-120.73859999999999</v>
      </c>
    </row>
    <row r="20" spans="1:4" x14ac:dyDescent="0.25">
      <c r="B20" t="s">
        <v>1769</v>
      </c>
      <c r="C20" s="27">
        <v>-11.949810230000001</v>
      </c>
      <c r="D20" s="27">
        <v>4.694793999999999</v>
      </c>
    </row>
    <row r="21" spans="1:4" x14ac:dyDescent="0.25">
      <c r="B21" t="s">
        <v>1755</v>
      </c>
      <c r="C21" s="27">
        <v>-54.349644720000022</v>
      </c>
      <c r="D21" s="27">
        <v>-57.063288630000002</v>
      </c>
    </row>
    <row r="22" spans="1:4" x14ac:dyDescent="0.25">
      <c r="B22" t="s">
        <v>1770</v>
      </c>
      <c r="C22" s="27">
        <v>-3.7120639899999999</v>
      </c>
      <c r="D22" s="27">
        <v>-2.638989</v>
      </c>
    </row>
    <row r="23" spans="1:4" x14ac:dyDescent="0.25">
      <c r="B23" t="s">
        <v>1773</v>
      </c>
      <c r="C23" s="27">
        <v>-0.67521059999999999</v>
      </c>
      <c r="D23" s="27">
        <v>-0.46890500000000002</v>
      </c>
    </row>
    <row r="24" spans="1:4" x14ac:dyDescent="0.25">
      <c r="B24" t="s">
        <v>1776</v>
      </c>
      <c r="C24" s="27">
        <v>15.630024119999987</v>
      </c>
      <c r="D24" s="27">
        <v>48.839560349999999</v>
      </c>
    </row>
    <row r="25" spans="1:4" x14ac:dyDescent="0.25">
      <c r="A25" t="s">
        <v>1767</v>
      </c>
      <c r="B25"/>
      <c r="C25" s="27">
        <v>-826.69613693261454</v>
      </c>
      <c r="D25" s="27">
        <v>-438.93545816323643</v>
      </c>
    </row>
    <row r="26" spans="1:4" hidden="1" x14ac:dyDescent="0.25">
      <c r="B26"/>
      <c r="C26"/>
    </row>
    <row r="27" spans="1:4" hidden="1" x14ac:dyDescent="0.25">
      <c r="B27"/>
      <c r="C27"/>
    </row>
    <row r="28" spans="1:4" x14ac:dyDescent="0.25">
      <c r="B28"/>
      <c r="C28"/>
    </row>
    <row r="29" spans="1:4" x14ac:dyDescent="0.25">
      <c r="B29"/>
      <c r="C29"/>
    </row>
    <row r="30" spans="1:4" x14ac:dyDescent="0.25">
      <c r="B30"/>
      <c r="C30"/>
    </row>
    <row r="31" spans="1:4" x14ac:dyDescent="0.25">
      <c r="B31"/>
      <c r="C31"/>
    </row>
    <row r="32" spans="1:4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135"/>
  <sheetViews>
    <sheetView zoomScale="80" zoomScaleNormal="80" workbookViewId="0">
      <selection activeCell="A21" sqref="A21"/>
    </sheetView>
  </sheetViews>
  <sheetFormatPr defaultRowHeight="15" x14ac:dyDescent="0.25"/>
  <cols>
    <col min="1" max="1" width="84" customWidth="1"/>
    <col min="2" max="2" width="22.85546875" style="32" bestFit="1" customWidth="1"/>
    <col min="3" max="3" width="31" style="32" bestFit="1" customWidth="1"/>
    <col min="4" max="4" width="27.7109375" style="15" bestFit="1" customWidth="1"/>
    <col min="5" max="5" width="48" bestFit="1" customWidth="1"/>
    <col min="6" max="6" width="10.5703125" bestFit="1" customWidth="1"/>
    <col min="8" max="8" width="35.85546875" customWidth="1"/>
    <col min="9" max="9" width="9" style="32" customWidth="1"/>
    <col min="10" max="10" width="10.5703125" style="32" customWidth="1"/>
    <col min="12" max="12" width="36.140625" customWidth="1"/>
    <col min="13" max="13" width="10.28515625" customWidth="1"/>
    <col min="14" max="14" width="11" customWidth="1"/>
  </cols>
  <sheetData>
    <row r="2" spans="1:4" ht="10.5" customHeight="1" x14ac:dyDescent="0.25"/>
    <row r="3" spans="1:4" ht="28.5" customHeight="1" x14ac:dyDescent="0.25">
      <c r="A3" s="10" t="s">
        <v>1852</v>
      </c>
      <c r="B3" s="52" t="s">
        <v>1944</v>
      </c>
      <c r="C3" s="52" t="s">
        <v>1945</v>
      </c>
      <c r="D3" s="52" t="s">
        <v>1946</v>
      </c>
    </row>
    <row r="4" spans="1:4" x14ac:dyDescent="0.25">
      <c r="A4" s="12" t="s">
        <v>1774</v>
      </c>
      <c r="B4" s="28">
        <v>-2.977460730000002</v>
      </c>
      <c r="C4" s="28">
        <v>-2.9849540900000036</v>
      </c>
      <c r="D4" s="28">
        <v>74.24783558</v>
      </c>
    </row>
    <row r="5" spans="1:4" x14ac:dyDescent="0.25">
      <c r="A5" s="13" t="s">
        <v>211</v>
      </c>
      <c r="B5" s="28">
        <v>-2.977460730000002</v>
      </c>
      <c r="C5" s="28">
        <v>-2.9849540900000036</v>
      </c>
      <c r="D5" s="28">
        <v>74.24783558</v>
      </c>
    </row>
    <row r="6" spans="1:4" x14ac:dyDescent="0.25">
      <c r="A6" s="12" t="s">
        <v>1771</v>
      </c>
      <c r="B6" s="28">
        <v>-65.534485890000028</v>
      </c>
      <c r="C6" s="28">
        <v>-44.165263999999993</v>
      </c>
      <c r="D6" s="28">
        <v>1208.693608</v>
      </c>
    </row>
    <row r="7" spans="1:4" x14ac:dyDescent="0.25">
      <c r="A7" s="13" t="s">
        <v>1797</v>
      </c>
      <c r="B7" s="28">
        <v>-3.0901016899999996</v>
      </c>
      <c r="C7" s="28">
        <v>-2.1238959999999998</v>
      </c>
      <c r="D7" s="28">
        <v>105.977735</v>
      </c>
    </row>
    <row r="8" spans="1:4" x14ac:dyDescent="0.25">
      <c r="A8" s="13" t="s">
        <v>184</v>
      </c>
      <c r="B8" s="28">
        <v>-16.088829240000003</v>
      </c>
      <c r="C8" s="28">
        <v>-15.428341</v>
      </c>
      <c r="D8" s="28">
        <v>116.83254700000001</v>
      </c>
    </row>
    <row r="9" spans="1:4" x14ac:dyDescent="0.25">
      <c r="A9" s="13" t="s">
        <v>1805</v>
      </c>
      <c r="B9" s="28">
        <v>-10.521304209999998</v>
      </c>
      <c r="C9" s="28">
        <v>-6.3869829999999999</v>
      </c>
      <c r="D9" s="28">
        <v>195.36410599999999</v>
      </c>
    </row>
    <row r="10" spans="1:4" x14ac:dyDescent="0.25">
      <c r="A10" s="13" t="s">
        <v>193</v>
      </c>
      <c r="B10" s="28">
        <v>-25.728394100000024</v>
      </c>
      <c r="C10" s="28">
        <v>-24.41432</v>
      </c>
      <c r="D10" s="28">
        <v>279.29356200000001</v>
      </c>
    </row>
    <row r="11" spans="1:4" x14ac:dyDescent="0.25">
      <c r="A11" s="13" t="s">
        <v>1806</v>
      </c>
      <c r="B11" s="28">
        <v>-11.494400819999999</v>
      </c>
      <c r="C11" s="28">
        <v>-4.9180989999999998</v>
      </c>
      <c r="D11" s="28">
        <v>307.505809</v>
      </c>
    </row>
    <row r="12" spans="1:4" x14ac:dyDescent="0.25">
      <c r="A12" s="13" t="s">
        <v>1894</v>
      </c>
      <c r="B12" s="28">
        <v>0.36790654000000012</v>
      </c>
      <c r="C12" s="28">
        <v>3.9554010000000002</v>
      </c>
      <c r="D12" s="28">
        <v>96.897818999999998</v>
      </c>
    </row>
    <row r="13" spans="1:4" x14ac:dyDescent="0.25">
      <c r="A13" s="13" t="s">
        <v>1895</v>
      </c>
      <c r="B13" s="28">
        <v>1.0206376299999997</v>
      </c>
      <c r="C13" s="28">
        <v>5.1509739999999997</v>
      </c>
      <c r="D13" s="28">
        <v>106.82203</v>
      </c>
    </row>
    <row r="14" spans="1:4" x14ac:dyDescent="0.25">
      <c r="A14" s="12" t="s">
        <v>1772</v>
      </c>
      <c r="B14" s="28">
        <v>-8.7313300000000038E-2</v>
      </c>
      <c r="C14" s="28">
        <v>-1.984E-2</v>
      </c>
      <c r="D14" s="28">
        <v>6.955908</v>
      </c>
    </row>
    <row r="15" spans="1:4" x14ac:dyDescent="0.25">
      <c r="A15" s="13" t="s">
        <v>195</v>
      </c>
      <c r="B15" s="28">
        <v>-1.6251600000000001E-3</v>
      </c>
      <c r="C15" s="28">
        <v>-3.7500000000000001E-4</v>
      </c>
      <c r="D15" s="28">
        <v>0.14269799999999999</v>
      </c>
    </row>
    <row r="16" spans="1:4" x14ac:dyDescent="0.25">
      <c r="A16" s="13" t="s">
        <v>198</v>
      </c>
      <c r="B16" s="28">
        <v>-1.5058900000000002E-3</v>
      </c>
      <c r="C16" s="28">
        <v>-7.6400000000000003E-4</v>
      </c>
      <c r="D16" s="28">
        <v>8.7215000000000001E-2</v>
      </c>
    </row>
    <row r="17" spans="1:10" x14ac:dyDescent="0.25">
      <c r="A17" s="13" t="s">
        <v>218</v>
      </c>
      <c r="B17" s="28">
        <v>-7.0599200000000042E-2</v>
      </c>
      <c r="C17" s="28">
        <v>-2.0159E-2</v>
      </c>
      <c r="D17" s="28">
        <v>4.8712460000000002</v>
      </c>
    </row>
    <row r="18" spans="1:10" x14ac:dyDescent="0.25">
      <c r="A18" s="13" t="s">
        <v>197</v>
      </c>
      <c r="B18" s="28">
        <v>-2.0878299999999997E-3</v>
      </c>
      <c r="C18" s="28">
        <v>4.0400000000000001E-4</v>
      </c>
      <c r="D18" s="28">
        <v>0.34123500000000001</v>
      </c>
    </row>
    <row r="19" spans="1:10" x14ac:dyDescent="0.25">
      <c r="A19" s="13" t="s">
        <v>191</v>
      </c>
      <c r="B19" s="28">
        <v>-1.74022E-3</v>
      </c>
      <c r="C19" s="28">
        <v>-1.37E-4</v>
      </c>
      <c r="D19" s="28">
        <v>0.187778</v>
      </c>
    </row>
    <row r="20" spans="1:10" ht="14.25" customHeight="1" x14ac:dyDescent="0.25">
      <c r="A20" s="13" t="s">
        <v>217</v>
      </c>
      <c r="B20" s="28">
        <v>-2.7580100000000004E-3</v>
      </c>
      <c r="C20" s="28">
        <v>2.9910000000000002E-3</v>
      </c>
      <c r="D20" s="28">
        <v>0.63467600000000002</v>
      </c>
      <c r="H20" s="36" t="s">
        <v>1848</v>
      </c>
      <c r="I20" s="37" t="s">
        <v>1841</v>
      </c>
      <c r="J20" s="37" t="s">
        <v>1818</v>
      </c>
    </row>
    <row r="21" spans="1:10" x14ac:dyDescent="0.25">
      <c r="A21" s="13" t="s">
        <v>185</v>
      </c>
      <c r="B21" s="28">
        <v>0</v>
      </c>
      <c r="C21" s="28">
        <v>-7.7499999999999997E-4</v>
      </c>
      <c r="D21" s="28">
        <v>7.7561000000000005E-2</v>
      </c>
      <c r="H21" s="12" t="s">
        <v>1844</v>
      </c>
      <c r="I21" s="32">
        <v>-176.18717991999983</v>
      </c>
      <c r="J21" s="32">
        <v>117.4358515</v>
      </c>
    </row>
    <row r="22" spans="1:10" x14ac:dyDescent="0.25">
      <c r="A22" s="13" t="s">
        <v>187</v>
      </c>
      <c r="B22" s="28">
        <v>-1.6057000000000001E-3</v>
      </c>
      <c r="C22" s="28">
        <v>-3.2299999999999999E-4</v>
      </c>
      <c r="D22" s="28">
        <v>0.134904</v>
      </c>
      <c r="H22" s="12" t="s">
        <v>210</v>
      </c>
      <c r="I22" s="32">
        <v>-50.325315669999981</v>
      </c>
      <c r="J22" s="32">
        <v>-51.999433379999992</v>
      </c>
    </row>
    <row r="23" spans="1:10" x14ac:dyDescent="0.25">
      <c r="A23" s="13" t="s">
        <v>186</v>
      </c>
      <c r="B23" s="28">
        <v>-1.64449E-3</v>
      </c>
      <c r="C23" s="28">
        <v>-2.6600000000000001E-4</v>
      </c>
      <c r="D23" s="28">
        <v>0.154948</v>
      </c>
      <c r="H23" s="12" t="s">
        <v>184</v>
      </c>
      <c r="I23" s="32">
        <v>-45.267893960000023</v>
      </c>
      <c r="J23" s="32">
        <v>-28.503755000000002</v>
      </c>
    </row>
    <row r="24" spans="1:10" x14ac:dyDescent="0.25">
      <c r="A24" s="13" t="s">
        <v>190</v>
      </c>
      <c r="B24" s="28">
        <v>-1.9581100000000003E-3</v>
      </c>
      <c r="C24" s="28">
        <v>9.4399999999999996E-4</v>
      </c>
      <c r="D24" s="28">
        <v>0.27901599999999999</v>
      </c>
      <c r="H24" s="12" t="s">
        <v>1751</v>
      </c>
      <c r="I24" s="32">
        <v>10.325450860000009</v>
      </c>
      <c r="J24" s="32">
        <v>212.69367500000001</v>
      </c>
    </row>
    <row r="25" spans="1:10" x14ac:dyDescent="0.25">
      <c r="A25" s="13" t="s">
        <v>196</v>
      </c>
      <c r="B25" s="28">
        <v>-1.2090000000000002E-3</v>
      </c>
      <c r="C25" s="28">
        <v>-9.4600000000000001E-4</v>
      </c>
      <c r="D25" s="28">
        <v>2.8074000000000002E-2</v>
      </c>
      <c r="H25" s="12" t="s">
        <v>1846</v>
      </c>
      <c r="I25" s="32">
        <v>13.817207068041839</v>
      </c>
      <c r="J25" s="32">
        <v>21.290271579999985</v>
      </c>
    </row>
    <row r="26" spans="1:10" x14ac:dyDescent="0.25">
      <c r="A26" s="13" t="s">
        <v>194</v>
      </c>
      <c r="B26" s="28">
        <v>-5.7968999999999978E-4</v>
      </c>
      <c r="C26" s="28">
        <v>-4.3399999999999998E-4</v>
      </c>
      <c r="D26" s="28">
        <v>1.6556999999999999E-2</v>
      </c>
      <c r="H26" s="12" t="s">
        <v>1806</v>
      </c>
      <c r="I26" s="32">
        <v>17.180495970000003</v>
      </c>
      <c r="J26" s="32">
        <v>26.976358999999999</v>
      </c>
    </row>
    <row r="27" spans="1:10" x14ac:dyDescent="0.25">
      <c r="A27" s="12" t="s">
        <v>1756</v>
      </c>
      <c r="B27" s="28">
        <v>-27.656546750315265</v>
      </c>
      <c r="C27" s="28">
        <v>-22.404033239999922</v>
      </c>
      <c r="D27" s="28">
        <v>911.70197063000023</v>
      </c>
      <c r="H27" s="12" t="s">
        <v>1845</v>
      </c>
      <c r="I27" s="32">
        <v>41.471598764558749</v>
      </c>
      <c r="J27" s="32">
        <v>39.459761950000015</v>
      </c>
    </row>
    <row r="28" spans="1:10" x14ac:dyDescent="0.25">
      <c r="A28" s="13" t="s">
        <v>271</v>
      </c>
      <c r="B28" s="28">
        <v>-6.5852741259017717</v>
      </c>
      <c r="C28" s="28">
        <v>-4.3407969299999474</v>
      </c>
      <c r="D28" s="28">
        <v>242.80630035000001</v>
      </c>
      <c r="H28" s="12" t="s">
        <v>1842</v>
      </c>
      <c r="I28" s="32">
        <v>43.818986010000003</v>
      </c>
      <c r="J28" s="32">
        <v>44.247377979999996</v>
      </c>
    </row>
    <row r="29" spans="1:10" x14ac:dyDescent="0.25">
      <c r="A29" s="13" t="s">
        <v>1834</v>
      </c>
      <c r="B29" s="28">
        <v>0</v>
      </c>
      <c r="C29" s="28">
        <v>0</v>
      </c>
      <c r="D29" s="28">
        <v>6.9702261600000002</v>
      </c>
      <c r="H29" s="31" t="s">
        <v>1843</v>
      </c>
      <c r="I29" s="33">
        <v>104.94957015</v>
      </c>
      <c r="J29" s="33">
        <v>98.074560539999993</v>
      </c>
    </row>
    <row r="30" spans="1:10" x14ac:dyDescent="0.25">
      <c r="A30" s="13" t="s">
        <v>1800</v>
      </c>
      <c r="B30" s="28">
        <v>-0.79892258441351893</v>
      </c>
      <c r="C30" s="28">
        <v>-0.82641419000000138</v>
      </c>
      <c r="D30" s="28">
        <v>7.4952658199999993</v>
      </c>
      <c r="H30" s="31" t="s">
        <v>184</v>
      </c>
      <c r="I30" s="33">
        <v>-45.267893960000023</v>
      </c>
      <c r="J30" s="33">
        <v>-28.503755000000002</v>
      </c>
    </row>
    <row r="31" spans="1:10" x14ac:dyDescent="0.25">
      <c r="A31" s="13" t="s">
        <v>175</v>
      </c>
      <c r="B31" s="28">
        <v>-0.56769212999999996</v>
      </c>
      <c r="C31" s="28">
        <v>-0.33834199999999998</v>
      </c>
      <c r="D31" s="28">
        <v>29.605967</v>
      </c>
      <c r="H31" t="s">
        <v>193</v>
      </c>
      <c r="I31" s="32">
        <v>-145.1712943600001</v>
      </c>
      <c r="J31" s="32">
        <v>-109.329283</v>
      </c>
    </row>
    <row r="32" spans="1:10" x14ac:dyDescent="0.25">
      <c r="A32" s="13" t="s">
        <v>201</v>
      </c>
      <c r="B32" s="28">
        <v>0</v>
      </c>
      <c r="C32" s="28">
        <v>0</v>
      </c>
      <c r="D32" s="28">
        <v>2.6489999999999999E-3</v>
      </c>
      <c r="H32" t="s">
        <v>225</v>
      </c>
      <c r="I32" s="32">
        <v>-78.218517750000018</v>
      </c>
      <c r="J32" s="32">
        <v>-75.150979000000007</v>
      </c>
    </row>
    <row r="33" spans="1:10" x14ac:dyDescent="0.25">
      <c r="A33" s="13" t="s">
        <v>202</v>
      </c>
      <c r="B33" s="28">
        <v>0</v>
      </c>
      <c r="C33" s="28">
        <v>3.2299999999999999E-4</v>
      </c>
      <c r="D33" s="28">
        <v>8.3275000000000002E-2</v>
      </c>
      <c r="H33" s="12" t="s">
        <v>1847</v>
      </c>
      <c r="I33" s="32">
        <v>325.57582057000002</v>
      </c>
      <c r="J33" s="32">
        <v>325.57582057000002</v>
      </c>
    </row>
    <row r="34" spans="1:10" x14ac:dyDescent="0.25">
      <c r="A34" s="13" t="s">
        <v>161</v>
      </c>
      <c r="B34" s="28">
        <v>0</v>
      </c>
      <c r="C34" s="28">
        <v>1.073E-3</v>
      </c>
      <c r="D34" s="28">
        <v>7.8464999999999993E-2</v>
      </c>
      <c r="H34" t="s">
        <v>224</v>
      </c>
      <c r="I34" s="32">
        <v>-155.45426297000009</v>
      </c>
      <c r="J34" s="32">
        <v>-174.27421200000001</v>
      </c>
    </row>
    <row r="35" spans="1:10" x14ac:dyDescent="0.25">
      <c r="A35" s="13" t="s">
        <v>158</v>
      </c>
      <c r="B35" s="28">
        <v>0</v>
      </c>
      <c r="C35" s="28">
        <v>0</v>
      </c>
      <c r="D35" s="28">
        <v>2.3564000000000002E-2</v>
      </c>
      <c r="H35" s="34" t="s">
        <v>1767</v>
      </c>
      <c r="I35" s="35">
        <f>SUM(I21:I34)</f>
        <v>-138.75322919739941</v>
      </c>
      <c r="J35" s="35">
        <f>SUM(J21:J34)</f>
        <v>417.99226074000001</v>
      </c>
    </row>
    <row r="36" spans="1:10" x14ac:dyDescent="0.25">
      <c r="A36" s="13" t="s">
        <v>228</v>
      </c>
      <c r="B36" s="28">
        <v>-4.047481480000001</v>
      </c>
      <c r="C36" s="28">
        <v>-3.2147709999999998</v>
      </c>
      <c r="D36" s="28">
        <v>86.278219000000007</v>
      </c>
    </row>
    <row r="37" spans="1:10" x14ac:dyDescent="0.25">
      <c r="A37" s="13" t="s">
        <v>163</v>
      </c>
      <c r="B37" s="28">
        <v>-4.6289986200000008</v>
      </c>
      <c r="C37" s="28">
        <v>-3.8796740000000001</v>
      </c>
      <c r="D37" s="28">
        <v>87.573063000000005</v>
      </c>
    </row>
    <row r="38" spans="1:10" x14ac:dyDescent="0.25">
      <c r="A38" s="13" t="s">
        <v>188</v>
      </c>
      <c r="B38" s="28">
        <v>-0.18858552999999972</v>
      </c>
      <c r="C38" s="28">
        <v>0.68201500000000004</v>
      </c>
      <c r="D38" s="28">
        <v>122.521317</v>
      </c>
    </row>
    <row r="39" spans="1:10" x14ac:dyDescent="0.25">
      <c r="A39" s="13" t="s">
        <v>183</v>
      </c>
      <c r="B39" s="28">
        <v>-0.52380644999999981</v>
      </c>
      <c r="C39" s="28">
        <v>-0.28632200000000002</v>
      </c>
      <c r="D39" s="28">
        <v>27.311191999999998</v>
      </c>
    </row>
    <row r="40" spans="1:10" x14ac:dyDescent="0.25">
      <c r="A40" s="13" t="s">
        <v>179</v>
      </c>
      <c r="B40" s="28">
        <v>-0.66876387000000015</v>
      </c>
      <c r="C40" s="28">
        <v>-0.65925999999999996</v>
      </c>
      <c r="D40" s="28">
        <v>12.030735999999999</v>
      </c>
    </row>
    <row r="41" spans="1:10" x14ac:dyDescent="0.25">
      <c r="A41" s="13" t="s">
        <v>180</v>
      </c>
      <c r="B41" s="28">
        <v>-0.67315084999999997</v>
      </c>
      <c r="C41" s="28">
        <v>-0.61331500000000005</v>
      </c>
      <c r="D41" s="28">
        <v>15.554245</v>
      </c>
    </row>
    <row r="42" spans="1:10" x14ac:dyDescent="0.25">
      <c r="A42" s="13" t="s">
        <v>192</v>
      </c>
      <c r="B42" s="28">
        <v>0</v>
      </c>
      <c r="C42" s="28">
        <v>0</v>
      </c>
      <c r="D42" s="28">
        <v>0</v>
      </c>
    </row>
    <row r="43" spans="1:10" x14ac:dyDescent="0.25">
      <c r="A43" s="13" t="s">
        <v>165</v>
      </c>
      <c r="B43" s="28">
        <v>0</v>
      </c>
      <c r="C43" s="28">
        <v>0</v>
      </c>
      <c r="D43" s="28">
        <v>0</v>
      </c>
    </row>
    <row r="44" spans="1:10" x14ac:dyDescent="0.25">
      <c r="A44" s="13" t="s">
        <v>169</v>
      </c>
      <c r="B44" s="28">
        <v>-0.35063567999999989</v>
      </c>
      <c r="C44" s="28">
        <v>-0.30473</v>
      </c>
      <c r="D44" s="28">
        <v>7.6160690000000004</v>
      </c>
    </row>
    <row r="45" spans="1:10" x14ac:dyDescent="0.25">
      <c r="A45" s="13" t="s">
        <v>174</v>
      </c>
      <c r="B45" s="28">
        <v>-1.3791577200000009</v>
      </c>
      <c r="C45" s="28">
        <v>-1.3804369999999999</v>
      </c>
      <c r="D45" s="28">
        <v>72.484395000000006</v>
      </c>
    </row>
    <row r="46" spans="1:10" x14ac:dyDescent="0.25">
      <c r="A46" s="13" t="s">
        <v>167</v>
      </c>
      <c r="B46" s="28">
        <v>-0.18290858999999995</v>
      </c>
      <c r="C46" s="28">
        <v>-0.18221300000000001</v>
      </c>
      <c r="D46" s="28">
        <v>1.067361</v>
      </c>
      <c r="H46">
        <v>1997</v>
      </c>
      <c r="I46" s="32">
        <v>2022</v>
      </c>
      <c r="J46" s="32">
        <f>I46-H46</f>
        <v>25</v>
      </c>
    </row>
    <row r="47" spans="1:10" x14ac:dyDescent="0.25">
      <c r="A47" s="13" t="s">
        <v>1886</v>
      </c>
      <c r="B47" s="28">
        <v>-7.0611691199999749</v>
      </c>
      <c r="C47" s="28">
        <v>-7.0611691199999749</v>
      </c>
      <c r="D47" s="28">
        <v>192.1996613</v>
      </c>
    </row>
    <row r="48" spans="1:10" x14ac:dyDescent="0.25">
      <c r="A48" s="13" t="s">
        <v>1900</v>
      </c>
      <c r="B48" s="28"/>
      <c r="C48" s="28"/>
      <c r="D48" s="28"/>
      <c r="J48" s="32">
        <v>55</v>
      </c>
    </row>
    <row r="49" spans="1:7" x14ac:dyDescent="0.25">
      <c r="A49" s="12" t="s">
        <v>1775</v>
      </c>
      <c r="B49" s="28">
        <v>-50.769912783006127</v>
      </c>
      <c r="C49" s="28">
        <v>82.653837366993855</v>
      </c>
      <c r="D49" s="28">
        <v>3340.6784773126383</v>
      </c>
    </row>
    <row r="50" spans="1:7" x14ac:dyDescent="0.25">
      <c r="A50" s="13" t="s">
        <v>1827</v>
      </c>
      <c r="B50" s="28">
        <v>-7.4993419999999977E-2</v>
      </c>
      <c r="C50" s="28">
        <v>-3.400871</v>
      </c>
      <c r="D50" s="28">
        <v>46.360523000000001</v>
      </c>
    </row>
    <row r="51" spans="1:7" x14ac:dyDescent="0.25">
      <c r="A51" s="13" t="s">
        <v>212</v>
      </c>
      <c r="B51" s="28">
        <v>-0.44665158000000016</v>
      </c>
      <c r="C51" s="28">
        <v>-3.603626860000007</v>
      </c>
      <c r="D51" s="28">
        <v>53.160977919999993</v>
      </c>
    </row>
    <row r="52" spans="1:7" x14ac:dyDescent="0.25">
      <c r="A52" s="13" t="s">
        <v>1825</v>
      </c>
      <c r="B52" s="28">
        <v>-32.352755369999997</v>
      </c>
      <c r="C52" s="28">
        <v>23.919048</v>
      </c>
      <c r="D52" s="28">
        <v>1901.251614</v>
      </c>
    </row>
    <row r="53" spans="1:7" x14ac:dyDescent="0.25">
      <c r="A53" s="13" t="s">
        <v>1826</v>
      </c>
      <c r="B53" s="28">
        <v>1.0081118999999952</v>
      </c>
      <c r="C53" s="28">
        <v>79.886841000000004</v>
      </c>
      <c r="D53" s="28">
        <v>1100.0064890000001</v>
      </c>
    </row>
    <row r="54" spans="1:7" x14ac:dyDescent="0.25">
      <c r="A54" s="13" t="s">
        <v>1828</v>
      </c>
      <c r="B54" s="28">
        <v>-4.4291905399999969</v>
      </c>
      <c r="C54" s="28">
        <v>0.32688</v>
      </c>
      <c r="D54" s="28">
        <v>173.79290399999999</v>
      </c>
    </row>
    <row r="55" spans="1:7" x14ac:dyDescent="0.25">
      <c r="A55" s="13" t="s">
        <v>1857</v>
      </c>
      <c r="B55" s="28">
        <v>-14.474433773006133</v>
      </c>
      <c r="C55" s="28">
        <v>-14.474433773006133</v>
      </c>
      <c r="D55" s="28">
        <v>66.105969392638031</v>
      </c>
    </row>
    <row r="56" spans="1:7" x14ac:dyDescent="0.25">
      <c r="A56" s="12" t="s">
        <v>1768</v>
      </c>
      <c r="B56" s="28">
        <v>-156.95287741999999</v>
      </c>
      <c r="C56" s="28">
        <v>-152.76365010023028</v>
      </c>
      <c r="D56" s="28">
        <v>1593.8429170992035</v>
      </c>
    </row>
    <row r="57" spans="1:7" x14ac:dyDescent="0.25">
      <c r="A57" s="13" t="s">
        <v>258</v>
      </c>
      <c r="B57" s="28">
        <v>0</v>
      </c>
      <c r="C57" s="28">
        <v>3.4298218397697209</v>
      </c>
      <c r="D57" s="28">
        <v>169.20099427920363</v>
      </c>
    </row>
    <row r="58" spans="1:7" x14ac:dyDescent="0.25">
      <c r="A58" s="13" t="s">
        <v>164</v>
      </c>
      <c r="B58" s="28">
        <v>-0.91659171999999978</v>
      </c>
      <c r="C58" s="28">
        <v>-0.81194699999999997</v>
      </c>
      <c r="D58" s="28">
        <v>24.819921999999998</v>
      </c>
    </row>
    <row r="59" spans="1:7" x14ac:dyDescent="0.25">
      <c r="A59" s="13" t="s">
        <v>208</v>
      </c>
      <c r="B59" s="28">
        <v>-26.306785200000004</v>
      </c>
      <c r="C59" s="28">
        <v>-35.454871939999997</v>
      </c>
      <c r="D59" s="28">
        <v>198.75920182000002</v>
      </c>
      <c r="E59" s="15"/>
      <c r="F59" s="15"/>
      <c r="G59" s="29"/>
    </row>
    <row r="60" spans="1:7" x14ac:dyDescent="0.25">
      <c r="A60" s="13" t="s">
        <v>168</v>
      </c>
      <c r="B60" s="28">
        <v>-0.37310855999999992</v>
      </c>
      <c r="C60" s="28">
        <v>-0.29906899999999997</v>
      </c>
      <c r="D60" s="28">
        <v>33.652386</v>
      </c>
    </row>
    <row r="61" spans="1:7" x14ac:dyDescent="0.25">
      <c r="A61" s="13" t="s">
        <v>162</v>
      </c>
      <c r="B61" s="28">
        <v>-0.64437375999999991</v>
      </c>
      <c r="C61" s="28">
        <v>-0.616815</v>
      </c>
      <c r="D61" s="28">
        <v>12.28045</v>
      </c>
    </row>
    <row r="62" spans="1:7" x14ac:dyDescent="0.25">
      <c r="A62" s="13" t="s">
        <v>223</v>
      </c>
      <c r="B62" s="28">
        <v>-1.6527143599999989</v>
      </c>
      <c r="C62" s="28">
        <v>-1.4651460000000001</v>
      </c>
      <c r="D62" s="28">
        <v>23.044547999999999</v>
      </c>
    </row>
    <row r="63" spans="1:7" x14ac:dyDescent="0.25">
      <c r="A63" s="13" t="s">
        <v>219</v>
      </c>
      <c r="B63" s="28">
        <v>-17.940993880000018</v>
      </c>
      <c r="C63" s="28">
        <v>-16.022860999999999</v>
      </c>
      <c r="D63" s="28">
        <v>234.65801400000001</v>
      </c>
    </row>
    <row r="64" spans="1:7" x14ac:dyDescent="0.25">
      <c r="A64" s="13" t="s">
        <v>200</v>
      </c>
      <c r="B64" s="28">
        <v>-1.6815717899999993</v>
      </c>
      <c r="C64" s="28">
        <v>-1.488772</v>
      </c>
      <c r="D64" s="28">
        <v>17.723614999999999</v>
      </c>
    </row>
    <row r="65" spans="1:14" x14ac:dyDescent="0.25">
      <c r="A65" s="13" t="s">
        <v>220</v>
      </c>
      <c r="B65" s="28">
        <v>-40.659051159999983</v>
      </c>
      <c r="C65" s="28">
        <v>-37.621934000000003</v>
      </c>
      <c r="D65" s="28">
        <v>328.85118399999999</v>
      </c>
    </row>
    <row r="66" spans="1:14" x14ac:dyDescent="0.25">
      <c r="A66" s="13" t="s">
        <v>166</v>
      </c>
      <c r="B66" s="28">
        <v>-66.777686989999992</v>
      </c>
      <c r="C66" s="28">
        <v>-62.412056</v>
      </c>
      <c r="D66" s="28">
        <v>550.85260200000005</v>
      </c>
    </row>
    <row r="67" spans="1:14" ht="45" x14ac:dyDescent="0.25">
      <c r="A67" s="12" t="s">
        <v>1769</v>
      </c>
      <c r="B67" s="28">
        <v>13.146587073936379</v>
      </c>
      <c r="C67" s="28">
        <v>32.430628780000006</v>
      </c>
      <c r="D67" s="28">
        <v>633.43393758000002</v>
      </c>
      <c r="H67" s="47" t="s">
        <v>1852</v>
      </c>
      <c r="I67" s="48" t="s">
        <v>1851</v>
      </c>
      <c r="J67" s="48" t="s">
        <v>1854</v>
      </c>
      <c r="L67" s="51" t="s">
        <v>1852</v>
      </c>
      <c r="M67" s="48" t="s">
        <v>1851</v>
      </c>
      <c r="N67" s="48" t="s">
        <v>1854</v>
      </c>
    </row>
    <row r="68" spans="1:14" x14ac:dyDescent="0.25">
      <c r="A68" s="13" t="s">
        <v>209</v>
      </c>
      <c r="B68" s="28">
        <v>-1.1998127503379725</v>
      </c>
      <c r="C68" s="28">
        <v>-1.8619050799999981</v>
      </c>
      <c r="D68" s="28">
        <v>83.82320390000001</v>
      </c>
      <c r="H68" s="43" t="s">
        <v>1768</v>
      </c>
      <c r="I68" s="44">
        <f>SUM(I69:I73)</f>
        <v>-91.900916149999972</v>
      </c>
      <c r="J68" s="44">
        <f>SUM(J69:J73)</f>
        <v>-100.71295599999999</v>
      </c>
      <c r="L68" s="43" t="s">
        <v>1768</v>
      </c>
      <c r="M68" s="44">
        <f>SUM(M69:M73)</f>
        <v>-56.907446949999979</v>
      </c>
      <c r="N68" s="44">
        <f>SUM(N69:N73)</f>
        <v>-22.313614999999999</v>
      </c>
    </row>
    <row r="69" spans="1:14" x14ac:dyDescent="0.25">
      <c r="A69" s="13" t="s">
        <v>1835</v>
      </c>
      <c r="B69" s="28">
        <v>0</v>
      </c>
      <c r="C69" s="28">
        <v>0</v>
      </c>
      <c r="D69" s="28">
        <v>3.9275610899999998</v>
      </c>
      <c r="H69" s="45" t="s">
        <v>223</v>
      </c>
      <c r="I69" s="46">
        <v>-5.4972224100000009</v>
      </c>
      <c r="J69" s="46">
        <v>-6.9919779999999996</v>
      </c>
      <c r="L69" s="45" t="s">
        <v>223</v>
      </c>
      <c r="M69" s="46">
        <v>-3.0360826799999985</v>
      </c>
      <c r="N69" s="46">
        <v>-4.7620269999999998</v>
      </c>
    </row>
    <row r="70" spans="1:14" x14ac:dyDescent="0.25">
      <c r="A70" s="13" t="s">
        <v>1798</v>
      </c>
      <c r="B70" s="28">
        <v>-1.656568065725647</v>
      </c>
      <c r="C70" s="28">
        <v>1.6449617400000021</v>
      </c>
      <c r="D70" s="28">
        <v>58.236487470000007</v>
      </c>
      <c r="H70" s="45" t="s">
        <v>219</v>
      </c>
      <c r="I70" s="46">
        <v>-11.251755760000002</v>
      </c>
      <c r="J70" s="46">
        <v>-12.930476000000001</v>
      </c>
      <c r="L70" s="45" t="s">
        <v>219</v>
      </c>
      <c r="M70" s="46">
        <v>-5.4439499100000042</v>
      </c>
      <c r="N70" s="46">
        <v>-3.1342210000000001</v>
      </c>
    </row>
    <row r="71" spans="1:14" x14ac:dyDescent="0.25">
      <c r="A71" s="13" t="s">
        <v>176</v>
      </c>
      <c r="B71" s="28">
        <v>-8.0966316200000019</v>
      </c>
      <c r="C71" s="28">
        <v>9.4599969999999995</v>
      </c>
      <c r="D71" s="28">
        <v>286.17241000000001</v>
      </c>
      <c r="H71" s="45" t="s">
        <v>200</v>
      </c>
      <c r="I71" s="46">
        <v>-5.935457479999994</v>
      </c>
      <c r="J71" s="46">
        <v>-6.9071749999999996</v>
      </c>
      <c r="L71" s="45" t="s">
        <v>200</v>
      </c>
      <c r="M71" s="46">
        <v>-4.3881462799999964</v>
      </c>
      <c r="N71" s="46">
        <v>-4.4252909999999996</v>
      </c>
    </row>
    <row r="72" spans="1:14" x14ac:dyDescent="0.25">
      <c r="A72" s="13" t="s">
        <v>207</v>
      </c>
      <c r="B72" s="28">
        <v>-0.44445929000000006</v>
      </c>
      <c r="C72" s="28">
        <v>1.4288E-2</v>
      </c>
      <c r="D72" s="28">
        <v>20.379176000000001</v>
      </c>
      <c r="H72" s="45" t="s">
        <v>220</v>
      </c>
      <c r="I72" s="46">
        <v>-17.398139220000015</v>
      </c>
      <c r="J72" s="46">
        <v>-18.295400999999998</v>
      </c>
      <c r="L72" s="45" t="s">
        <v>220</v>
      </c>
      <c r="M72" s="46">
        <v>-8.6183647300000104</v>
      </c>
      <c r="N72" s="46">
        <v>10.114461</v>
      </c>
    </row>
    <row r="73" spans="1:14" x14ac:dyDescent="0.25">
      <c r="A73" s="13" t="s">
        <v>214</v>
      </c>
      <c r="B73" s="28">
        <v>-1.9473099999999993E-2</v>
      </c>
      <c r="C73" s="28">
        <v>3.2878999999999999E-2</v>
      </c>
      <c r="D73" s="28">
        <v>1.2590710000000001</v>
      </c>
      <c r="H73" s="45" t="s">
        <v>166</v>
      </c>
      <c r="I73" s="46">
        <v>-51.818341279999956</v>
      </c>
      <c r="J73" s="46">
        <v>-55.587926000000003</v>
      </c>
      <c r="L73" s="45" t="s">
        <v>166</v>
      </c>
      <c r="M73" s="46">
        <v>-35.420903349999975</v>
      </c>
      <c r="N73" s="46">
        <v>-20.106536999999999</v>
      </c>
    </row>
    <row r="74" spans="1:14" x14ac:dyDescent="0.25">
      <c r="A74" s="13" t="s">
        <v>159</v>
      </c>
      <c r="B74" s="28">
        <v>0</v>
      </c>
      <c r="C74" s="28">
        <v>0</v>
      </c>
      <c r="D74" s="28">
        <v>3.3771000000000002E-2</v>
      </c>
      <c r="H74" s="43" t="s">
        <v>1755</v>
      </c>
      <c r="I74" s="44">
        <f>SUM(I75:I78)</f>
        <v>-224.25022035999999</v>
      </c>
      <c r="J74" s="44">
        <f>SUM(J75:J78)</f>
        <v>-263.15804831000003</v>
      </c>
      <c r="L74" s="43" t="s">
        <v>1755</v>
      </c>
      <c r="M74" s="44">
        <f>SUM(M75:M78)</f>
        <v>-161.78978101000001</v>
      </c>
      <c r="N74" s="44">
        <f>SUM(N75:N78)</f>
        <v>-211.38995497999997</v>
      </c>
    </row>
    <row r="75" spans="1:14" x14ac:dyDescent="0.25">
      <c r="A75" s="13" t="s">
        <v>1888</v>
      </c>
      <c r="B75" s="28">
        <v>-3.4928270000000018E-2</v>
      </c>
      <c r="C75" s="28">
        <v>7.7644000000000005E-2</v>
      </c>
      <c r="D75" s="28">
        <v>3.9914540000000001</v>
      </c>
      <c r="H75" s="45" t="s">
        <v>225</v>
      </c>
      <c r="I75" s="46">
        <v>-36.314371439999981</v>
      </c>
      <c r="J75" s="46">
        <v>-44.721212000000001</v>
      </c>
      <c r="L75" s="45" t="s">
        <v>225</v>
      </c>
      <c r="M75" s="46">
        <v>-26.112645920000016</v>
      </c>
      <c r="N75" s="46">
        <v>-35.511462999999999</v>
      </c>
    </row>
    <row r="76" spans="1:14" x14ac:dyDescent="0.25">
      <c r="A76" s="13" t="s">
        <v>181</v>
      </c>
      <c r="B76" s="28">
        <v>-0.90587480999999992</v>
      </c>
      <c r="C76" s="28">
        <v>-0.95003899999999997</v>
      </c>
      <c r="D76" s="28">
        <v>18.063936999999999</v>
      </c>
      <c r="H76" s="45" t="s">
        <v>224</v>
      </c>
      <c r="I76" s="46">
        <v>-78.463880470000021</v>
      </c>
      <c r="J76" s="46">
        <v>-97.809182000000007</v>
      </c>
      <c r="L76" s="45" t="s">
        <v>224</v>
      </c>
      <c r="M76" s="46">
        <v>-54.229809260000032</v>
      </c>
      <c r="N76" s="46">
        <v>-76.649979000000002</v>
      </c>
    </row>
    <row r="77" spans="1:14" x14ac:dyDescent="0.25">
      <c r="A77" s="13" t="s">
        <v>226</v>
      </c>
      <c r="B77" s="28">
        <v>0</v>
      </c>
      <c r="C77" s="28">
        <v>0</v>
      </c>
      <c r="D77" s="28">
        <v>0</v>
      </c>
      <c r="H77" s="45" t="s">
        <v>210</v>
      </c>
      <c r="I77" s="46">
        <v>-26.976997820000001</v>
      </c>
      <c r="J77" s="46">
        <v>-27.307313310000001</v>
      </c>
      <c r="L77" s="45" t="s">
        <v>210</v>
      </c>
      <c r="M77" s="46">
        <v>-28.449560279999996</v>
      </c>
      <c r="N77" s="46">
        <v>-31.34512297999996</v>
      </c>
    </row>
    <row r="78" spans="1:14" x14ac:dyDescent="0.25">
      <c r="A78" s="13" t="s">
        <v>173</v>
      </c>
      <c r="B78" s="28">
        <v>-2.4464384199999989</v>
      </c>
      <c r="C78" s="28">
        <v>-3.9464709999999998</v>
      </c>
      <c r="D78" s="28">
        <v>128.78750199999999</v>
      </c>
      <c r="H78" s="45" t="s">
        <v>221</v>
      </c>
      <c r="I78" s="46">
        <v>-82.494970629999983</v>
      </c>
      <c r="J78" s="46">
        <v>-93.320340999999999</v>
      </c>
      <c r="L78" s="45" t="s">
        <v>221</v>
      </c>
      <c r="M78" s="46">
        <v>-52.997765549999983</v>
      </c>
      <c r="N78" s="46">
        <v>-67.883390000000006</v>
      </c>
    </row>
    <row r="79" spans="1:14" x14ac:dyDescent="0.25">
      <c r="A79" s="13" t="s">
        <v>206</v>
      </c>
      <c r="B79" s="28">
        <v>-6.8171000000000008E-4</v>
      </c>
      <c r="C79" s="28">
        <v>4.1349999999999998E-3</v>
      </c>
      <c r="D79" s="28">
        <v>0.411051</v>
      </c>
      <c r="H79" s="43" t="s">
        <v>1773</v>
      </c>
      <c r="I79" s="44">
        <f>SUM(I80:I87)</f>
        <v>408.51323551000019</v>
      </c>
      <c r="J79" s="44">
        <f>SUM(J80:J87)</f>
        <v>442.01249906000004</v>
      </c>
      <c r="L79" s="43" t="s">
        <v>1773</v>
      </c>
      <c r="M79" s="44">
        <f>SUM(M80:M88)</f>
        <v>638.48742583000001</v>
      </c>
      <c r="N79" s="44">
        <f>SUM(N80:N88)</f>
        <v>699.49960591000001</v>
      </c>
    </row>
    <row r="80" spans="1:14" x14ac:dyDescent="0.25">
      <c r="A80" s="13" t="s">
        <v>205</v>
      </c>
      <c r="B80" s="28">
        <v>-1.3230099999999997E-3</v>
      </c>
      <c r="C80" s="28">
        <v>2.3609999999999998E-3</v>
      </c>
      <c r="D80" s="28">
        <v>0.39553500000000003</v>
      </c>
      <c r="H80" s="45" t="s">
        <v>1870</v>
      </c>
      <c r="I80" s="46">
        <v>-41.104726169999999</v>
      </c>
      <c r="J80" s="46">
        <v>-39.15883994</v>
      </c>
      <c r="L80" s="45" t="s">
        <v>1870</v>
      </c>
      <c r="M80" s="46">
        <v>-25.654944519999983</v>
      </c>
      <c r="N80" s="46">
        <v>-17.750439079999982</v>
      </c>
    </row>
    <row r="81" spans="1:14" x14ac:dyDescent="0.25">
      <c r="A81" s="13" t="s">
        <v>1902</v>
      </c>
      <c r="B81" s="28"/>
      <c r="C81" s="28"/>
      <c r="D81" s="28"/>
      <c r="H81" s="45" t="s">
        <v>1871</v>
      </c>
      <c r="I81" s="46">
        <v>-36.189319209999987</v>
      </c>
      <c r="J81" s="46">
        <v>-34.637218360000013</v>
      </c>
      <c r="L81" s="45" t="s">
        <v>1871</v>
      </c>
      <c r="M81" s="46">
        <v>-22.528424600000001</v>
      </c>
      <c r="N81" s="46">
        <v>-17.199873139999987</v>
      </c>
    </row>
    <row r="82" spans="1:14" x14ac:dyDescent="0.25">
      <c r="A82" s="13" t="s">
        <v>1949</v>
      </c>
      <c r="B82" s="28">
        <v>27.952778120000001</v>
      </c>
      <c r="C82" s="28">
        <v>27.952778120000001</v>
      </c>
      <c r="D82" s="28">
        <v>27.952778120000001</v>
      </c>
      <c r="H82" s="45" t="s">
        <v>1872</v>
      </c>
      <c r="I82" s="46">
        <v>-46.231503379999985</v>
      </c>
      <c r="J82" s="46">
        <v>-44.761276659999965</v>
      </c>
      <c r="L82" s="45" t="s">
        <v>1872</v>
      </c>
      <c r="M82" s="46">
        <v>-65.487689640000028</v>
      </c>
      <c r="N82" s="46">
        <v>-55.497440330000011</v>
      </c>
    </row>
    <row r="83" spans="1:14" x14ac:dyDescent="0.25">
      <c r="A83" s="12" t="s">
        <v>1755</v>
      </c>
      <c r="B83" s="28">
        <v>-65.355696240000015</v>
      </c>
      <c r="C83" s="28">
        <v>-73.696820080000037</v>
      </c>
      <c r="D83" s="28">
        <v>921.7859934999999</v>
      </c>
      <c r="H83" s="45" t="s">
        <v>1873</v>
      </c>
      <c r="I83" s="46">
        <v>-31.290276240000001</v>
      </c>
      <c r="J83" s="46">
        <v>-30.598899689999996</v>
      </c>
      <c r="L83" s="45" t="s">
        <v>1873</v>
      </c>
      <c r="M83" s="46">
        <v>-22.23059537</v>
      </c>
      <c r="N83" s="46">
        <v>-16.839461440000026</v>
      </c>
    </row>
    <row r="84" spans="1:14" x14ac:dyDescent="0.25">
      <c r="A84" s="13" t="s">
        <v>1791</v>
      </c>
      <c r="B84" s="28">
        <v>-4.8674646900000011</v>
      </c>
      <c r="C84" s="28">
        <v>-1.3859767000000178</v>
      </c>
      <c r="D84" s="28">
        <v>136.42863849</v>
      </c>
      <c r="H84" s="45" t="s">
        <v>1874</v>
      </c>
      <c r="I84" s="46">
        <v>-19.934579930000002</v>
      </c>
      <c r="J84" s="46">
        <v>-0.92601900000000004</v>
      </c>
      <c r="L84" s="45" t="s">
        <v>1874</v>
      </c>
      <c r="M84" s="46">
        <v>-28.800020430000014</v>
      </c>
      <c r="N84" s="46">
        <v>-24.464610910000026</v>
      </c>
    </row>
    <row r="85" spans="1:14" x14ac:dyDescent="0.25">
      <c r="A85" s="13" t="s">
        <v>1758</v>
      </c>
      <c r="B85" s="28">
        <v>0</v>
      </c>
      <c r="C85" s="28">
        <v>-0.34146286000000126</v>
      </c>
      <c r="D85" s="28">
        <v>9.4422888699999987</v>
      </c>
      <c r="H85" s="45" t="s">
        <v>1875</v>
      </c>
      <c r="I85" s="46">
        <v>-14.712069380000003</v>
      </c>
      <c r="J85" s="46">
        <v>-37.413316430000009</v>
      </c>
      <c r="L85" s="45" t="s">
        <v>1875</v>
      </c>
      <c r="M85" s="46">
        <v>-14.701011939999999</v>
      </c>
      <c r="N85" s="46">
        <v>-11.466883629999995</v>
      </c>
    </row>
    <row r="86" spans="1:14" x14ac:dyDescent="0.25">
      <c r="A86" s="13" t="s">
        <v>1759</v>
      </c>
      <c r="B86" s="28">
        <v>0</v>
      </c>
      <c r="C86" s="28">
        <v>-0.55595297999999993</v>
      </c>
      <c r="D86" s="28">
        <v>3.3454354500000001</v>
      </c>
      <c r="H86" s="45" t="s">
        <v>1876</v>
      </c>
      <c r="I86" s="46">
        <v>-5.8520781300000007</v>
      </c>
      <c r="J86" s="46">
        <v>35.32002397000003</v>
      </c>
      <c r="L86" s="45" t="s">
        <v>1876</v>
      </c>
      <c r="M86" s="46">
        <v>-6.7963247899999999</v>
      </c>
      <c r="N86" s="46">
        <v>7.1814400200001005</v>
      </c>
    </row>
    <row r="87" spans="1:14" x14ac:dyDescent="0.25">
      <c r="A87" s="13" t="s">
        <v>256</v>
      </c>
      <c r="B87" s="28">
        <v>0</v>
      </c>
      <c r="C87" s="28">
        <v>-1.7370527900000001</v>
      </c>
      <c r="D87" s="28">
        <v>5.2313798499999997</v>
      </c>
      <c r="H87" s="45" t="s">
        <v>1877</v>
      </c>
      <c r="I87" s="46">
        <v>603.82778795000013</v>
      </c>
      <c r="J87" s="46">
        <v>594.18804517000001</v>
      </c>
      <c r="L87" s="45" t="s">
        <v>1877</v>
      </c>
      <c r="M87" s="46">
        <v>-2.4812059499999997</v>
      </c>
      <c r="N87" s="46">
        <v>4.1646526100000143</v>
      </c>
    </row>
    <row r="88" spans="1:14" x14ac:dyDescent="0.25">
      <c r="A88" s="13" t="s">
        <v>189</v>
      </c>
      <c r="B88" s="28">
        <v>-6.1385868300000004</v>
      </c>
      <c r="C88" s="28">
        <v>-15.268212409999997</v>
      </c>
      <c r="D88" s="28">
        <v>59.556669140000004</v>
      </c>
      <c r="H88" s="43" t="s">
        <v>1776</v>
      </c>
      <c r="I88" s="44">
        <f>I89</f>
        <v>421.41076185999998</v>
      </c>
      <c r="J88" s="44">
        <f>J89</f>
        <v>430.76333052999996</v>
      </c>
      <c r="L88" s="45" t="s">
        <v>1879</v>
      </c>
      <c r="M88" s="46">
        <v>827.16764307000005</v>
      </c>
      <c r="N88" s="46">
        <v>831.37222180999993</v>
      </c>
    </row>
    <row r="89" spans="1:14" x14ac:dyDescent="0.25">
      <c r="A89" s="13" t="s">
        <v>225</v>
      </c>
      <c r="B89" s="28">
        <v>-15.24702263</v>
      </c>
      <c r="C89" s="28">
        <v>-15.083515999999999</v>
      </c>
      <c r="D89" s="28">
        <v>215.40694099999999</v>
      </c>
      <c r="H89" s="45" t="s">
        <v>1847</v>
      </c>
      <c r="I89" s="46">
        <v>421.41076185999998</v>
      </c>
      <c r="J89" s="46">
        <v>430.76333052999996</v>
      </c>
      <c r="L89" s="43" t="s">
        <v>1776</v>
      </c>
      <c r="M89" s="44">
        <f>SUM(M90:M92)</f>
        <v>373.97488000000004</v>
      </c>
      <c r="N89" s="44">
        <f>SUM(N90:N92)</f>
        <v>503.04882725999977</v>
      </c>
    </row>
    <row r="90" spans="1:14" x14ac:dyDescent="0.25">
      <c r="A90" s="13" t="s">
        <v>224</v>
      </c>
      <c r="B90" s="28">
        <v>-14.572498070000004</v>
      </c>
      <c r="C90" s="28">
        <v>-15.027385000000001</v>
      </c>
      <c r="D90" s="28">
        <v>154.99134000000001</v>
      </c>
      <c r="L90" s="45" t="s">
        <v>1847</v>
      </c>
      <c r="M90" s="46">
        <v>282.37395572000008</v>
      </c>
      <c r="N90" s="46">
        <v>320.95734925999977</v>
      </c>
    </row>
    <row r="91" spans="1:14" x14ac:dyDescent="0.25">
      <c r="A91" s="13" t="s">
        <v>221</v>
      </c>
      <c r="B91" s="28">
        <v>-24.530124020000017</v>
      </c>
      <c r="C91" s="28">
        <v>-24.317919</v>
      </c>
      <c r="D91" s="28">
        <v>239.23803599999999</v>
      </c>
      <c r="L91" s="45" t="s">
        <v>1751</v>
      </c>
      <c r="M91" s="46">
        <v>46.081562390000016</v>
      </c>
      <c r="N91" s="46">
        <v>133.56962300000001</v>
      </c>
    </row>
    <row r="92" spans="1:14" x14ac:dyDescent="0.25">
      <c r="A92" s="13" t="s">
        <v>1942</v>
      </c>
      <c r="B92" s="28">
        <v>0</v>
      </c>
      <c r="C92" s="28">
        <v>2.0657659999981523E-2</v>
      </c>
      <c r="D92" s="28">
        <v>98.145264699999984</v>
      </c>
      <c r="L92" s="50" t="s">
        <v>1867</v>
      </c>
      <c r="M92" s="49">
        <v>45.519361889999992</v>
      </c>
      <c r="N92" s="49">
        <v>48.521855000000002</v>
      </c>
    </row>
    <row r="93" spans="1:14" x14ac:dyDescent="0.25">
      <c r="A93" s="12" t="s">
        <v>1770</v>
      </c>
      <c r="B93" s="28">
        <v>-13.538442973229358</v>
      </c>
      <c r="C93" s="28">
        <v>-4.2686185400000509</v>
      </c>
      <c r="D93" s="28">
        <v>616.85594656999979</v>
      </c>
    </row>
    <row r="94" spans="1:14" x14ac:dyDescent="0.25">
      <c r="A94" s="13" t="s">
        <v>270</v>
      </c>
      <c r="B94" s="28">
        <v>-4.4015434198297569</v>
      </c>
      <c r="C94" s="28">
        <v>0.85909411999994512</v>
      </c>
      <c r="D94" s="28">
        <v>324.00943785999993</v>
      </c>
      <c r="L94" s="43" t="s">
        <v>1880</v>
      </c>
      <c r="M94" s="44">
        <f>M68+M74+M79+M89</f>
        <v>793.76507787000014</v>
      </c>
      <c r="N94" s="44">
        <f>N68+N74+N79+N89</f>
        <v>968.84486318999984</v>
      </c>
    </row>
    <row r="95" spans="1:14" x14ac:dyDescent="0.25">
      <c r="A95" s="13" t="s">
        <v>1799</v>
      </c>
      <c r="B95" s="28">
        <v>-5.4248355633996006</v>
      </c>
      <c r="C95" s="28">
        <v>-2.4887236599999962</v>
      </c>
      <c r="D95" s="28">
        <v>121.44878271</v>
      </c>
    </row>
    <row r="96" spans="1:14" x14ac:dyDescent="0.25">
      <c r="A96" s="13" t="s">
        <v>178</v>
      </c>
      <c r="B96" s="28">
        <v>-0.91588527000000008</v>
      </c>
      <c r="C96" s="28">
        <v>-4.2335999999999999E-2</v>
      </c>
      <c r="D96" s="28">
        <v>44.621308999999997</v>
      </c>
    </row>
    <row r="97" spans="1:4" x14ac:dyDescent="0.25">
      <c r="A97" s="13" t="s">
        <v>199</v>
      </c>
      <c r="B97" s="28">
        <v>0</v>
      </c>
      <c r="C97" s="28">
        <v>5.45E-3</v>
      </c>
      <c r="D97" s="28">
        <v>0.22134799999999999</v>
      </c>
    </row>
    <row r="98" spans="1:4" x14ac:dyDescent="0.25">
      <c r="A98" s="13" t="s">
        <v>170</v>
      </c>
      <c r="B98" s="28">
        <v>-0.61411252000000005</v>
      </c>
      <c r="C98" s="28">
        <v>-0.59741200000000005</v>
      </c>
      <c r="D98" s="28">
        <v>10.517232999999999</v>
      </c>
    </row>
    <row r="99" spans="1:4" x14ac:dyDescent="0.25">
      <c r="A99" s="13" t="s">
        <v>203</v>
      </c>
      <c r="B99" s="28">
        <v>-0.51472249999999986</v>
      </c>
      <c r="C99" s="28">
        <v>-0.475381</v>
      </c>
      <c r="D99" s="28">
        <v>17.251249999999999</v>
      </c>
    </row>
    <row r="100" spans="1:4" x14ac:dyDescent="0.25">
      <c r="A100" s="13" t="s">
        <v>213</v>
      </c>
      <c r="B100" s="28">
        <v>0</v>
      </c>
      <c r="C100" s="28">
        <v>0</v>
      </c>
      <c r="D100" s="28">
        <v>5.0175780000000003</v>
      </c>
    </row>
    <row r="101" spans="1:4" x14ac:dyDescent="0.25">
      <c r="A101" s="13" t="s">
        <v>171</v>
      </c>
      <c r="B101" s="28">
        <v>-8.5763499999999999E-3</v>
      </c>
      <c r="C101" s="28">
        <v>-1.129E-3</v>
      </c>
      <c r="D101" s="28">
        <v>1.3635029999999999</v>
      </c>
    </row>
    <row r="102" spans="1:4" x14ac:dyDescent="0.25">
      <c r="A102" s="13" t="s">
        <v>182</v>
      </c>
      <c r="B102" s="28">
        <v>-0.15550710000000009</v>
      </c>
      <c r="C102" s="28">
        <v>-9.9270000000000001E-3</v>
      </c>
      <c r="D102" s="28">
        <v>26.945799999999998</v>
      </c>
    </row>
    <row r="103" spans="1:4" x14ac:dyDescent="0.25">
      <c r="A103" s="13" t="s">
        <v>204</v>
      </c>
      <c r="B103" s="28">
        <v>-3.7616500000000005E-3</v>
      </c>
      <c r="C103" s="28">
        <v>1.0460000000000001E-3</v>
      </c>
      <c r="D103" s="28">
        <v>0.79557</v>
      </c>
    </row>
    <row r="104" spans="1:4" x14ac:dyDescent="0.25">
      <c r="A104" s="13" t="s">
        <v>160</v>
      </c>
      <c r="B104" s="28">
        <v>-1.7807070000000001E-2</v>
      </c>
      <c r="C104" s="28">
        <v>-1.7422E-2</v>
      </c>
      <c r="D104" s="28">
        <v>0.25534299999999999</v>
      </c>
    </row>
    <row r="105" spans="1:4" x14ac:dyDescent="0.25">
      <c r="A105" s="13" t="s">
        <v>177</v>
      </c>
      <c r="B105" s="28">
        <v>-1.4816915300000004</v>
      </c>
      <c r="C105" s="28">
        <v>-1.501878</v>
      </c>
      <c r="D105" s="28">
        <v>64.408792000000005</v>
      </c>
    </row>
    <row r="106" spans="1:4" x14ac:dyDescent="0.25">
      <c r="A106" s="13" t="s">
        <v>1901</v>
      </c>
      <c r="B106" s="28"/>
      <c r="C106" s="28"/>
      <c r="D106" s="28"/>
    </row>
    <row r="107" spans="1:4" x14ac:dyDescent="0.25">
      <c r="A107" s="12" t="s">
        <v>1773</v>
      </c>
      <c r="B107" s="28">
        <v>-335.68777626999997</v>
      </c>
      <c r="C107" s="28">
        <v>-421.23752242000012</v>
      </c>
      <c r="D107" s="28">
        <v>1773.0446880299999</v>
      </c>
    </row>
    <row r="108" spans="1:4" x14ac:dyDescent="0.25">
      <c r="A108" s="13" t="s">
        <v>215</v>
      </c>
      <c r="B108" s="28"/>
      <c r="C108" s="28"/>
      <c r="D108" s="28"/>
    </row>
    <row r="109" spans="1:4" x14ac:dyDescent="0.25">
      <c r="A109" s="13" t="s">
        <v>259</v>
      </c>
      <c r="B109" s="28"/>
      <c r="C109" s="28"/>
      <c r="D109" s="28"/>
    </row>
    <row r="110" spans="1:4" x14ac:dyDescent="0.25">
      <c r="A110" s="13" t="s">
        <v>227</v>
      </c>
      <c r="B110" s="28"/>
      <c r="C110" s="28"/>
      <c r="D110" s="28"/>
    </row>
    <row r="111" spans="1:4" x14ac:dyDescent="0.25">
      <c r="A111" s="13" t="s">
        <v>216</v>
      </c>
      <c r="B111" s="28"/>
      <c r="C111" s="28"/>
      <c r="D111" s="28"/>
    </row>
    <row r="112" spans="1:4" x14ac:dyDescent="0.25">
      <c r="A112" s="13" t="s">
        <v>222</v>
      </c>
      <c r="B112" s="28">
        <v>-0.33470783000000004</v>
      </c>
      <c r="C112" s="28">
        <v>0</v>
      </c>
      <c r="D112" s="28">
        <v>0</v>
      </c>
    </row>
    <row r="113" spans="1:4" x14ac:dyDescent="0.25">
      <c r="A113" s="13" t="s">
        <v>172</v>
      </c>
      <c r="B113" s="28">
        <v>-0.34050277000000001</v>
      </c>
      <c r="C113" s="28">
        <v>-0.46890500000000002</v>
      </c>
      <c r="D113" s="28">
        <v>4.7049529999999997</v>
      </c>
    </row>
    <row r="114" spans="1:4" x14ac:dyDescent="0.25">
      <c r="A114" s="13" t="s">
        <v>1849</v>
      </c>
      <c r="B114" s="28">
        <v>-75.897228409999983</v>
      </c>
      <c r="C114" s="28">
        <v>-103.51483618</v>
      </c>
      <c r="D114" s="28">
        <v>451.98023058000001</v>
      </c>
    </row>
    <row r="115" spans="1:4" x14ac:dyDescent="0.25">
      <c r="A115" s="13" t="s">
        <v>1863</v>
      </c>
      <c r="B115" s="28">
        <v>-47.534278330000006</v>
      </c>
      <c r="C115" s="28">
        <v>-63.884147670000019</v>
      </c>
      <c r="D115" s="28">
        <v>277.93822362999998</v>
      </c>
    </row>
    <row r="116" spans="1:4" x14ac:dyDescent="0.25">
      <c r="A116" s="13" t="s">
        <v>1878</v>
      </c>
      <c r="B116" s="28">
        <v>-114.98840888000004</v>
      </c>
      <c r="C116" s="28">
        <v>-138.67363238999999</v>
      </c>
      <c r="D116" s="28">
        <v>335.14685768999999</v>
      </c>
    </row>
    <row r="117" spans="1:4" x14ac:dyDescent="0.25">
      <c r="A117" s="13" t="s">
        <v>1882</v>
      </c>
      <c r="B117" s="28">
        <v>-68.314787599999974</v>
      </c>
      <c r="C117" s="28">
        <v>-89.223301379999995</v>
      </c>
      <c r="D117" s="28">
        <v>319.41248587000001</v>
      </c>
    </row>
    <row r="118" spans="1:4" x14ac:dyDescent="0.25">
      <c r="A118" s="13" t="s">
        <v>1884</v>
      </c>
      <c r="B118" s="28">
        <v>-10.126505439999999</v>
      </c>
      <c r="C118" s="28">
        <v>-7.3314559100000265</v>
      </c>
      <c r="D118" s="28">
        <v>290.32317913999998</v>
      </c>
    </row>
    <row r="119" spans="1:4" x14ac:dyDescent="0.25">
      <c r="A119" s="13" t="s">
        <v>1913</v>
      </c>
      <c r="B119" s="28">
        <v>-18.151357009999995</v>
      </c>
      <c r="C119" s="28">
        <v>-18.141243890000002</v>
      </c>
      <c r="D119" s="28">
        <v>93.538758120000011</v>
      </c>
    </row>
    <row r="120" spans="1:4" x14ac:dyDescent="0.25">
      <c r="A120" s="12" t="s">
        <v>1776</v>
      </c>
      <c r="B120" s="28">
        <v>-121.28221164999998</v>
      </c>
      <c r="C120" s="28">
        <v>167.52077815999994</v>
      </c>
      <c r="D120" s="28">
        <v>1823.49186639</v>
      </c>
    </row>
    <row r="121" spans="1:4" x14ac:dyDescent="0.25">
      <c r="A121" s="13" t="s">
        <v>1847</v>
      </c>
      <c r="B121" s="28">
        <v>-136.91223576999997</v>
      </c>
      <c r="C121" s="28">
        <v>118.68121780999994</v>
      </c>
      <c r="D121" s="28">
        <v>651.52608787999998</v>
      </c>
    </row>
    <row r="122" spans="1:4" x14ac:dyDescent="0.25">
      <c r="A122" s="13" t="s">
        <v>257</v>
      </c>
      <c r="B122" s="28">
        <v>0</v>
      </c>
      <c r="C122" s="28">
        <v>-4.6429406500000008</v>
      </c>
      <c r="D122" s="28">
        <v>9.5423505100000003</v>
      </c>
    </row>
    <row r="123" spans="1:4" x14ac:dyDescent="0.25">
      <c r="A123" s="13" t="s">
        <v>1751</v>
      </c>
      <c r="B123" s="28">
        <v>0</v>
      </c>
      <c r="C123" s="28">
        <v>0</v>
      </c>
      <c r="D123" s="28">
        <v>0</v>
      </c>
    </row>
    <row r="124" spans="1:4" x14ac:dyDescent="0.25">
      <c r="A124" s="13" t="s">
        <v>1753</v>
      </c>
      <c r="B124" s="28">
        <v>0</v>
      </c>
      <c r="C124" s="28">
        <v>0</v>
      </c>
      <c r="D124" s="28">
        <v>0</v>
      </c>
    </row>
    <row r="125" spans="1:4" x14ac:dyDescent="0.25">
      <c r="A125" s="13" t="s">
        <v>1867</v>
      </c>
      <c r="B125" s="28">
        <v>8.885720719999993</v>
      </c>
      <c r="C125" s="28">
        <v>40.512971</v>
      </c>
      <c r="D125" s="28">
        <v>909.58005100000003</v>
      </c>
    </row>
    <row r="126" spans="1:4" x14ac:dyDescent="0.25">
      <c r="A126" s="13" t="s">
        <v>1897</v>
      </c>
      <c r="B126" s="28">
        <v>6.5174121099999942</v>
      </c>
      <c r="C126" s="28">
        <v>12.969530000000001</v>
      </c>
      <c r="D126" s="28">
        <v>252.843377</v>
      </c>
    </row>
    <row r="127" spans="1:4" x14ac:dyDescent="0.25">
      <c r="A127" s="13" t="s">
        <v>1898</v>
      </c>
      <c r="B127" s="28">
        <v>0.22689129000000094</v>
      </c>
      <c r="C127" s="28">
        <v>0</v>
      </c>
      <c r="D127" s="28">
        <v>0</v>
      </c>
    </row>
    <row r="128" spans="1:4" x14ac:dyDescent="0.25">
      <c r="A128" s="12" t="s">
        <v>1868</v>
      </c>
      <c r="B128" s="28">
        <v>0</v>
      </c>
      <c r="C128" s="28">
        <v>0</v>
      </c>
      <c r="D128" s="28">
        <v>0</v>
      </c>
    </row>
    <row r="129" spans="1:4" x14ac:dyDescent="0.25">
      <c r="A129" s="13" t="s">
        <v>1794</v>
      </c>
      <c r="B129" s="28"/>
      <c r="C129" s="28"/>
      <c r="D129" s="28"/>
    </row>
    <row r="130" spans="1:4" x14ac:dyDescent="0.25">
      <c r="A130" s="13" t="s">
        <v>1802</v>
      </c>
      <c r="B130" s="28"/>
      <c r="C130" s="28"/>
      <c r="D130" s="28"/>
    </row>
    <row r="131" spans="1:4" x14ac:dyDescent="0.25">
      <c r="A131" s="13" t="s">
        <v>260</v>
      </c>
      <c r="B131" s="28">
        <v>0</v>
      </c>
      <c r="C131" s="28">
        <v>0</v>
      </c>
      <c r="D131" s="28">
        <v>0</v>
      </c>
    </row>
    <row r="132" spans="1:4" x14ac:dyDescent="0.25">
      <c r="A132" s="13" t="s">
        <v>261</v>
      </c>
      <c r="B132" s="28">
        <v>0</v>
      </c>
      <c r="C132" s="28">
        <v>0</v>
      </c>
      <c r="D132" s="28">
        <v>0</v>
      </c>
    </row>
    <row r="133" spans="1:4" x14ac:dyDescent="0.25">
      <c r="A133" s="13" t="s">
        <v>262</v>
      </c>
      <c r="B133" s="28">
        <v>0</v>
      </c>
      <c r="C133" s="28">
        <v>0</v>
      </c>
      <c r="D133" s="28">
        <v>0</v>
      </c>
    </row>
    <row r="134" spans="1:4" x14ac:dyDescent="0.25">
      <c r="A134" s="13" t="s">
        <v>263</v>
      </c>
      <c r="B134" s="28">
        <v>0</v>
      </c>
      <c r="C134" s="28">
        <v>0</v>
      </c>
      <c r="D134" s="28">
        <v>0</v>
      </c>
    </row>
    <row r="135" spans="1:4" x14ac:dyDescent="0.25">
      <c r="A135" s="13" t="s">
        <v>1868</v>
      </c>
      <c r="B135" s="28"/>
      <c r="C135" s="28"/>
      <c r="D135" s="28"/>
    </row>
  </sheetData>
  <sortState xmlns:xlrd2="http://schemas.microsoft.com/office/spreadsheetml/2017/richdata2" ref="H21:J30">
    <sortCondition ref="I21:I30"/>
  </sortState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140"/>
  <sheetViews>
    <sheetView zoomScale="80" zoomScaleNormal="80" workbookViewId="0">
      <selection activeCell="C59" sqref="C59"/>
    </sheetView>
  </sheetViews>
  <sheetFormatPr defaultRowHeight="15" x14ac:dyDescent="0.25"/>
  <cols>
    <col min="1" max="1" width="10.7109375" customWidth="1"/>
    <col min="2" max="2" width="21.5703125" style="14" customWidth="1"/>
    <col min="3" max="3" width="80.5703125" style="14" bestFit="1" customWidth="1"/>
    <col min="4" max="4" width="10.85546875" customWidth="1"/>
    <col min="5" max="5" width="13.42578125" bestFit="1" customWidth="1"/>
    <col min="6" max="6" width="11.28515625" customWidth="1"/>
    <col min="7" max="7" width="11.28515625" bestFit="1" customWidth="1"/>
  </cols>
  <sheetData>
    <row r="3" spans="1:7" ht="36" customHeight="1" x14ac:dyDescent="0.25">
      <c r="A3" s="10" t="s">
        <v>1761</v>
      </c>
      <c r="B3" s="10" t="s">
        <v>1745</v>
      </c>
      <c r="C3" s="10" t="s">
        <v>265</v>
      </c>
      <c r="D3" s="42" t="s">
        <v>1918</v>
      </c>
      <c r="E3" s="55" t="s">
        <v>1914</v>
      </c>
      <c r="F3" s="56" t="s">
        <v>1917</v>
      </c>
      <c r="G3" t="s">
        <v>1915</v>
      </c>
    </row>
    <row r="4" spans="1:7" x14ac:dyDescent="0.25">
      <c r="A4" t="s">
        <v>1762</v>
      </c>
      <c r="B4"/>
      <c r="C4"/>
      <c r="D4" s="57">
        <v>-519.25036263261438</v>
      </c>
      <c r="E4" s="53">
        <v>-0.1250560398587682</v>
      </c>
      <c r="F4" s="57">
        <v>-350.87000176323659</v>
      </c>
      <c r="G4" s="27">
        <v>4152.1414177118413</v>
      </c>
    </row>
    <row r="5" spans="1:7" x14ac:dyDescent="0.25">
      <c r="B5" t="s">
        <v>1774</v>
      </c>
      <c r="C5"/>
      <c r="D5" s="57">
        <v>-2.977460730000002</v>
      </c>
      <c r="E5" s="53">
        <v>-4.0101650192777269E-2</v>
      </c>
      <c r="F5" s="57">
        <v>-2.9849540900000036</v>
      </c>
      <c r="G5" s="27">
        <v>74.24783558</v>
      </c>
    </row>
    <row r="6" spans="1:7" x14ac:dyDescent="0.25">
      <c r="B6"/>
      <c r="C6" t="s">
        <v>211</v>
      </c>
      <c r="D6" s="57">
        <v>-2.977460730000002</v>
      </c>
      <c r="E6" s="53">
        <v>-4.0101650192777269E-2</v>
      </c>
      <c r="F6" s="57">
        <v>-2.9849540900000036</v>
      </c>
      <c r="G6" s="27">
        <v>74.24783558</v>
      </c>
    </row>
    <row r="7" spans="1:7" x14ac:dyDescent="0.25">
      <c r="B7" t="s">
        <v>1756</v>
      </c>
      <c r="C7"/>
      <c r="D7" s="57">
        <v>-7.3841967103152903</v>
      </c>
      <c r="E7" s="53">
        <v>-2.8701928973401222E-2</v>
      </c>
      <c r="F7" s="57">
        <v>-5.1672111199999486</v>
      </c>
      <c r="G7" s="27">
        <v>257.27179233000004</v>
      </c>
    </row>
    <row r="8" spans="1:7" hidden="1" x14ac:dyDescent="0.25">
      <c r="B8"/>
      <c r="C8" t="s">
        <v>1900</v>
      </c>
      <c r="D8" s="57"/>
      <c r="E8" s="53" t="e">
        <v>#DIV/0!</v>
      </c>
      <c r="F8" s="57"/>
      <c r="G8" s="27"/>
    </row>
    <row r="9" spans="1:7" x14ac:dyDescent="0.25">
      <c r="B9"/>
      <c r="C9" t="s">
        <v>271</v>
      </c>
      <c r="D9" s="57">
        <v>-6.5852741259017717</v>
      </c>
      <c r="E9" s="53">
        <v>-2.7121512565403953E-2</v>
      </c>
      <c r="F9" s="57">
        <v>-4.3407969299999474</v>
      </c>
      <c r="G9" s="27">
        <v>242.80630035000001</v>
      </c>
    </row>
    <row r="10" spans="1:7" x14ac:dyDescent="0.25">
      <c r="B10"/>
      <c r="C10" t="s">
        <v>1834</v>
      </c>
      <c r="D10" s="57">
        <v>0</v>
      </c>
      <c r="E10" s="53">
        <v>0</v>
      </c>
      <c r="F10" s="57">
        <v>0</v>
      </c>
      <c r="G10" s="27">
        <v>6.9702261600000002</v>
      </c>
    </row>
    <row r="11" spans="1:7" x14ac:dyDescent="0.25">
      <c r="B11"/>
      <c r="C11" t="s">
        <v>1800</v>
      </c>
      <c r="D11" s="57">
        <v>-0.79892258441351893</v>
      </c>
      <c r="E11" s="53">
        <v>-0.10659029360662742</v>
      </c>
      <c r="F11" s="57">
        <v>-0.82641419000000138</v>
      </c>
      <c r="G11" s="27">
        <v>7.4952658199999993</v>
      </c>
    </row>
    <row r="12" spans="1:7" x14ac:dyDescent="0.25">
      <c r="B12" t="s">
        <v>1775</v>
      </c>
      <c r="C12"/>
      <c r="D12" s="57">
        <v>-14.921085353006134</v>
      </c>
      <c r="E12" s="53">
        <v>-0.12510662584406596</v>
      </c>
      <c r="F12" s="57">
        <v>-18.078060633006139</v>
      </c>
      <c r="G12" s="27">
        <v>119.26694731263802</v>
      </c>
    </row>
    <row r="13" spans="1:7" x14ac:dyDescent="0.25">
      <c r="B13"/>
      <c r="C13" t="s">
        <v>1857</v>
      </c>
      <c r="D13" s="57">
        <v>-14.474433773006133</v>
      </c>
      <c r="E13" s="53">
        <v>-0.21895804427335266</v>
      </c>
      <c r="F13" s="57">
        <v>-14.474433773006133</v>
      </c>
      <c r="G13" s="27">
        <v>66.105969392638031</v>
      </c>
    </row>
    <row r="14" spans="1:7" x14ac:dyDescent="0.25">
      <c r="B14"/>
      <c r="C14" t="s">
        <v>212</v>
      </c>
      <c r="D14" s="57">
        <v>-0.44665158000000016</v>
      </c>
      <c r="E14" s="53">
        <v>-8.4018691430422839E-3</v>
      </c>
      <c r="F14" s="57">
        <v>-3.603626860000007</v>
      </c>
      <c r="G14" s="27">
        <v>53.160977919999993</v>
      </c>
    </row>
    <row r="15" spans="1:7" x14ac:dyDescent="0.25">
      <c r="B15" t="s">
        <v>1768</v>
      </c>
      <c r="C15"/>
      <c r="D15" s="57">
        <v>-26.306785200000004</v>
      </c>
      <c r="E15" s="53">
        <v>-7.149356228983958E-2</v>
      </c>
      <c r="F15" s="57">
        <v>-32.025050100230274</v>
      </c>
      <c r="G15" s="27">
        <v>367.96019609920364</v>
      </c>
    </row>
    <row r="16" spans="1:7" x14ac:dyDescent="0.25">
      <c r="B16"/>
      <c r="C16" t="s">
        <v>258</v>
      </c>
      <c r="D16" s="57">
        <v>0</v>
      </c>
      <c r="E16" s="53">
        <v>0</v>
      </c>
      <c r="F16" s="57">
        <v>3.4298218397697209</v>
      </c>
      <c r="G16" s="27">
        <v>169.20099427920363</v>
      </c>
    </row>
    <row r="17" spans="2:7" x14ac:dyDescent="0.25">
      <c r="B17"/>
      <c r="C17" t="s">
        <v>208</v>
      </c>
      <c r="D17" s="57">
        <v>-26.306785200000004</v>
      </c>
      <c r="E17" s="53">
        <v>-0.13235505556026489</v>
      </c>
      <c r="F17" s="57">
        <v>-35.454871939999997</v>
      </c>
      <c r="G17" s="27">
        <v>198.75920182000002</v>
      </c>
    </row>
    <row r="18" spans="2:7" x14ac:dyDescent="0.25">
      <c r="B18" t="s">
        <v>1769</v>
      </c>
      <c r="C18"/>
      <c r="D18" s="57">
        <v>25.096397303936381</v>
      </c>
      <c r="E18" s="53">
        <v>0.14428189543403483</v>
      </c>
      <c r="F18" s="57">
        <v>27.735834780000005</v>
      </c>
      <c r="G18" s="27">
        <v>173.94003058000001</v>
      </c>
    </row>
    <row r="19" spans="2:7" hidden="1" x14ac:dyDescent="0.25">
      <c r="B19"/>
      <c r="C19" t="s">
        <v>1902</v>
      </c>
      <c r="D19" s="57"/>
      <c r="E19" s="53" t="e">
        <v>#DIV/0!</v>
      </c>
      <c r="F19" s="57"/>
      <c r="G19" s="27"/>
    </row>
    <row r="20" spans="2:7" x14ac:dyDescent="0.25">
      <c r="B20"/>
      <c r="C20" t="s">
        <v>209</v>
      </c>
      <c r="D20" s="57">
        <v>-1.1998127503379725</v>
      </c>
      <c r="E20" s="53">
        <v>-1.4313611202088308E-2</v>
      </c>
      <c r="F20" s="57">
        <v>-1.8619050799999981</v>
      </c>
      <c r="G20" s="27">
        <v>83.82320390000001</v>
      </c>
    </row>
    <row r="21" spans="2:7" x14ac:dyDescent="0.25">
      <c r="B21"/>
      <c r="C21" t="s">
        <v>1835</v>
      </c>
      <c r="D21" s="57">
        <v>0</v>
      </c>
      <c r="E21" s="53">
        <v>0</v>
      </c>
      <c r="F21" s="57">
        <v>0</v>
      </c>
      <c r="G21" s="27">
        <v>3.9275610899999998</v>
      </c>
    </row>
    <row r="22" spans="2:7" x14ac:dyDescent="0.25">
      <c r="B22"/>
      <c r="C22" t="s">
        <v>1798</v>
      </c>
      <c r="D22" s="57">
        <v>-1.656568065725647</v>
      </c>
      <c r="E22" s="53">
        <v>-2.8445535397013992E-2</v>
      </c>
      <c r="F22" s="57">
        <v>1.6449617400000021</v>
      </c>
      <c r="G22" s="27">
        <v>58.236487470000007</v>
      </c>
    </row>
    <row r="23" spans="2:7" x14ac:dyDescent="0.25">
      <c r="B23"/>
      <c r="C23" t="s">
        <v>1949</v>
      </c>
      <c r="D23" s="57">
        <v>27.952778120000001</v>
      </c>
      <c r="E23" s="53">
        <v>1</v>
      </c>
      <c r="F23" s="57">
        <v>27.952778120000001</v>
      </c>
      <c r="G23" s="27">
        <v>27.952778120000001</v>
      </c>
    </row>
    <row r="24" spans="2:7" x14ac:dyDescent="0.25">
      <c r="B24" t="s">
        <v>1755</v>
      </c>
      <c r="C24"/>
      <c r="D24" s="57">
        <v>-11.006051520000002</v>
      </c>
      <c r="E24" s="53">
        <v>-3.7418930758587571E-2</v>
      </c>
      <c r="F24" s="57">
        <v>-16.633531450000035</v>
      </c>
      <c r="G24" s="27">
        <v>294.13057232999995</v>
      </c>
    </row>
    <row r="25" spans="2:7" x14ac:dyDescent="0.25">
      <c r="B25"/>
      <c r="C25" t="s">
        <v>1791</v>
      </c>
      <c r="D25" s="57">
        <v>-4.8674646900000011</v>
      </c>
      <c r="E25" s="53">
        <v>-3.5677734117069405E-2</v>
      </c>
      <c r="F25" s="57">
        <v>-1.3859767000000178</v>
      </c>
      <c r="G25" s="27">
        <v>136.42863849</v>
      </c>
    </row>
    <row r="26" spans="2:7" x14ac:dyDescent="0.25">
      <c r="B26"/>
      <c r="C26" t="s">
        <v>189</v>
      </c>
      <c r="D26" s="57">
        <v>-6.1385868300000004</v>
      </c>
      <c r="E26" s="53">
        <v>-0.10307135907097172</v>
      </c>
      <c r="F26" s="57">
        <v>-15.268212409999997</v>
      </c>
      <c r="G26" s="27">
        <v>59.556669140000004</v>
      </c>
    </row>
    <row r="27" spans="2:7" x14ac:dyDescent="0.25">
      <c r="B27"/>
      <c r="C27" t="s">
        <v>1942</v>
      </c>
      <c r="D27" s="57">
        <v>0</v>
      </c>
      <c r="E27" s="53">
        <v>0</v>
      </c>
      <c r="F27" s="57">
        <v>2.0657659999981523E-2</v>
      </c>
      <c r="G27" s="27">
        <v>98.145264699999984</v>
      </c>
    </row>
    <row r="28" spans="2:7" x14ac:dyDescent="0.25">
      <c r="B28" t="s">
        <v>1770</v>
      </c>
      <c r="C28"/>
      <c r="D28" s="57">
        <v>-9.8263789832293575</v>
      </c>
      <c r="E28" s="53">
        <v>-2.2059036132851491E-2</v>
      </c>
      <c r="F28" s="57">
        <v>-1.6296295400000511</v>
      </c>
      <c r="G28" s="27">
        <v>445.45822056999992</v>
      </c>
    </row>
    <row r="29" spans="2:7" hidden="1" x14ac:dyDescent="0.25">
      <c r="B29"/>
      <c r="C29" t="s">
        <v>1901</v>
      </c>
      <c r="D29" s="57"/>
      <c r="E29" s="53" t="e">
        <v>#DIV/0!</v>
      </c>
      <c r="F29" s="57"/>
      <c r="G29" s="27"/>
    </row>
    <row r="30" spans="2:7" x14ac:dyDescent="0.25">
      <c r="B30"/>
      <c r="C30" t="s">
        <v>270</v>
      </c>
      <c r="D30" s="57">
        <v>-4.4015434198297569</v>
      </c>
      <c r="E30" s="53">
        <v>-1.3584614846100884E-2</v>
      </c>
      <c r="F30" s="57">
        <v>0.85909411999994512</v>
      </c>
      <c r="G30" s="27">
        <v>324.00943785999993</v>
      </c>
    </row>
    <row r="31" spans="2:7" x14ac:dyDescent="0.25">
      <c r="B31"/>
      <c r="C31" t="s">
        <v>1799</v>
      </c>
      <c r="D31" s="57">
        <v>-5.4248355633996006</v>
      </c>
      <c r="E31" s="53">
        <v>-4.4667681654358186E-2</v>
      </c>
      <c r="F31" s="57">
        <v>-2.4887236599999962</v>
      </c>
      <c r="G31" s="27">
        <v>121.44878271</v>
      </c>
    </row>
    <row r="32" spans="2:7" x14ac:dyDescent="0.25">
      <c r="B32" t="s">
        <v>1773</v>
      </c>
      <c r="C32"/>
      <c r="D32" s="57">
        <v>-335.01256566999996</v>
      </c>
      <c r="E32" s="53">
        <v>-0.18945034092349705</v>
      </c>
      <c r="F32" s="57">
        <v>-420.76861742000006</v>
      </c>
      <c r="G32" s="27">
        <v>1768.3397350300002</v>
      </c>
    </row>
    <row r="33" spans="1:7" x14ac:dyDescent="0.25">
      <c r="B33"/>
      <c r="C33" t="s">
        <v>1884</v>
      </c>
      <c r="D33" s="57">
        <v>-10.126505439999999</v>
      </c>
      <c r="E33" s="53">
        <v>-3.4880113499710555E-2</v>
      </c>
      <c r="F33" s="57">
        <v>-7.3314559100000265</v>
      </c>
      <c r="G33" s="27">
        <v>290.32317913999998</v>
      </c>
    </row>
    <row r="34" spans="1:7" hidden="1" x14ac:dyDescent="0.25">
      <c r="B34"/>
      <c r="C34" t="s">
        <v>215</v>
      </c>
      <c r="D34" s="57"/>
      <c r="E34" s="53" t="e">
        <v>#DIV/0!</v>
      </c>
      <c r="F34" s="57"/>
      <c r="G34" s="27"/>
    </row>
    <row r="35" spans="1:7" hidden="1" x14ac:dyDescent="0.25">
      <c r="B35"/>
      <c r="C35" t="s">
        <v>259</v>
      </c>
      <c r="D35" s="57"/>
      <c r="E35" s="53" t="e">
        <v>#DIV/0!</v>
      </c>
      <c r="F35" s="57"/>
      <c r="G35" s="27"/>
    </row>
    <row r="36" spans="1:7" x14ac:dyDescent="0.25">
      <c r="B36"/>
      <c r="C36" t="s">
        <v>1878</v>
      </c>
      <c r="D36" s="57">
        <v>-114.98840888000004</v>
      </c>
      <c r="E36" s="53">
        <v>-0.34309857377914194</v>
      </c>
      <c r="F36" s="57">
        <v>-138.67363238999999</v>
      </c>
      <c r="G36" s="27">
        <v>335.14685768999999</v>
      </c>
    </row>
    <row r="37" spans="1:7" x14ac:dyDescent="0.25">
      <c r="B37"/>
      <c r="C37" t="s">
        <v>1882</v>
      </c>
      <c r="D37" s="57">
        <v>-68.314787599999974</v>
      </c>
      <c r="E37" s="53">
        <v>-0.21387638436840536</v>
      </c>
      <c r="F37" s="57">
        <v>-89.223301379999995</v>
      </c>
      <c r="G37" s="27">
        <v>319.41248587000001</v>
      </c>
    </row>
    <row r="38" spans="1:7" hidden="1" x14ac:dyDescent="0.25">
      <c r="B38"/>
      <c r="C38" t="s">
        <v>227</v>
      </c>
      <c r="D38" s="57"/>
      <c r="E38" s="53" t="e">
        <v>#DIV/0!</v>
      </c>
      <c r="F38" s="57"/>
      <c r="G38" s="27"/>
    </row>
    <row r="39" spans="1:7" hidden="1" x14ac:dyDescent="0.25">
      <c r="B39"/>
      <c r="C39" t="s">
        <v>216</v>
      </c>
      <c r="D39" s="57"/>
      <c r="E39" s="53" t="e">
        <v>#DIV/0!</v>
      </c>
      <c r="F39" s="57"/>
      <c r="G39" s="27"/>
    </row>
    <row r="40" spans="1:7" hidden="1" x14ac:dyDescent="0.25">
      <c r="B40"/>
      <c r="C40" t="s">
        <v>1849</v>
      </c>
      <c r="D40" s="57">
        <v>-75.897228409999983</v>
      </c>
      <c r="E40" s="53">
        <v>-0.1679215666415442</v>
      </c>
      <c r="F40" s="57">
        <v>-103.51483618</v>
      </c>
      <c r="G40" s="27">
        <v>451.98023058000001</v>
      </c>
    </row>
    <row r="41" spans="1:7" hidden="1" x14ac:dyDescent="0.25">
      <c r="B41"/>
      <c r="C41" t="s">
        <v>1863</v>
      </c>
      <c r="D41" s="57">
        <v>-47.534278330000006</v>
      </c>
      <c r="E41" s="53">
        <v>-0.17102461730229346</v>
      </c>
      <c r="F41" s="57">
        <v>-63.884147670000019</v>
      </c>
      <c r="G41" s="27">
        <v>277.93822362999998</v>
      </c>
    </row>
    <row r="42" spans="1:7" x14ac:dyDescent="0.25">
      <c r="B42"/>
      <c r="C42" t="s">
        <v>1913</v>
      </c>
      <c r="D42" s="57">
        <v>-18.151357009999995</v>
      </c>
      <c r="E42" s="53">
        <v>-0.19405172117758701</v>
      </c>
      <c r="F42" s="57">
        <v>-18.141243890000002</v>
      </c>
      <c r="G42" s="27">
        <v>93.538758120000011</v>
      </c>
    </row>
    <row r="43" spans="1:7" x14ac:dyDescent="0.25">
      <c r="B43" t="s">
        <v>1776</v>
      </c>
      <c r="C43"/>
      <c r="D43" s="57">
        <v>-136.91223576999997</v>
      </c>
      <c r="E43" s="53">
        <v>-0.21014083444532289</v>
      </c>
      <c r="F43" s="57">
        <v>118.68121780999994</v>
      </c>
      <c r="G43" s="27">
        <v>651.52608787999998</v>
      </c>
    </row>
    <row r="44" spans="1:7" x14ac:dyDescent="0.25">
      <c r="B44"/>
      <c r="C44" t="s">
        <v>1837</v>
      </c>
      <c r="D44" s="57">
        <v>-136.91223576999997</v>
      </c>
      <c r="E44" s="53">
        <v>-0.21014083444532289</v>
      </c>
      <c r="F44" s="57">
        <v>118.68121780999994</v>
      </c>
      <c r="G44" s="27">
        <v>651.52608787999998</v>
      </c>
    </row>
    <row r="45" spans="1:7" x14ac:dyDescent="0.25">
      <c r="A45" t="s">
        <v>1820</v>
      </c>
      <c r="B45"/>
      <c r="C45"/>
      <c r="D45" s="57">
        <v>-307.44577429999998</v>
      </c>
      <c r="E45" s="53">
        <v>-3.5126255599445884E-2</v>
      </c>
      <c r="F45" s="57">
        <v>-88.065456400000016</v>
      </c>
      <c r="G45" s="27">
        <v>8752.5917309800006</v>
      </c>
    </row>
    <row r="46" spans="1:7" x14ac:dyDescent="0.25">
      <c r="B46" t="s">
        <v>1771</v>
      </c>
      <c r="C46"/>
      <c r="D46" s="57">
        <v>-65.534485890000028</v>
      </c>
      <c r="E46" s="53">
        <v>-5.4219270670619803E-2</v>
      </c>
      <c r="F46" s="57">
        <v>-44.165264000000001</v>
      </c>
      <c r="G46" s="27">
        <v>1208.693608</v>
      </c>
    </row>
    <row r="47" spans="1:7" x14ac:dyDescent="0.25">
      <c r="B47"/>
      <c r="C47" t="s">
        <v>1797</v>
      </c>
      <c r="D47" s="57">
        <v>-3.0901016899999996</v>
      </c>
      <c r="E47" s="53">
        <v>-2.915802729696006E-2</v>
      </c>
      <c r="F47" s="57">
        <v>-2.1238959999999998</v>
      </c>
      <c r="G47" s="27">
        <v>105.977735</v>
      </c>
    </row>
    <row r="48" spans="1:7" x14ac:dyDescent="0.25">
      <c r="B48"/>
      <c r="C48" t="s">
        <v>184</v>
      </c>
      <c r="D48" s="57">
        <v>-16.088829240000003</v>
      </c>
      <c r="E48" s="53">
        <v>-0.13770845242293658</v>
      </c>
      <c r="F48" s="57">
        <v>-15.428341</v>
      </c>
      <c r="G48" s="27">
        <v>116.83254700000001</v>
      </c>
    </row>
    <row r="49" spans="2:7" x14ac:dyDescent="0.25">
      <c r="B49"/>
      <c r="C49" t="s">
        <v>1894</v>
      </c>
      <c r="D49" s="57">
        <v>0.36790654000000012</v>
      </c>
      <c r="E49" s="53">
        <v>3.7968505772044271E-3</v>
      </c>
      <c r="F49" s="57">
        <v>3.9554010000000002</v>
      </c>
      <c r="G49" s="27">
        <v>96.897818999999998</v>
      </c>
    </row>
    <row r="50" spans="2:7" x14ac:dyDescent="0.25">
      <c r="B50"/>
      <c r="C50" t="s">
        <v>1805</v>
      </c>
      <c r="D50" s="57">
        <v>-10.521304209999998</v>
      </c>
      <c r="E50" s="53">
        <v>-5.3854847880807744E-2</v>
      </c>
      <c r="F50" s="57">
        <v>-6.3869829999999999</v>
      </c>
      <c r="G50" s="27">
        <v>195.36410599999999</v>
      </c>
    </row>
    <row r="51" spans="2:7" x14ac:dyDescent="0.25">
      <c r="B51"/>
      <c r="C51" t="s">
        <v>193</v>
      </c>
      <c r="D51" s="57">
        <v>-25.728394100000024</v>
      </c>
      <c r="E51" s="53">
        <v>-9.2119538723918107E-2</v>
      </c>
      <c r="F51" s="57">
        <v>-24.41432</v>
      </c>
      <c r="G51" s="27">
        <v>279.29356200000001</v>
      </c>
    </row>
    <row r="52" spans="2:7" x14ac:dyDescent="0.25">
      <c r="B52"/>
      <c r="C52" t="s">
        <v>1895</v>
      </c>
      <c r="D52" s="57">
        <v>1.0206376299999997</v>
      </c>
      <c r="E52" s="53">
        <v>9.5545612641886671E-3</v>
      </c>
      <c r="F52" s="57">
        <v>5.1509739999999997</v>
      </c>
      <c r="G52" s="27">
        <v>106.82203</v>
      </c>
    </row>
    <row r="53" spans="2:7" x14ac:dyDescent="0.25">
      <c r="B53"/>
      <c r="C53" t="s">
        <v>1806</v>
      </c>
      <c r="D53" s="57">
        <v>-11.494400819999999</v>
      </c>
      <c r="E53" s="53">
        <v>-3.7379459130802956E-2</v>
      </c>
      <c r="F53" s="57">
        <v>-4.9180989999999998</v>
      </c>
      <c r="G53" s="27">
        <v>307.505809</v>
      </c>
    </row>
    <row r="54" spans="2:7" x14ac:dyDescent="0.25">
      <c r="B54" t="s">
        <v>1772</v>
      </c>
      <c r="C54"/>
      <c r="D54" s="57">
        <v>-8.7313300000000038E-2</v>
      </c>
      <c r="E54" s="53">
        <v>-1.2552394309988004E-2</v>
      </c>
      <c r="F54" s="57">
        <v>-1.984E-2</v>
      </c>
      <c r="G54" s="27">
        <v>6.955908</v>
      </c>
    </row>
    <row r="55" spans="2:7" x14ac:dyDescent="0.25">
      <c r="B55"/>
      <c r="C55" t="s">
        <v>195</v>
      </c>
      <c r="D55" s="57">
        <v>-1.6251600000000001E-3</v>
      </c>
      <c r="E55" s="53">
        <v>-1.1388807131144096E-2</v>
      </c>
      <c r="F55" s="57">
        <v>-3.7500000000000001E-4</v>
      </c>
      <c r="G55" s="27">
        <v>0.14269799999999999</v>
      </c>
    </row>
    <row r="56" spans="2:7" x14ac:dyDescent="0.25">
      <c r="B56"/>
      <c r="C56" t="s">
        <v>198</v>
      </c>
      <c r="D56" s="57">
        <v>-1.5058900000000002E-3</v>
      </c>
      <c r="E56" s="53">
        <v>-1.7266410594507828E-2</v>
      </c>
      <c r="F56" s="57">
        <v>-7.6400000000000003E-4</v>
      </c>
      <c r="G56" s="27">
        <v>8.7215000000000001E-2</v>
      </c>
    </row>
    <row r="57" spans="2:7" x14ac:dyDescent="0.25">
      <c r="B57"/>
      <c r="C57" t="s">
        <v>218</v>
      </c>
      <c r="D57" s="57">
        <v>-7.0599200000000042E-2</v>
      </c>
      <c r="E57" s="53">
        <v>-1.4493047569348796E-2</v>
      </c>
      <c r="F57" s="57">
        <v>-2.0159E-2</v>
      </c>
      <c r="G57" s="27">
        <v>4.8712460000000002</v>
      </c>
    </row>
    <row r="58" spans="2:7" x14ac:dyDescent="0.25">
      <c r="B58"/>
      <c r="C58" t="s">
        <v>197</v>
      </c>
      <c r="D58" s="57">
        <v>-2.0878299999999997E-3</v>
      </c>
      <c r="E58" s="53">
        <v>-6.1184520931322978E-3</v>
      </c>
      <c r="F58" s="57">
        <v>4.0400000000000001E-4</v>
      </c>
      <c r="G58" s="27">
        <v>0.34123500000000001</v>
      </c>
    </row>
    <row r="59" spans="2:7" x14ac:dyDescent="0.25">
      <c r="B59"/>
      <c r="C59" t="s">
        <v>191</v>
      </c>
      <c r="D59" s="57">
        <v>-1.74022E-3</v>
      </c>
      <c r="E59" s="53">
        <v>-9.2674328196061303E-3</v>
      </c>
      <c r="F59" s="57">
        <v>-1.37E-4</v>
      </c>
      <c r="G59" s="27">
        <v>0.187778</v>
      </c>
    </row>
    <row r="60" spans="2:7" x14ac:dyDescent="0.25">
      <c r="B60"/>
      <c r="C60" t="s">
        <v>217</v>
      </c>
      <c r="D60" s="57">
        <v>-2.7580100000000004E-3</v>
      </c>
      <c r="E60" s="53">
        <v>-4.3455400865953656E-3</v>
      </c>
      <c r="F60" s="57">
        <v>2.9910000000000002E-3</v>
      </c>
      <c r="G60" s="27">
        <v>0.63467600000000002</v>
      </c>
    </row>
    <row r="61" spans="2:7" x14ac:dyDescent="0.25">
      <c r="B61"/>
      <c r="C61" t="s">
        <v>185</v>
      </c>
      <c r="D61" s="57">
        <v>0</v>
      </c>
      <c r="E61" s="53">
        <v>0</v>
      </c>
      <c r="F61" s="57">
        <v>-7.7499999999999997E-4</v>
      </c>
      <c r="G61" s="27">
        <v>7.7561000000000005E-2</v>
      </c>
    </row>
    <row r="62" spans="2:7" x14ac:dyDescent="0.25">
      <c r="B62"/>
      <c r="C62" t="s">
        <v>187</v>
      </c>
      <c r="D62" s="57">
        <v>-1.6057000000000001E-3</v>
      </c>
      <c r="E62" s="53">
        <v>-1.1902538101168239E-2</v>
      </c>
      <c r="F62" s="57">
        <v>-3.2299999999999999E-4</v>
      </c>
      <c r="G62" s="27">
        <v>0.134904</v>
      </c>
    </row>
    <row r="63" spans="2:7" x14ac:dyDescent="0.25">
      <c r="B63"/>
      <c r="C63" t="s">
        <v>186</v>
      </c>
      <c r="D63" s="57">
        <v>-1.64449E-3</v>
      </c>
      <c r="E63" s="53">
        <v>-1.0613173451738648E-2</v>
      </c>
      <c r="F63" s="57">
        <v>-2.6600000000000001E-4</v>
      </c>
      <c r="G63" s="27">
        <v>0.154948</v>
      </c>
    </row>
    <row r="64" spans="2:7" x14ac:dyDescent="0.25">
      <c r="B64"/>
      <c r="C64" t="s">
        <v>190</v>
      </c>
      <c r="D64" s="57">
        <v>-1.9581100000000003E-3</v>
      </c>
      <c r="E64" s="53">
        <v>-7.0179129512286048E-3</v>
      </c>
      <c r="F64" s="57">
        <v>9.4399999999999996E-4</v>
      </c>
      <c r="G64" s="27">
        <v>0.27901599999999999</v>
      </c>
    </row>
    <row r="65" spans="2:7" x14ac:dyDescent="0.25">
      <c r="B65"/>
      <c r="C65" t="s">
        <v>196</v>
      </c>
      <c r="D65" s="57">
        <v>-1.2090000000000002E-3</v>
      </c>
      <c r="E65" s="53">
        <v>-4.3064757426800604E-2</v>
      </c>
      <c r="F65" s="57">
        <v>-9.4600000000000001E-4</v>
      </c>
      <c r="G65" s="27">
        <v>2.8074000000000002E-2</v>
      </c>
    </row>
    <row r="66" spans="2:7" x14ac:dyDescent="0.25">
      <c r="B66"/>
      <c r="C66" t="s">
        <v>194</v>
      </c>
      <c r="D66" s="57">
        <v>-5.7968999999999978E-4</v>
      </c>
      <c r="E66" s="53">
        <v>-3.5011777495923165E-2</v>
      </c>
      <c r="F66" s="57">
        <v>-4.3399999999999998E-4</v>
      </c>
      <c r="G66" s="27">
        <v>1.6556999999999999E-2</v>
      </c>
    </row>
    <row r="67" spans="2:7" x14ac:dyDescent="0.25">
      <c r="B67" t="s">
        <v>1756</v>
      </c>
      <c r="C67"/>
      <c r="D67" s="57">
        <v>-20.272350039999974</v>
      </c>
      <c r="E67" s="53">
        <v>-3.0977101472705677E-2</v>
      </c>
      <c r="F67" s="57">
        <v>-17.236822119999974</v>
      </c>
      <c r="G67" s="27">
        <v>654.43017830000019</v>
      </c>
    </row>
    <row r="68" spans="2:7" x14ac:dyDescent="0.25">
      <c r="B68"/>
      <c r="C68" t="s">
        <v>175</v>
      </c>
      <c r="D68" s="57">
        <v>-0.56769212999999996</v>
      </c>
      <c r="E68" s="53">
        <v>-1.9174922744458912E-2</v>
      </c>
      <c r="F68" s="57">
        <v>-0.33834199999999998</v>
      </c>
      <c r="G68" s="27">
        <v>29.605967</v>
      </c>
    </row>
    <row r="69" spans="2:7" x14ac:dyDescent="0.25">
      <c r="B69"/>
      <c r="C69" t="s">
        <v>201</v>
      </c>
      <c r="D69" s="57">
        <v>0</v>
      </c>
      <c r="E69" s="53">
        <v>0</v>
      </c>
      <c r="F69" s="57">
        <v>0</v>
      </c>
      <c r="G69" s="27">
        <v>2.6489999999999999E-3</v>
      </c>
    </row>
    <row r="70" spans="2:7" x14ac:dyDescent="0.25">
      <c r="B70"/>
      <c r="C70" t="s">
        <v>202</v>
      </c>
      <c r="D70" s="57">
        <v>0</v>
      </c>
      <c r="E70" s="53">
        <v>0</v>
      </c>
      <c r="F70" s="57">
        <v>3.2299999999999999E-4</v>
      </c>
      <c r="G70" s="27">
        <v>8.3275000000000002E-2</v>
      </c>
    </row>
    <row r="71" spans="2:7" x14ac:dyDescent="0.25">
      <c r="B71"/>
      <c r="C71" t="s">
        <v>161</v>
      </c>
      <c r="D71" s="57">
        <v>0</v>
      </c>
      <c r="E71" s="53">
        <v>0</v>
      </c>
      <c r="F71" s="57">
        <v>1.073E-3</v>
      </c>
      <c r="G71" s="27">
        <v>7.8464999999999993E-2</v>
      </c>
    </row>
    <row r="72" spans="2:7" x14ac:dyDescent="0.25">
      <c r="B72"/>
      <c r="C72" t="s">
        <v>158</v>
      </c>
      <c r="D72" s="57">
        <v>0</v>
      </c>
      <c r="E72" s="53">
        <v>0</v>
      </c>
      <c r="F72" s="57">
        <v>0</v>
      </c>
      <c r="G72" s="27">
        <v>2.3564000000000002E-2</v>
      </c>
    </row>
    <row r="73" spans="2:7" x14ac:dyDescent="0.25">
      <c r="B73"/>
      <c r="C73" t="s">
        <v>228</v>
      </c>
      <c r="D73" s="57">
        <v>-4.047481480000001</v>
      </c>
      <c r="E73" s="53">
        <v>-4.6911972997495471E-2</v>
      </c>
      <c r="F73" s="57">
        <v>-3.2147709999999998</v>
      </c>
      <c r="G73" s="27">
        <v>86.278219000000007</v>
      </c>
    </row>
    <row r="74" spans="2:7" x14ac:dyDescent="0.25">
      <c r="B74"/>
      <c r="C74" t="s">
        <v>163</v>
      </c>
      <c r="D74" s="57">
        <v>-4.6289986200000008</v>
      </c>
      <c r="E74" s="53">
        <v>-5.2858704051495842E-2</v>
      </c>
      <c r="F74" s="57">
        <v>-3.8796740000000001</v>
      </c>
      <c r="G74" s="27">
        <v>87.573063000000005</v>
      </c>
    </row>
    <row r="75" spans="2:7" x14ac:dyDescent="0.25">
      <c r="B75"/>
      <c r="C75" t="s">
        <v>188</v>
      </c>
      <c r="D75" s="57">
        <v>-0.18858552999999972</v>
      </c>
      <c r="E75" s="53">
        <v>-1.5392058673349041E-3</v>
      </c>
      <c r="F75" s="57">
        <v>0.68201500000000004</v>
      </c>
      <c r="G75" s="27">
        <v>122.521317</v>
      </c>
    </row>
    <row r="76" spans="2:7" x14ac:dyDescent="0.25">
      <c r="B76"/>
      <c r="C76" t="s">
        <v>1886</v>
      </c>
      <c r="D76" s="57">
        <v>-7.0611691199999749</v>
      </c>
      <c r="E76" s="53">
        <v>-3.6738717811673767E-2</v>
      </c>
      <c r="F76" s="57">
        <v>-7.0611691199999749</v>
      </c>
      <c r="G76" s="27">
        <v>192.1996613</v>
      </c>
    </row>
    <row r="77" spans="2:7" x14ac:dyDescent="0.25">
      <c r="B77"/>
      <c r="C77" t="s">
        <v>183</v>
      </c>
      <c r="D77" s="57">
        <v>-0.52380644999999981</v>
      </c>
      <c r="E77" s="53">
        <v>-1.9179186686542272E-2</v>
      </c>
      <c r="F77" s="57">
        <v>-0.28632200000000002</v>
      </c>
      <c r="G77" s="27">
        <v>27.311191999999998</v>
      </c>
    </row>
    <row r="78" spans="2:7" x14ac:dyDescent="0.25">
      <c r="B78"/>
      <c r="C78" t="s">
        <v>179</v>
      </c>
      <c r="D78" s="57">
        <v>-0.66876387000000015</v>
      </c>
      <c r="E78" s="53">
        <v>-5.5587943248027405E-2</v>
      </c>
      <c r="F78" s="57">
        <v>-0.65925999999999996</v>
      </c>
      <c r="G78" s="27">
        <v>12.030735999999999</v>
      </c>
    </row>
    <row r="79" spans="2:7" x14ac:dyDescent="0.25">
      <c r="B79"/>
      <c r="C79" t="s">
        <v>180</v>
      </c>
      <c r="D79" s="57">
        <v>-0.67315084999999997</v>
      </c>
      <c r="E79" s="53">
        <v>-4.3277629354558832E-2</v>
      </c>
      <c r="F79" s="57">
        <v>-0.61331500000000005</v>
      </c>
      <c r="G79" s="27">
        <v>15.554245</v>
      </c>
    </row>
    <row r="80" spans="2:7" x14ac:dyDescent="0.25">
      <c r="B80"/>
      <c r="C80" t="s">
        <v>192</v>
      </c>
      <c r="D80" s="57">
        <v>0</v>
      </c>
      <c r="E80" s="53" t="e">
        <v>#DIV/0!</v>
      </c>
      <c r="F80" s="57">
        <v>0</v>
      </c>
      <c r="G80" s="27">
        <v>0</v>
      </c>
    </row>
    <row r="81" spans="2:7" x14ac:dyDescent="0.25">
      <c r="B81"/>
      <c r="C81" t="s">
        <v>165</v>
      </c>
      <c r="D81" s="57">
        <v>0</v>
      </c>
      <c r="E81" s="53" t="e">
        <v>#DIV/0!</v>
      </c>
      <c r="F81" s="57">
        <v>0</v>
      </c>
      <c r="G81" s="27">
        <v>0</v>
      </c>
    </row>
    <row r="82" spans="2:7" x14ac:dyDescent="0.25">
      <c r="B82"/>
      <c r="C82" t="s">
        <v>169</v>
      </c>
      <c r="D82" s="57">
        <v>-0.35063567999999989</v>
      </c>
      <c r="E82" s="53">
        <v>-4.6038931632578418E-2</v>
      </c>
      <c r="F82" s="57">
        <v>-0.30473</v>
      </c>
      <c r="G82" s="27">
        <v>7.6160690000000004</v>
      </c>
    </row>
    <row r="83" spans="2:7" x14ac:dyDescent="0.25">
      <c r="B83"/>
      <c r="C83" t="s">
        <v>174</v>
      </c>
      <c r="D83" s="57">
        <v>-1.3791577200000009</v>
      </c>
      <c r="E83" s="53">
        <v>-1.9026960492668811E-2</v>
      </c>
      <c r="F83" s="57">
        <v>-1.3804369999999999</v>
      </c>
      <c r="G83" s="27">
        <v>72.484395000000006</v>
      </c>
    </row>
    <row r="84" spans="2:7" x14ac:dyDescent="0.25">
      <c r="B84"/>
      <c r="C84" t="s">
        <v>167</v>
      </c>
      <c r="D84" s="57">
        <v>-0.18290858999999995</v>
      </c>
      <c r="E84" s="53">
        <v>-0.17136525505428807</v>
      </c>
      <c r="F84" s="57">
        <v>-0.18221300000000001</v>
      </c>
      <c r="G84" s="27">
        <v>1.067361</v>
      </c>
    </row>
    <row r="85" spans="2:7" x14ac:dyDescent="0.25">
      <c r="B85" t="s">
        <v>1775</v>
      </c>
      <c r="C85"/>
      <c r="D85" s="57">
        <v>-35.84882743</v>
      </c>
      <c r="E85" s="53">
        <v>-1.1128297982468572E-2</v>
      </c>
      <c r="F85" s="57">
        <v>100.73189800000002</v>
      </c>
      <c r="G85" s="27">
        <v>3221.4115300000003</v>
      </c>
    </row>
    <row r="86" spans="2:7" x14ac:dyDescent="0.25">
      <c r="B86"/>
      <c r="C86" t="s">
        <v>1827</v>
      </c>
      <c r="D86" s="57">
        <v>-7.4993419999999977E-2</v>
      </c>
      <c r="E86" s="53">
        <v>-1.6176137616048891E-3</v>
      </c>
      <c r="F86" s="57">
        <v>-3.400871</v>
      </c>
      <c r="G86" s="27">
        <v>46.360523000000001</v>
      </c>
    </row>
    <row r="87" spans="2:7" x14ac:dyDescent="0.25">
      <c r="B87"/>
      <c r="C87" t="s">
        <v>1825</v>
      </c>
      <c r="D87" s="57">
        <v>-32.352755369999997</v>
      </c>
      <c r="E87" s="53">
        <v>-1.7016556426181682E-2</v>
      </c>
      <c r="F87" s="57">
        <v>23.919048</v>
      </c>
      <c r="G87" s="27">
        <v>1901.251614</v>
      </c>
    </row>
    <row r="88" spans="2:7" x14ac:dyDescent="0.25">
      <c r="B88"/>
      <c r="C88" t="s">
        <v>1826</v>
      </c>
      <c r="D88" s="57">
        <v>1.0081118999999952</v>
      </c>
      <c r="E88" s="53">
        <v>9.164599573557562E-4</v>
      </c>
      <c r="F88" s="57">
        <v>79.886841000000004</v>
      </c>
      <c r="G88" s="27">
        <v>1100.0064890000001</v>
      </c>
    </row>
    <row r="89" spans="2:7" x14ac:dyDescent="0.25">
      <c r="B89"/>
      <c r="C89" t="s">
        <v>1828</v>
      </c>
      <c r="D89" s="57">
        <v>-4.4291905399999969</v>
      </c>
      <c r="E89" s="53">
        <v>-2.5485451005525503E-2</v>
      </c>
      <c r="F89" s="57">
        <v>0.32688</v>
      </c>
      <c r="G89" s="27">
        <v>173.79290399999999</v>
      </c>
    </row>
    <row r="90" spans="2:7" x14ac:dyDescent="0.25">
      <c r="B90" t="s">
        <v>1768</v>
      </c>
      <c r="C90"/>
      <c r="D90" s="57">
        <v>-130.64609221999999</v>
      </c>
      <c r="E90" s="53">
        <v>-0.10657307585951364</v>
      </c>
      <c r="F90" s="57">
        <v>-120.73859999999999</v>
      </c>
      <c r="G90" s="27">
        <v>1225.8827209999999</v>
      </c>
    </row>
    <row r="91" spans="2:7" x14ac:dyDescent="0.25">
      <c r="B91"/>
      <c r="C91" t="s">
        <v>164</v>
      </c>
      <c r="D91" s="57">
        <v>-0.91659171999999978</v>
      </c>
      <c r="E91" s="53">
        <v>-3.692967770003467E-2</v>
      </c>
      <c r="F91" s="57">
        <v>-0.81194699999999997</v>
      </c>
      <c r="G91" s="27">
        <v>24.819921999999998</v>
      </c>
    </row>
    <row r="92" spans="2:7" x14ac:dyDescent="0.25">
      <c r="B92"/>
      <c r="C92" t="s">
        <v>168</v>
      </c>
      <c r="D92" s="57">
        <v>-0.37310855999999992</v>
      </c>
      <c r="E92" s="53">
        <v>-1.1087135396580792E-2</v>
      </c>
      <c r="F92" s="57">
        <v>-0.29906899999999997</v>
      </c>
      <c r="G92" s="27">
        <v>33.652386</v>
      </c>
    </row>
    <row r="93" spans="2:7" x14ac:dyDescent="0.25">
      <c r="B93"/>
      <c r="C93" t="s">
        <v>162</v>
      </c>
      <c r="D93" s="57">
        <v>-0.64437375999999991</v>
      </c>
      <c r="E93" s="53">
        <v>-5.2471510408820518E-2</v>
      </c>
      <c r="F93" s="57">
        <v>-0.616815</v>
      </c>
      <c r="G93" s="27">
        <v>12.28045</v>
      </c>
    </row>
    <row r="94" spans="2:7" x14ac:dyDescent="0.25">
      <c r="B94"/>
      <c r="C94" t="s">
        <v>223</v>
      </c>
      <c r="D94" s="57">
        <v>-1.6527143599999989</v>
      </c>
      <c r="E94" s="53">
        <v>-7.1718237216021719E-2</v>
      </c>
      <c r="F94" s="57">
        <v>-1.4651460000000001</v>
      </c>
      <c r="G94" s="27">
        <v>23.044547999999999</v>
      </c>
    </row>
    <row r="95" spans="2:7" x14ac:dyDescent="0.25">
      <c r="B95"/>
      <c r="C95" t="s">
        <v>219</v>
      </c>
      <c r="D95" s="57">
        <v>-17.940993880000018</v>
      </c>
      <c r="E95" s="53">
        <v>-7.6455918015227123E-2</v>
      </c>
      <c r="F95" s="57">
        <v>-16.022860999999999</v>
      </c>
      <c r="G95" s="27">
        <v>234.65801400000001</v>
      </c>
    </row>
    <row r="96" spans="2:7" x14ac:dyDescent="0.25">
      <c r="B96"/>
      <c r="C96" t="s">
        <v>200</v>
      </c>
      <c r="D96" s="57">
        <v>-1.6815717899999993</v>
      </c>
      <c r="E96" s="53">
        <v>-9.4877472231257531E-2</v>
      </c>
      <c r="F96" s="57">
        <v>-1.488772</v>
      </c>
      <c r="G96" s="27">
        <v>17.723614999999999</v>
      </c>
    </row>
    <row r="97" spans="2:7" x14ac:dyDescent="0.25">
      <c r="B97"/>
      <c r="C97" t="s">
        <v>220</v>
      </c>
      <c r="D97" s="57">
        <v>-40.659051159999983</v>
      </c>
      <c r="E97" s="53">
        <v>-0.12363966784440704</v>
      </c>
      <c r="F97" s="57">
        <v>-37.621934000000003</v>
      </c>
      <c r="G97" s="27">
        <v>328.85118399999999</v>
      </c>
    </row>
    <row r="98" spans="2:7" x14ac:dyDescent="0.25">
      <c r="B98"/>
      <c r="C98" t="s">
        <v>166</v>
      </c>
      <c r="D98" s="57">
        <v>-66.777686989999992</v>
      </c>
      <c r="E98" s="53">
        <v>-0.12122605348063689</v>
      </c>
      <c r="F98" s="57">
        <v>-62.412056</v>
      </c>
      <c r="G98" s="27">
        <v>550.85260200000005</v>
      </c>
    </row>
    <row r="99" spans="2:7" x14ac:dyDescent="0.25">
      <c r="B99" t="s">
        <v>1769</v>
      </c>
      <c r="C99"/>
      <c r="D99" s="57">
        <v>-11.949810230000002</v>
      </c>
      <c r="E99" s="53">
        <v>-2.6006460690674627E-2</v>
      </c>
      <c r="F99" s="57">
        <v>4.6947939999999981</v>
      </c>
      <c r="G99" s="27">
        <v>459.49390699999998</v>
      </c>
    </row>
    <row r="100" spans="2:7" x14ac:dyDescent="0.25">
      <c r="B100"/>
      <c r="C100" t="s">
        <v>176</v>
      </c>
      <c r="D100" s="57">
        <v>-8.0966316200000019</v>
      </c>
      <c r="E100" s="53">
        <v>-2.8292844932186166E-2</v>
      </c>
      <c r="F100" s="57">
        <v>9.4599969999999995</v>
      </c>
      <c r="G100" s="27">
        <v>286.17241000000001</v>
      </c>
    </row>
    <row r="101" spans="2:7" x14ac:dyDescent="0.25">
      <c r="B101"/>
      <c r="C101" t="s">
        <v>207</v>
      </c>
      <c r="D101" s="57">
        <v>-0.44445929000000006</v>
      </c>
      <c r="E101" s="53">
        <v>-2.1809482876049554E-2</v>
      </c>
      <c r="F101" s="57">
        <v>1.4288E-2</v>
      </c>
      <c r="G101" s="27">
        <v>20.379176000000001</v>
      </c>
    </row>
    <row r="102" spans="2:7" x14ac:dyDescent="0.25">
      <c r="B102"/>
      <c r="C102" t="s">
        <v>214</v>
      </c>
      <c r="D102" s="57">
        <v>-1.9473099999999993E-2</v>
      </c>
      <c r="E102" s="53">
        <v>-1.5466244556502367E-2</v>
      </c>
      <c r="F102" s="57">
        <v>3.2878999999999999E-2</v>
      </c>
      <c r="G102" s="27">
        <v>1.2590710000000001</v>
      </c>
    </row>
    <row r="103" spans="2:7" x14ac:dyDescent="0.25">
      <c r="B103"/>
      <c r="C103" t="s">
        <v>159</v>
      </c>
      <c r="D103" s="57">
        <v>0</v>
      </c>
      <c r="E103" s="53">
        <v>0</v>
      </c>
      <c r="F103" s="57">
        <v>0</v>
      </c>
      <c r="G103" s="27">
        <v>3.3771000000000002E-2</v>
      </c>
    </row>
    <row r="104" spans="2:7" x14ac:dyDescent="0.25">
      <c r="B104"/>
      <c r="C104" t="s">
        <v>1888</v>
      </c>
      <c r="D104" s="57">
        <v>-3.4928270000000018E-2</v>
      </c>
      <c r="E104" s="53">
        <v>-8.7507635062310674E-3</v>
      </c>
      <c r="F104" s="57">
        <v>7.7644000000000005E-2</v>
      </c>
      <c r="G104" s="27">
        <v>3.9914540000000001</v>
      </c>
    </row>
    <row r="105" spans="2:7" x14ac:dyDescent="0.25">
      <c r="B105"/>
      <c r="C105" t="s">
        <v>181</v>
      </c>
      <c r="D105" s="57">
        <v>-0.90587480999999992</v>
      </c>
      <c r="E105" s="53">
        <v>-5.0148248966988752E-2</v>
      </c>
      <c r="F105" s="57">
        <v>-0.95003899999999997</v>
      </c>
      <c r="G105" s="27">
        <v>18.063936999999999</v>
      </c>
    </row>
    <row r="106" spans="2:7" x14ac:dyDescent="0.25">
      <c r="B106"/>
      <c r="C106" t="s">
        <v>226</v>
      </c>
      <c r="D106" s="57">
        <v>0</v>
      </c>
      <c r="E106" s="53" t="e">
        <v>#DIV/0!</v>
      </c>
      <c r="F106" s="57">
        <v>0</v>
      </c>
      <c r="G106" s="27">
        <v>0</v>
      </c>
    </row>
    <row r="107" spans="2:7" x14ac:dyDescent="0.25">
      <c r="B107"/>
      <c r="C107" t="s">
        <v>173</v>
      </c>
      <c r="D107" s="57">
        <v>-2.4464384199999989</v>
      </c>
      <c r="E107" s="53">
        <v>-1.8995930365976032E-2</v>
      </c>
      <c r="F107" s="57">
        <v>-3.9464709999999998</v>
      </c>
      <c r="G107" s="27">
        <v>128.78750199999999</v>
      </c>
    </row>
    <row r="108" spans="2:7" x14ac:dyDescent="0.25">
      <c r="B108"/>
      <c r="C108" t="s">
        <v>206</v>
      </c>
      <c r="D108" s="57">
        <v>-6.8171000000000008E-4</v>
      </c>
      <c r="E108" s="53">
        <v>-1.6584560066755709E-3</v>
      </c>
      <c r="F108" s="57">
        <v>4.1349999999999998E-3</v>
      </c>
      <c r="G108" s="27">
        <v>0.411051</v>
      </c>
    </row>
    <row r="109" spans="2:7" x14ac:dyDescent="0.25">
      <c r="B109"/>
      <c r="C109" t="s">
        <v>205</v>
      </c>
      <c r="D109" s="57">
        <v>-1.3230099999999997E-3</v>
      </c>
      <c r="E109" s="53">
        <v>-3.3448620223241929E-3</v>
      </c>
      <c r="F109" s="57">
        <v>2.3609999999999998E-3</v>
      </c>
      <c r="G109" s="27">
        <v>0.39553500000000003</v>
      </c>
    </row>
    <row r="110" spans="2:7" x14ac:dyDescent="0.25">
      <c r="B110" t="s">
        <v>1755</v>
      </c>
      <c r="C110"/>
      <c r="D110" s="57">
        <v>-54.349644720000022</v>
      </c>
      <c r="E110" s="53">
        <v>-8.6591532370879437E-2</v>
      </c>
      <c r="F110" s="57">
        <v>-57.063288630000002</v>
      </c>
      <c r="G110" s="27">
        <v>627.65542116999995</v>
      </c>
    </row>
    <row r="111" spans="2:7" x14ac:dyDescent="0.25">
      <c r="B111"/>
      <c r="C111" t="s">
        <v>1758</v>
      </c>
      <c r="D111" s="57">
        <v>0</v>
      </c>
      <c r="E111" s="53">
        <v>0</v>
      </c>
      <c r="F111" s="57">
        <v>-0.34146286000000126</v>
      </c>
      <c r="G111" s="27">
        <v>9.4422888699999987</v>
      </c>
    </row>
    <row r="112" spans="2:7" x14ac:dyDescent="0.25">
      <c r="B112"/>
      <c r="C112" t="s">
        <v>1759</v>
      </c>
      <c r="D112" s="57">
        <v>0</v>
      </c>
      <c r="E112" s="53">
        <v>0</v>
      </c>
      <c r="F112" s="57">
        <v>-0.55595297999999993</v>
      </c>
      <c r="G112" s="27">
        <v>3.3454354500000001</v>
      </c>
    </row>
    <row r="113" spans="2:7" x14ac:dyDescent="0.25">
      <c r="B113"/>
      <c r="C113" t="s">
        <v>256</v>
      </c>
      <c r="D113" s="57">
        <v>0</v>
      </c>
      <c r="E113" s="53">
        <v>0</v>
      </c>
      <c r="F113" s="57">
        <v>-1.7370527900000001</v>
      </c>
      <c r="G113" s="27">
        <v>5.2313798499999997</v>
      </c>
    </row>
    <row r="114" spans="2:7" x14ac:dyDescent="0.25">
      <c r="B114"/>
      <c r="C114" t="s">
        <v>225</v>
      </c>
      <c r="D114" s="57">
        <v>-15.24702263</v>
      </c>
      <c r="E114" s="53">
        <v>-7.0782410999467291E-2</v>
      </c>
      <c r="F114" s="57">
        <v>-15.083515999999999</v>
      </c>
      <c r="G114" s="27">
        <v>215.40694099999999</v>
      </c>
    </row>
    <row r="115" spans="2:7" x14ac:dyDescent="0.25">
      <c r="B115"/>
      <c r="C115" t="s">
        <v>224</v>
      </c>
      <c r="D115" s="57">
        <v>-14.572498070000004</v>
      </c>
      <c r="E115" s="53">
        <v>-9.40213696455557E-2</v>
      </c>
      <c r="F115" s="57">
        <v>-15.027385000000001</v>
      </c>
      <c r="G115" s="27">
        <v>154.99134000000001</v>
      </c>
    </row>
    <row r="116" spans="2:7" x14ac:dyDescent="0.25">
      <c r="B116"/>
      <c r="C116" t="s">
        <v>221</v>
      </c>
      <c r="D116" s="57">
        <v>-24.530124020000017</v>
      </c>
      <c r="E116" s="53">
        <v>-0.10253438136400692</v>
      </c>
      <c r="F116" s="57">
        <v>-24.317919</v>
      </c>
      <c r="G116" s="27">
        <v>239.23803599999999</v>
      </c>
    </row>
    <row r="117" spans="2:7" x14ac:dyDescent="0.25">
      <c r="B117" t="s">
        <v>1770</v>
      </c>
      <c r="C117"/>
      <c r="D117" s="57">
        <v>-3.7120639899999999</v>
      </c>
      <c r="E117" s="53">
        <v>-2.165760349702656E-2</v>
      </c>
      <c r="F117" s="57">
        <v>-2.638989</v>
      </c>
      <c r="G117" s="27">
        <v>171.39772599999998</v>
      </c>
    </row>
    <row r="118" spans="2:7" x14ac:dyDescent="0.25">
      <c r="B118"/>
      <c r="C118" t="s">
        <v>178</v>
      </c>
      <c r="D118" s="57">
        <v>-0.91588527000000008</v>
      </c>
      <c r="E118" s="53">
        <v>-2.0525737378076475E-2</v>
      </c>
      <c r="F118" s="57">
        <v>-4.2335999999999999E-2</v>
      </c>
      <c r="G118" s="27">
        <v>44.621308999999997</v>
      </c>
    </row>
    <row r="119" spans="2:7" x14ac:dyDescent="0.25">
      <c r="B119"/>
      <c r="C119" t="s">
        <v>199</v>
      </c>
      <c r="D119" s="57">
        <v>0</v>
      </c>
      <c r="E119" s="53">
        <v>0</v>
      </c>
      <c r="F119" s="57">
        <v>5.45E-3</v>
      </c>
      <c r="G119" s="27">
        <v>0.22134799999999999</v>
      </c>
    </row>
    <row r="120" spans="2:7" x14ac:dyDescent="0.25">
      <c r="B120"/>
      <c r="C120" t="s">
        <v>170</v>
      </c>
      <c r="D120" s="57">
        <v>-0.61411252000000005</v>
      </c>
      <c r="E120" s="53">
        <v>-5.8391073013215555E-2</v>
      </c>
      <c r="F120" s="57">
        <v>-0.59741200000000005</v>
      </c>
      <c r="G120" s="27">
        <v>10.517232999999999</v>
      </c>
    </row>
    <row r="121" spans="2:7" x14ac:dyDescent="0.25">
      <c r="B121"/>
      <c r="C121" t="s">
        <v>203</v>
      </c>
      <c r="D121" s="57">
        <v>-0.51472249999999986</v>
      </c>
      <c r="E121" s="53">
        <v>-2.983682341859285E-2</v>
      </c>
      <c r="F121" s="57">
        <v>-0.475381</v>
      </c>
      <c r="G121" s="27">
        <v>17.251249999999999</v>
      </c>
    </row>
    <row r="122" spans="2:7" x14ac:dyDescent="0.25">
      <c r="B122"/>
      <c r="C122" t="s">
        <v>213</v>
      </c>
      <c r="D122" s="57">
        <v>0</v>
      </c>
      <c r="E122" s="53">
        <v>0</v>
      </c>
      <c r="F122" s="57">
        <v>0</v>
      </c>
      <c r="G122" s="27">
        <v>5.0175780000000003</v>
      </c>
    </row>
    <row r="123" spans="2:7" x14ac:dyDescent="0.25">
      <c r="B123"/>
      <c r="C123" t="s">
        <v>171</v>
      </c>
      <c r="D123" s="57">
        <v>-8.5763499999999999E-3</v>
      </c>
      <c r="E123" s="53">
        <v>-6.2899384893175892E-3</v>
      </c>
      <c r="F123" s="57">
        <v>-1.129E-3</v>
      </c>
      <c r="G123" s="27">
        <v>1.3635029999999999</v>
      </c>
    </row>
    <row r="124" spans="2:7" x14ac:dyDescent="0.25">
      <c r="B124"/>
      <c r="C124" t="s">
        <v>182</v>
      </c>
      <c r="D124" s="57">
        <v>-0.15550710000000009</v>
      </c>
      <c r="E124" s="53">
        <v>-5.7711071855354118E-3</v>
      </c>
      <c r="F124" s="57">
        <v>-9.9270000000000001E-3</v>
      </c>
      <c r="G124" s="27">
        <v>26.945799999999998</v>
      </c>
    </row>
    <row r="125" spans="2:7" x14ac:dyDescent="0.25">
      <c r="B125"/>
      <c r="C125" t="s">
        <v>204</v>
      </c>
      <c r="D125" s="57">
        <v>-3.7616500000000005E-3</v>
      </c>
      <c r="E125" s="53">
        <v>-4.7282451575599892E-3</v>
      </c>
      <c r="F125" s="57">
        <v>1.0460000000000001E-3</v>
      </c>
      <c r="G125" s="27">
        <v>0.79557</v>
      </c>
    </row>
    <row r="126" spans="2:7" x14ac:dyDescent="0.25">
      <c r="B126"/>
      <c r="C126" t="s">
        <v>160</v>
      </c>
      <c r="D126" s="57">
        <v>-1.7807070000000001E-2</v>
      </c>
      <c r="E126" s="53">
        <v>-6.9737842823182947E-2</v>
      </c>
      <c r="F126" s="57">
        <v>-1.7422E-2</v>
      </c>
      <c r="G126" s="27">
        <v>0.25534299999999999</v>
      </c>
    </row>
    <row r="127" spans="2:7" x14ac:dyDescent="0.25">
      <c r="B127"/>
      <c r="C127" t="s">
        <v>177</v>
      </c>
      <c r="D127" s="57">
        <v>-1.4816915300000004</v>
      </c>
      <c r="E127" s="53">
        <v>-2.3004491840182321E-2</v>
      </c>
      <c r="F127" s="57">
        <v>-1.501878</v>
      </c>
      <c r="G127" s="27">
        <v>64.408792000000005</v>
      </c>
    </row>
    <row r="128" spans="2:7" x14ac:dyDescent="0.25">
      <c r="B128" t="s">
        <v>1773</v>
      </c>
      <c r="C128"/>
      <c r="D128" s="57">
        <v>-0.67521059999999999</v>
      </c>
      <c r="E128" s="53">
        <v>-0.14351059404844216</v>
      </c>
      <c r="F128" s="57">
        <v>-0.46890500000000002</v>
      </c>
      <c r="G128" s="27">
        <v>4.7049529999999997</v>
      </c>
    </row>
    <row r="129" spans="1:7" x14ac:dyDescent="0.25">
      <c r="B129"/>
      <c r="C129" t="s">
        <v>222</v>
      </c>
      <c r="D129" s="57">
        <v>-0.33470783000000004</v>
      </c>
      <c r="E129" s="53" t="e">
        <v>#DIV/0!</v>
      </c>
      <c r="F129" s="57">
        <v>0</v>
      </c>
      <c r="G129" s="27">
        <v>0</v>
      </c>
    </row>
    <row r="130" spans="1:7" x14ac:dyDescent="0.25">
      <c r="B130"/>
      <c r="C130" t="s">
        <v>172</v>
      </c>
      <c r="D130" s="57">
        <v>-0.34050277000000001</v>
      </c>
      <c r="E130" s="53">
        <v>-7.2371131018737073E-2</v>
      </c>
      <c r="F130" s="57">
        <v>-0.46890500000000002</v>
      </c>
      <c r="G130" s="27">
        <v>4.7049529999999997</v>
      </c>
    </row>
    <row r="131" spans="1:7" x14ac:dyDescent="0.25">
      <c r="B131" t="s">
        <v>1776</v>
      </c>
      <c r="C131"/>
      <c r="D131" s="57">
        <v>15.630024119999987</v>
      </c>
      <c r="E131" s="53">
        <v>1.3336587472606498E-2</v>
      </c>
      <c r="F131" s="57">
        <v>48.839560349999999</v>
      </c>
      <c r="G131" s="27">
        <v>1171.9657785100001</v>
      </c>
    </row>
    <row r="132" spans="1:7" x14ac:dyDescent="0.25">
      <c r="B132"/>
      <c r="C132" t="s">
        <v>257</v>
      </c>
      <c r="D132" s="57">
        <v>0</v>
      </c>
      <c r="E132" s="53">
        <v>0</v>
      </c>
      <c r="F132" s="57">
        <v>-4.6429406500000008</v>
      </c>
      <c r="G132" s="27">
        <v>9.5423505100000003</v>
      </c>
    </row>
    <row r="133" spans="1:7" x14ac:dyDescent="0.25">
      <c r="B133"/>
      <c r="C133" t="s">
        <v>1898</v>
      </c>
      <c r="D133" s="57">
        <v>0.22689129000000094</v>
      </c>
      <c r="E133" s="53" t="e">
        <v>#DIV/0!</v>
      </c>
      <c r="F133" s="57">
        <v>0</v>
      </c>
      <c r="G133" s="27">
        <v>0</v>
      </c>
    </row>
    <row r="134" spans="1:7" x14ac:dyDescent="0.25">
      <c r="B134"/>
      <c r="C134" t="s">
        <v>1897</v>
      </c>
      <c r="D134" s="57">
        <v>6.5174121099999942</v>
      </c>
      <c r="E134" s="53">
        <v>2.5776479444822451E-2</v>
      </c>
      <c r="F134" s="57">
        <v>12.969530000000001</v>
      </c>
      <c r="G134" s="27">
        <v>252.843377</v>
      </c>
    </row>
    <row r="135" spans="1:7" x14ac:dyDescent="0.25">
      <c r="B135"/>
      <c r="C135" t="s">
        <v>1751</v>
      </c>
      <c r="D135" s="57">
        <v>0</v>
      </c>
      <c r="E135" s="53" t="e">
        <v>#DIV/0!</v>
      </c>
      <c r="F135" s="57">
        <v>0</v>
      </c>
      <c r="G135" s="27">
        <v>0</v>
      </c>
    </row>
    <row r="136" spans="1:7" x14ac:dyDescent="0.25">
      <c r="B136"/>
      <c r="C136" t="s">
        <v>1867</v>
      </c>
      <c r="D136" s="57">
        <v>8.885720719999993</v>
      </c>
      <c r="E136" s="53">
        <v>9.769036502318796E-3</v>
      </c>
      <c r="F136" s="57">
        <v>40.512971</v>
      </c>
      <c r="G136" s="27">
        <v>909.58005100000003</v>
      </c>
    </row>
    <row r="137" spans="1:7" x14ac:dyDescent="0.25">
      <c r="B137"/>
      <c r="C137" t="s">
        <v>1753</v>
      </c>
      <c r="D137" s="57">
        <v>0</v>
      </c>
      <c r="E137" s="53" t="e">
        <v>#DIV/0!</v>
      </c>
      <c r="F137" s="57">
        <v>0</v>
      </c>
      <c r="G137" s="27">
        <v>0</v>
      </c>
    </row>
    <row r="138" spans="1:7" x14ac:dyDescent="0.25">
      <c r="A138" t="s">
        <v>1767</v>
      </c>
      <c r="B138"/>
      <c r="C138"/>
      <c r="D138" s="57">
        <v>-826.69613693261442</v>
      </c>
      <c r="E138" s="53">
        <v>-6.4061467014249474E-2</v>
      </c>
      <c r="F138" s="57">
        <v>-438.93545816323626</v>
      </c>
      <c r="G138" s="27">
        <v>12904.733148691845</v>
      </c>
    </row>
    <row r="139" spans="1:7" x14ac:dyDescent="0.25">
      <c r="B139"/>
      <c r="C139"/>
    </row>
    <row r="140" spans="1:7" x14ac:dyDescent="0.25">
      <c r="B140"/>
      <c r="C140"/>
    </row>
  </sheetData>
  <pageMargins left="0.7" right="0.7" top="0.75" bottom="0.75" header="0.3" footer="0.3"/>
  <pageSetup paperSize="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134"/>
  <sheetViews>
    <sheetView topLeftCell="A3" zoomScale="90" zoomScaleNormal="90" workbookViewId="0">
      <selection activeCell="D11" sqref="D11"/>
    </sheetView>
  </sheetViews>
  <sheetFormatPr defaultRowHeight="15" x14ac:dyDescent="0.25"/>
  <cols>
    <col min="1" max="1" width="18.28515625" customWidth="1"/>
    <col min="2" max="2" width="18.28515625" style="14" customWidth="1"/>
    <col min="3" max="3" width="12.42578125" style="14" customWidth="1"/>
    <col min="4" max="4" width="15.7109375" bestFit="1" customWidth="1"/>
    <col min="5" max="5" width="21.42578125" customWidth="1"/>
    <col min="6" max="6" width="15.7109375" bestFit="1" customWidth="1"/>
  </cols>
  <sheetData>
    <row r="3" spans="1:5" ht="36" customHeight="1" x14ac:dyDescent="0.25">
      <c r="A3" s="10" t="s">
        <v>1761</v>
      </c>
      <c r="B3" s="10" t="s">
        <v>1745</v>
      </c>
      <c r="C3" s="42" t="s">
        <v>1919</v>
      </c>
      <c r="D3" s="55" t="s">
        <v>1921</v>
      </c>
      <c r="E3" s="42" t="s">
        <v>1920</v>
      </c>
    </row>
    <row r="4" spans="1:5" x14ac:dyDescent="0.25">
      <c r="A4" t="s">
        <v>1762</v>
      </c>
      <c r="B4"/>
      <c r="C4" s="27">
        <v>-519.25036263261438</v>
      </c>
      <c r="D4" s="53">
        <v>-0.1250560398587682</v>
      </c>
      <c r="E4" s="27">
        <v>-350.87000176323647</v>
      </c>
    </row>
    <row r="5" spans="1:5" x14ac:dyDescent="0.25">
      <c r="B5" t="s">
        <v>1774</v>
      </c>
      <c r="C5" s="27">
        <v>-2.977460730000002</v>
      </c>
      <c r="D5" s="53">
        <v>-4.0101650192777269E-2</v>
      </c>
      <c r="E5" s="27">
        <v>-2.9849540900000036</v>
      </c>
    </row>
    <row r="6" spans="1:5" x14ac:dyDescent="0.25">
      <c r="B6" t="s">
        <v>1756</v>
      </c>
      <c r="C6" s="27">
        <v>-7.3841967103152903</v>
      </c>
      <c r="D6" s="53">
        <v>-2.8701928973401229E-2</v>
      </c>
      <c r="E6" s="27">
        <v>-5.1672111199999486</v>
      </c>
    </row>
    <row r="7" spans="1:5" x14ac:dyDescent="0.25">
      <c r="B7" t="s">
        <v>1775</v>
      </c>
      <c r="C7" s="27">
        <v>-14.921085353006134</v>
      </c>
      <c r="D7" s="53">
        <v>-0.12510662584406596</v>
      </c>
      <c r="E7" s="27">
        <v>-18.078060633006139</v>
      </c>
    </row>
    <row r="8" spans="1:5" x14ac:dyDescent="0.25">
      <c r="B8" t="s">
        <v>1768</v>
      </c>
      <c r="C8" s="27">
        <v>-26.306785200000004</v>
      </c>
      <c r="D8" s="53">
        <v>-7.149356228983958E-2</v>
      </c>
      <c r="E8" s="27">
        <v>-32.025050100230274</v>
      </c>
    </row>
    <row r="9" spans="1:5" x14ac:dyDescent="0.25">
      <c r="B9" t="s">
        <v>1769</v>
      </c>
      <c r="C9" s="27">
        <v>25.096397303936381</v>
      </c>
      <c r="D9" s="53">
        <v>0.1442818954340348</v>
      </c>
      <c r="E9" s="27">
        <v>27.735834780000005</v>
      </c>
    </row>
    <row r="10" spans="1:5" x14ac:dyDescent="0.25">
      <c r="B10" t="s">
        <v>1755</v>
      </c>
      <c r="C10" s="27">
        <v>-11.006051520000002</v>
      </c>
      <c r="D10" s="53">
        <v>-3.7418930758587571E-2</v>
      </c>
      <c r="E10" s="27">
        <v>-16.633531450000032</v>
      </c>
    </row>
    <row r="11" spans="1:5" x14ac:dyDescent="0.25">
      <c r="B11" t="s">
        <v>1770</v>
      </c>
      <c r="C11" s="27">
        <v>-9.8263789832293575</v>
      </c>
      <c r="D11" s="53">
        <v>-2.2059036132851491E-2</v>
      </c>
      <c r="E11" s="27">
        <v>-1.6296295400000511</v>
      </c>
    </row>
    <row r="12" spans="1:5" x14ac:dyDescent="0.25">
      <c r="B12" t="s">
        <v>1773</v>
      </c>
      <c r="C12" s="27">
        <v>-335.01256567000001</v>
      </c>
      <c r="D12" s="53">
        <v>-0.18945034092349711</v>
      </c>
      <c r="E12" s="27">
        <v>-420.76861742</v>
      </c>
    </row>
    <row r="13" spans="1:5" x14ac:dyDescent="0.25">
      <c r="B13" t="s">
        <v>1776</v>
      </c>
      <c r="C13" s="27">
        <v>-136.91223576999997</v>
      </c>
      <c r="D13" s="53">
        <v>-0.21014083444532289</v>
      </c>
      <c r="E13" s="27">
        <v>118.68121780999994</v>
      </c>
    </row>
    <row r="14" spans="1:5" x14ac:dyDescent="0.25">
      <c r="A14" t="s">
        <v>1820</v>
      </c>
      <c r="B14"/>
      <c r="C14" s="27">
        <v>-307.44577430000004</v>
      </c>
      <c r="D14" s="53">
        <v>-3.5126255599445884E-2</v>
      </c>
      <c r="E14" s="27">
        <v>-88.065456399999988</v>
      </c>
    </row>
    <row r="15" spans="1:5" x14ac:dyDescent="0.25">
      <c r="B15" t="s">
        <v>1771</v>
      </c>
      <c r="C15" s="27">
        <v>-65.534485890000028</v>
      </c>
      <c r="D15" s="53">
        <v>-5.4219270670619803E-2</v>
      </c>
      <c r="E15" s="27">
        <v>-44.165264000000001</v>
      </c>
    </row>
    <row r="16" spans="1:5" x14ac:dyDescent="0.25">
      <c r="B16" t="s">
        <v>1772</v>
      </c>
      <c r="C16" s="27">
        <v>-8.7313300000000038E-2</v>
      </c>
      <c r="D16" s="53">
        <v>-1.2552394309988004E-2</v>
      </c>
      <c r="E16" s="27">
        <v>-1.984E-2</v>
      </c>
    </row>
    <row r="17" spans="1:5" x14ac:dyDescent="0.25">
      <c r="B17" t="s">
        <v>1756</v>
      </c>
      <c r="C17" s="27">
        <v>-20.272350039999978</v>
      </c>
      <c r="D17" s="53">
        <v>-3.0977101472705694E-2</v>
      </c>
      <c r="E17" s="27">
        <v>-17.236822119999974</v>
      </c>
    </row>
    <row r="18" spans="1:5" x14ac:dyDescent="0.25">
      <c r="B18" t="s">
        <v>1775</v>
      </c>
      <c r="C18" s="27">
        <v>-35.84882743</v>
      </c>
      <c r="D18" s="53">
        <v>-1.1128297982468574E-2</v>
      </c>
      <c r="E18" s="27">
        <v>100.73189800000002</v>
      </c>
    </row>
    <row r="19" spans="1:5" x14ac:dyDescent="0.25">
      <c r="B19" t="s">
        <v>1768</v>
      </c>
      <c r="C19" s="27">
        <v>-130.64609221999999</v>
      </c>
      <c r="D19" s="53">
        <v>-0.10657307585951364</v>
      </c>
      <c r="E19" s="27">
        <v>-120.73859999999999</v>
      </c>
    </row>
    <row r="20" spans="1:5" x14ac:dyDescent="0.25">
      <c r="B20" t="s">
        <v>1769</v>
      </c>
      <c r="C20" s="27">
        <v>-11.949810230000001</v>
      </c>
      <c r="D20" s="53">
        <v>-2.6006460690674624E-2</v>
      </c>
      <c r="E20" s="27">
        <v>4.694793999999999</v>
      </c>
    </row>
    <row r="21" spans="1:5" x14ac:dyDescent="0.25">
      <c r="B21" t="s">
        <v>1755</v>
      </c>
      <c r="C21" s="27">
        <v>-54.349644720000022</v>
      </c>
      <c r="D21" s="53">
        <v>-8.6591532370879437E-2</v>
      </c>
      <c r="E21" s="27">
        <v>-57.063288630000002</v>
      </c>
    </row>
    <row r="22" spans="1:5" x14ac:dyDescent="0.25">
      <c r="B22" t="s">
        <v>1770</v>
      </c>
      <c r="C22" s="27">
        <v>-3.7120639899999999</v>
      </c>
      <c r="D22" s="53">
        <v>-2.165760349702656E-2</v>
      </c>
      <c r="E22" s="27">
        <v>-2.638989</v>
      </c>
    </row>
    <row r="23" spans="1:5" x14ac:dyDescent="0.25">
      <c r="B23" t="s">
        <v>1773</v>
      </c>
      <c r="C23" s="27">
        <v>-0.67521059999999999</v>
      </c>
      <c r="D23" s="53">
        <v>-0.14351059404844216</v>
      </c>
      <c r="E23" s="27">
        <v>-0.46890500000000002</v>
      </c>
    </row>
    <row r="24" spans="1:5" x14ac:dyDescent="0.25">
      <c r="B24" t="s">
        <v>1776</v>
      </c>
      <c r="C24" s="27">
        <v>15.630024119999987</v>
      </c>
      <c r="D24" s="53">
        <v>1.3336587472606498E-2</v>
      </c>
      <c r="E24" s="27">
        <v>48.839560349999999</v>
      </c>
    </row>
    <row r="25" spans="1:5" ht="15" customHeight="1" x14ac:dyDescent="0.25">
      <c r="A25" t="s">
        <v>1767</v>
      </c>
      <c r="B25"/>
      <c r="C25" s="27">
        <v>-826.69613693261454</v>
      </c>
      <c r="D25" s="53">
        <v>-6.4061467014249474E-2</v>
      </c>
      <c r="E25" s="27">
        <v>-438.93545816323643</v>
      </c>
    </row>
    <row r="26" spans="1:5" ht="15" customHeight="1" x14ac:dyDescent="0.25">
      <c r="B26"/>
      <c r="C26"/>
    </row>
    <row r="27" spans="1:5" x14ac:dyDescent="0.25">
      <c r="B27"/>
      <c r="C27"/>
    </row>
    <row r="28" spans="1:5" x14ac:dyDescent="0.25">
      <c r="B28"/>
      <c r="C28"/>
    </row>
    <row r="29" spans="1:5" x14ac:dyDescent="0.25">
      <c r="B29"/>
      <c r="C29"/>
    </row>
    <row r="30" spans="1:5" x14ac:dyDescent="0.25">
      <c r="B30"/>
      <c r="C30"/>
    </row>
    <row r="31" spans="1:5" x14ac:dyDescent="0.25">
      <c r="B31"/>
      <c r="C31"/>
    </row>
    <row r="32" spans="1:5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</sheetData>
  <pageMargins left="0.7" right="0.7" top="0.75" bottom="0.75" header="0.3" footer="0.3"/>
  <pageSetup paperSize="9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134"/>
  <sheetViews>
    <sheetView zoomScale="80" zoomScaleNormal="80" workbookViewId="0">
      <selection activeCell="Y16" sqref="Y16"/>
    </sheetView>
  </sheetViews>
  <sheetFormatPr defaultRowHeight="15" x14ac:dyDescent="0.25"/>
  <cols>
    <col min="1" max="1" width="18.28515625" customWidth="1"/>
    <col min="2" max="2" width="18.140625" style="14" bestFit="1" customWidth="1"/>
    <col min="3" max="3" width="12.42578125" customWidth="1"/>
    <col min="4" max="4" width="16.7109375" bestFit="1" customWidth="1"/>
    <col min="5" max="5" width="13.140625" customWidth="1"/>
    <col min="6" max="6" width="10.7109375" customWidth="1"/>
    <col min="14" max="14" width="16.28515625" bestFit="1" customWidth="1"/>
  </cols>
  <sheetData>
    <row r="3" spans="1:9" ht="50.25" customHeight="1" x14ac:dyDescent="0.25">
      <c r="A3" s="10" t="s">
        <v>1745</v>
      </c>
      <c r="B3" s="10" t="s">
        <v>265</v>
      </c>
      <c r="C3" s="42" t="s">
        <v>1918</v>
      </c>
      <c r="D3" s="55" t="s">
        <v>1914</v>
      </c>
      <c r="E3" s="56" t="s">
        <v>1916</v>
      </c>
      <c r="F3" t="s">
        <v>1915</v>
      </c>
      <c r="I3" t="s">
        <v>1950</v>
      </c>
    </row>
    <row r="4" spans="1:9" x14ac:dyDescent="0.25">
      <c r="A4" t="s">
        <v>1774</v>
      </c>
      <c r="B4"/>
      <c r="C4" s="28">
        <v>-2.977460730000002</v>
      </c>
      <c r="D4" s="53">
        <v>-4.0101650192777269E-2</v>
      </c>
      <c r="E4" s="28">
        <v>-2.9849540900000036</v>
      </c>
      <c r="F4" s="27">
        <v>74.24783558</v>
      </c>
    </row>
    <row r="5" spans="1:9" x14ac:dyDescent="0.25">
      <c r="A5" t="s">
        <v>1771</v>
      </c>
      <c r="B5"/>
      <c r="C5" s="28">
        <v>-65.534485890000013</v>
      </c>
      <c r="D5" s="53">
        <v>-5.4219270670619789E-2</v>
      </c>
      <c r="E5" s="28">
        <v>-44.165263999999993</v>
      </c>
      <c r="F5" s="27">
        <v>1208.693608</v>
      </c>
    </row>
    <row r="6" spans="1:9" x14ac:dyDescent="0.25">
      <c r="A6" t="s">
        <v>1756</v>
      </c>
      <c r="B6"/>
      <c r="C6" s="28">
        <v>-14.969172280315265</v>
      </c>
      <c r="D6" s="53">
        <v>-3.1862019095200027E-2</v>
      </c>
      <c r="E6" s="28">
        <v>-12.514702239999924</v>
      </c>
      <c r="F6" s="27">
        <v>469.81241947000001</v>
      </c>
    </row>
    <row r="7" spans="1:9" x14ac:dyDescent="0.25">
      <c r="A7" t="s">
        <v>1775</v>
      </c>
      <c r="B7"/>
      <c r="C7" s="28">
        <v>-47.273840723006131</v>
      </c>
      <c r="D7" s="53">
        <v>-2.3396885150262857E-2</v>
      </c>
      <c r="E7" s="28">
        <v>5.8409873669938595</v>
      </c>
      <c r="F7" s="27">
        <v>2020.518561312638</v>
      </c>
    </row>
    <row r="8" spans="1:9" x14ac:dyDescent="0.25">
      <c r="A8" t="s">
        <v>1768</v>
      </c>
      <c r="B8"/>
      <c r="C8" s="28">
        <v>-155.01880337999998</v>
      </c>
      <c r="D8" s="53">
        <v>-0.11449888765496527</v>
      </c>
      <c r="E8" s="28">
        <v>-154.46564094000001</v>
      </c>
      <c r="F8" s="27">
        <v>1353.8891648200004</v>
      </c>
    </row>
    <row r="9" spans="1:9" x14ac:dyDescent="0.25">
      <c r="A9" t="s">
        <v>1769</v>
      </c>
      <c r="B9"/>
      <c r="C9" s="28">
        <v>24.190522493936381</v>
      </c>
      <c r="D9" s="53">
        <v>0.12862071827825242</v>
      </c>
      <c r="E9" s="28">
        <v>26.785795780000004</v>
      </c>
      <c r="F9" s="27">
        <v>188.07640649000004</v>
      </c>
    </row>
    <row r="10" spans="1:9" x14ac:dyDescent="0.25">
      <c r="A10" t="s">
        <v>1755</v>
      </c>
      <c r="B10"/>
      <c r="C10" s="28">
        <v>-65.355696240000015</v>
      </c>
      <c r="D10" s="53">
        <v>-7.2314771664683253E-2</v>
      </c>
      <c r="E10" s="28">
        <v>-71.062351450000023</v>
      </c>
      <c r="F10" s="27">
        <v>903.76688933000003</v>
      </c>
    </row>
    <row r="11" spans="1:9" x14ac:dyDescent="0.25">
      <c r="A11" t="s">
        <v>1770</v>
      </c>
      <c r="B11"/>
      <c r="C11" s="28">
        <v>-10.440491503229358</v>
      </c>
      <c r="D11" s="53">
        <v>-2.2897047245606976E-2</v>
      </c>
      <c r="E11" s="28">
        <v>-2.2270415400000512</v>
      </c>
      <c r="F11" s="27">
        <v>455.9754535699999</v>
      </c>
    </row>
    <row r="12" spans="1:9" x14ac:dyDescent="0.25">
      <c r="A12" t="s">
        <v>1773</v>
      </c>
      <c r="B12"/>
      <c r="C12" s="28">
        <v>-335.35306844000002</v>
      </c>
      <c r="D12" s="53">
        <v>-0.18913965942539507</v>
      </c>
      <c r="E12" s="28">
        <v>-421.23752242</v>
      </c>
      <c r="F12" s="27">
        <v>1773.0446880299999</v>
      </c>
    </row>
    <row r="13" spans="1:9" x14ac:dyDescent="0.25">
      <c r="A13" t="s">
        <v>1776</v>
      </c>
      <c r="B13"/>
      <c r="C13" s="28">
        <v>-121.28221164999998</v>
      </c>
      <c r="D13" s="53">
        <v>-6.68608528452692E-2</v>
      </c>
      <c r="E13" s="28">
        <v>172.16371880999992</v>
      </c>
      <c r="F13" s="27">
        <v>1813.94951588</v>
      </c>
    </row>
    <row r="14" spans="1:9" x14ac:dyDescent="0.25">
      <c r="B14"/>
    </row>
    <row r="15" spans="1:9" x14ac:dyDescent="0.25">
      <c r="B15"/>
    </row>
    <row r="16" spans="1:9" x14ac:dyDescent="0.25">
      <c r="B16"/>
    </row>
    <row r="17" spans="2:8" x14ac:dyDescent="0.25">
      <c r="B17"/>
    </row>
    <row r="18" spans="2:8" x14ac:dyDescent="0.25">
      <c r="B18"/>
    </row>
    <row r="19" spans="2:8" x14ac:dyDescent="0.25">
      <c r="B19"/>
    </row>
    <row r="20" spans="2:8" x14ac:dyDescent="0.25">
      <c r="B20"/>
    </row>
    <row r="21" spans="2:8" x14ac:dyDescent="0.25">
      <c r="B21"/>
    </row>
    <row r="22" spans="2:8" x14ac:dyDescent="0.25">
      <c r="B22"/>
    </row>
    <row r="23" spans="2:8" x14ac:dyDescent="0.25">
      <c r="B23"/>
    </row>
    <row r="24" spans="2:8" x14ac:dyDescent="0.25">
      <c r="B24"/>
    </row>
    <row r="25" spans="2:8" x14ac:dyDescent="0.25">
      <c r="B25"/>
    </row>
    <row r="26" spans="2:8" x14ac:dyDescent="0.25">
      <c r="B26"/>
    </row>
    <row r="27" spans="2:8" x14ac:dyDescent="0.25">
      <c r="B27"/>
    </row>
    <row r="28" spans="2:8" x14ac:dyDescent="0.25">
      <c r="B28"/>
    </row>
    <row r="29" spans="2:8" x14ac:dyDescent="0.25">
      <c r="B29"/>
      <c r="H29" s="29"/>
    </row>
    <row r="30" spans="2:8" x14ac:dyDescent="0.25">
      <c r="B30"/>
    </row>
    <row r="31" spans="2:8" x14ac:dyDescent="0.25">
      <c r="B31"/>
    </row>
    <row r="32" spans="2:8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14" x14ac:dyDescent="0.25">
      <c r="B49"/>
    </row>
    <row r="50" spans="2:14" x14ac:dyDescent="0.25">
      <c r="B50"/>
    </row>
    <row r="51" spans="2:14" x14ac:dyDescent="0.25">
      <c r="B51"/>
    </row>
    <row r="52" spans="2:14" x14ac:dyDescent="0.25">
      <c r="B52"/>
    </row>
    <row r="53" spans="2:14" x14ac:dyDescent="0.25">
      <c r="B53"/>
    </row>
    <row r="54" spans="2:14" x14ac:dyDescent="0.25">
      <c r="B54"/>
    </row>
    <row r="55" spans="2:14" x14ac:dyDescent="0.25">
      <c r="B55"/>
    </row>
    <row r="56" spans="2:14" x14ac:dyDescent="0.25">
      <c r="B56"/>
      <c r="N56" s="15">
        <v>674713875.42999995</v>
      </c>
    </row>
    <row r="57" spans="2:14" x14ac:dyDescent="0.25">
      <c r="B57"/>
      <c r="N57" s="15">
        <v>708986214.20000005</v>
      </c>
    </row>
    <row r="58" spans="2:14" x14ac:dyDescent="0.25">
      <c r="B58"/>
      <c r="N58" s="27">
        <f>N56-N57</f>
        <v>-34272338.7700001</v>
      </c>
    </row>
    <row r="59" spans="2:14" x14ac:dyDescent="0.25">
      <c r="B59"/>
    </row>
    <row r="60" spans="2:14" x14ac:dyDescent="0.25">
      <c r="B60"/>
    </row>
    <row r="61" spans="2:14" x14ac:dyDescent="0.25">
      <c r="B61"/>
    </row>
    <row r="62" spans="2:14" x14ac:dyDescent="0.25">
      <c r="B62"/>
    </row>
    <row r="63" spans="2:14" x14ac:dyDescent="0.25">
      <c r="B63"/>
    </row>
    <row r="64" spans="2:14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</sheetData>
  <pageMargins left="0.7" right="0.7" top="0.75" bottom="0.75" header="0.3" footer="0.3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E135"/>
  <sheetViews>
    <sheetView tabSelected="1" zoomScale="60" zoomScaleNormal="60" workbookViewId="0">
      <pane xSplit="3" topLeftCell="D1" activePane="topRight" state="frozen"/>
      <selection pane="topRight" activeCell="T16" sqref="T16"/>
    </sheetView>
  </sheetViews>
  <sheetFormatPr defaultRowHeight="15" x14ac:dyDescent="0.25"/>
  <cols>
    <col min="1" max="1" width="15.140625" bestFit="1" customWidth="1"/>
    <col min="2" max="2" width="11" hidden="1" customWidth="1"/>
    <col min="3" max="3" width="74.7109375" bestFit="1" customWidth="1"/>
    <col min="4" max="4" width="18.7109375" bestFit="1" customWidth="1"/>
    <col min="5" max="5" width="25.5703125" hidden="1" customWidth="1"/>
    <col min="6" max="6" width="46.7109375" hidden="1" customWidth="1"/>
    <col min="7" max="7" width="27.42578125" customWidth="1"/>
    <col min="8" max="8" width="18.7109375" customWidth="1"/>
    <col min="9" max="9" width="21.5703125" hidden="1" customWidth="1"/>
    <col min="10" max="10" width="119" hidden="1" customWidth="1"/>
    <col min="11" max="11" width="31.42578125" hidden="1" customWidth="1"/>
    <col min="12" max="12" width="22" hidden="1" customWidth="1"/>
    <col min="13" max="13" width="44" hidden="1" customWidth="1"/>
    <col min="14" max="14" width="45.7109375" hidden="1" customWidth="1"/>
    <col min="15" max="15" width="21.5703125" style="3" hidden="1" customWidth="1"/>
    <col min="16" max="16" width="26.5703125" bestFit="1" customWidth="1"/>
    <col min="17" max="17" width="38.5703125" hidden="1" customWidth="1"/>
    <col min="18" max="19" width="22" style="15" hidden="1" customWidth="1"/>
    <col min="20" max="20" width="15.85546875" style="3" bestFit="1" customWidth="1"/>
    <col min="21" max="21" width="24" style="3" bestFit="1" customWidth="1"/>
    <col min="22" max="22" width="27.85546875" style="3" bestFit="1" customWidth="1"/>
    <col min="23" max="23" width="15.42578125" bestFit="1" customWidth="1"/>
    <col min="24" max="24" width="20" style="19" bestFit="1" customWidth="1"/>
    <col min="25" max="25" width="22.7109375" customWidth="1"/>
    <col min="26" max="26" width="22.85546875" bestFit="1" customWidth="1"/>
    <col min="27" max="27" width="22.85546875" customWidth="1"/>
    <col min="28" max="28" width="18.7109375" customWidth="1"/>
    <col min="29" max="29" width="17.42578125" bestFit="1" customWidth="1"/>
    <col min="30" max="30" width="18.7109375" customWidth="1"/>
  </cols>
  <sheetData>
    <row r="1" spans="1:31" hidden="1" x14ac:dyDescent="0.25">
      <c r="A1" t="s">
        <v>1748</v>
      </c>
      <c r="B1" t="s">
        <v>1749</v>
      </c>
      <c r="C1" t="s">
        <v>1748</v>
      </c>
      <c r="D1" t="s">
        <v>1750</v>
      </c>
      <c r="E1" t="s">
        <v>1750</v>
      </c>
      <c r="F1" t="s">
        <v>1749</v>
      </c>
      <c r="G1" t="s">
        <v>1749</v>
      </c>
      <c r="H1" t="s">
        <v>1749</v>
      </c>
      <c r="I1" t="s">
        <v>1749</v>
      </c>
      <c r="J1" t="s">
        <v>1749</v>
      </c>
      <c r="K1" t="s">
        <v>1748</v>
      </c>
      <c r="L1" t="s">
        <v>1748</v>
      </c>
      <c r="M1" t="s">
        <v>1748</v>
      </c>
      <c r="N1" t="s">
        <v>1748</v>
      </c>
      <c r="O1" s="3" t="s">
        <v>1748</v>
      </c>
      <c r="P1" t="s">
        <v>1749</v>
      </c>
      <c r="Q1" t="s">
        <v>1749</v>
      </c>
      <c r="R1" s="15" t="s">
        <v>1749</v>
      </c>
      <c r="S1" s="15" t="s">
        <v>1749</v>
      </c>
      <c r="T1" s="3" t="s">
        <v>1749</v>
      </c>
      <c r="U1" s="3" t="s">
        <v>1749</v>
      </c>
      <c r="X1"/>
      <c r="Y1" t="s">
        <v>1749</v>
      </c>
    </row>
    <row r="2" spans="1:31" s="6" customFormat="1" ht="45" x14ac:dyDescent="0.25">
      <c r="A2" s="4" t="s">
        <v>264</v>
      </c>
      <c r="B2" s="4" t="s">
        <v>1764</v>
      </c>
      <c r="C2" s="4" t="s">
        <v>265</v>
      </c>
      <c r="D2" s="4" t="s">
        <v>1761</v>
      </c>
      <c r="E2" s="4" t="s">
        <v>1738</v>
      </c>
      <c r="F2" s="4" t="s">
        <v>1734</v>
      </c>
      <c r="G2" s="4" t="s">
        <v>1744</v>
      </c>
      <c r="H2" s="4" t="s">
        <v>1745</v>
      </c>
      <c r="I2" s="4" t="s">
        <v>1735</v>
      </c>
      <c r="J2" s="4" t="s">
        <v>1736</v>
      </c>
      <c r="K2" s="4" t="s">
        <v>266</v>
      </c>
      <c r="L2" s="4" t="s">
        <v>1730</v>
      </c>
      <c r="M2" s="4" t="s">
        <v>268</v>
      </c>
      <c r="N2" s="4" t="s">
        <v>269</v>
      </c>
      <c r="O2" s="5" t="s">
        <v>1742</v>
      </c>
      <c r="P2" s="5" t="s">
        <v>1814</v>
      </c>
      <c r="Q2" s="4" t="s">
        <v>1740</v>
      </c>
      <c r="R2" s="16" t="s">
        <v>1795</v>
      </c>
      <c r="S2" s="16" t="s">
        <v>1760</v>
      </c>
      <c r="T2" s="5" t="s">
        <v>1815</v>
      </c>
      <c r="U2" s="5" t="s">
        <v>1813</v>
      </c>
      <c r="V2" s="5" t="s">
        <v>1811</v>
      </c>
      <c r="W2" s="5" t="s">
        <v>1796</v>
      </c>
      <c r="X2" s="5" t="s">
        <v>1763</v>
      </c>
      <c r="Y2" s="5" t="s">
        <v>1812</v>
      </c>
      <c r="Z2" s="5" t="s">
        <v>1816</v>
      </c>
      <c r="AA2" s="5" t="s">
        <v>1817</v>
      </c>
      <c r="AB2" s="5" t="s">
        <v>1809</v>
      </c>
      <c r="AC2" s="5" t="s">
        <v>1810</v>
      </c>
      <c r="AD2" s="5" t="s">
        <v>1808</v>
      </c>
    </row>
    <row r="3" spans="1:31" ht="14.25" customHeight="1" x14ac:dyDescent="0.25">
      <c r="A3" t="s">
        <v>124</v>
      </c>
      <c r="B3" t="s">
        <v>1737</v>
      </c>
      <c r="C3" t="s">
        <v>270</v>
      </c>
      <c r="D3" t="s">
        <v>1762</v>
      </c>
      <c r="E3" t="s">
        <v>1739</v>
      </c>
      <c r="F3" t="str">
        <f>VLOOKUP($A3,'[1]Dublin funds'!$B$2:$AS$153,2,FALSE)</f>
        <v>From Risk - Fund Responsibility - Dublin Funds</v>
      </c>
      <c r="G3" t="str">
        <f>VLOOKUP($A3,'[2]Total AUM Data'!$A:$I,5,FALSE)</f>
        <v>Allocation Driven Strategies</v>
      </c>
      <c r="H3" t="str">
        <f>VLOOKUP($A3,'[2]Total AUM Data'!$A:$I,6,FALSE)</f>
        <v>Moderate</v>
      </c>
      <c r="I3" t="str">
        <f>VLOOKUP($A3,'[1]Dublin funds'!$B$2:$AS$153,3,FALSE)</f>
        <v>BAL Multimanagement</v>
      </c>
      <c r="J3" t="str">
        <f>VLOOKUP($A3,'[1]Dublin funds'!$B$2:$AS$153,4,FALSE)</f>
        <v>DUB BAL Multimanagement SDA Fds de Fds</v>
      </c>
      <c r="K3" t="s">
        <v>230</v>
      </c>
      <c r="L3" t="s">
        <v>232</v>
      </c>
      <c r="M3" t="s">
        <v>237</v>
      </c>
      <c r="N3" t="s">
        <v>245</v>
      </c>
      <c r="O3" s="3">
        <f>VLOOKUP(A3,'Audit AUM File'!A:B,2,FALSE)</f>
        <v>176126455.22999999</v>
      </c>
      <c r="P3" s="3">
        <f>VLOOKUP(A3,[3]AUM!$A$3:$B$131,2,0)</f>
        <v>324009437.85999995</v>
      </c>
      <c r="R3" s="15" t="b">
        <f>+IF(D3="",VLOOKUP(A3,'[2]Pivot for Jun AUM'!$A$5:$B$121,2,FALSE))</f>
        <v>0</v>
      </c>
      <c r="S3" s="15">
        <f>+IF(D3&lt;&gt;"",VLOOKUP(A3,'[2]Total AUM Data'!$A$2:$G$48,7,FALSE))</f>
        <v>169346773.31</v>
      </c>
      <c r="T3" s="23">
        <f>VLOOKUP(A3,[4]Flows!$A$3:$D$1206,4,0)</f>
        <v>-4401543.419829757</v>
      </c>
      <c r="U3" s="23">
        <f>VLOOKUP(A3,'[3]Last Aum File'!$A$2:$B$128,2,0)</f>
        <v>323150343.74000001</v>
      </c>
      <c r="V3" s="14">
        <f>+U3/1000000</f>
        <v>323.15034373999998</v>
      </c>
      <c r="W3" s="9">
        <f t="shared" ref="W3:W13" si="0">+IF(OR(A3="HF11",A3="PACIFAI"),0,IF(A3="MUSG",P3-U3/2,P3-U3))</f>
        <v>859094.11999994516</v>
      </c>
      <c r="X3" s="24">
        <f>+IF(ISNA(W3),0,W3)</f>
        <v>859094.11999994516</v>
      </c>
      <c r="Y3" s="14">
        <f>P3/1000000</f>
        <v>324.00943785999993</v>
      </c>
      <c r="Z3" s="14">
        <f>X3/1000000</f>
        <v>0.85909411999994512</v>
      </c>
      <c r="AA3" s="14">
        <f>T3/1000000</f>
        <v>-4.4015434198297569</v>
      </c>
      <c r="AB3" s="14">
        <f>VLOOKUP(A3,[3]AUM!$A$3:$B$131,2,0)/1000000</f>
        <v>324.00943785999993</v>
      </c>
      <c r="AC3" s="14">
        <f>VLOOKUP(A3,'[3]Last Aum File'!$A$2:$B$126,2,0)/1000000</f>
        <v>323.15034373999998</v>
      </c>
      <c r="AD3" s="14">
        <f>AB3-AC3</f>
        <v>0.859094119999952</v>
      </c>
    </row>
    <row r="4" spans="1:31" x14ac:dyDescent="0.25">
      <c r="A4" t="s">
        <v>116</v>
      </c>
      <c r="B4" t="s">
        <v>1737</v>
      </c>
      <c r="C4" t="s">
        <v>271</v>
      </c>
      <c r="D4" t="s">
        <v>1762</v>
      </c>
      <c r="E4" t="s">
        <v>1739</v>
      </c>
      <c r="F4" t="str">
        <f>VLOOKUP(A4,'[1]Dublin funds'!$B$2:$AS$153,2,FALSE)</f>
        <v>From Risk - Fund Responsibility - Dublin Funds</v>
      </c>
      <c r="G4" t="str">
        <f>VLOOKUP($A4,'[2]Total AUM Data'!$A:$I,5,FALSE)</f>
        <v>Allocation Driven Strategies</v>
      </c>
      <c r="H4" t="str">
        <f>VLOOKUP($A4,'[2]Total AUM Data'!$A:$I,6,FALSE)</f>
        <v>Conservative</v>
      </c>
      <c r="I4" t="str">
        <f>VLOOKUP($A4,'[1]Dublin funds'!$B$2:$AS$153,3,FALSE)</f>
        <v>BAL Multimanagement</v>
      </c>
      <c r="J4" t="str">
        <f>VLOOKUP($A4,'[1]Dublin funds'!$B$2:$AS$153,4,FALSE)</f>
        <v>DUB BAL Multimanagement SDA Fds de Fds</v>
      </c>
      <c r="K4" t="s">
        <v>230</v>
      </c>
      <c r="L4" t="s">
        <v>232</v>
      </c>
      <c r="M4" t="s">
        <v>239</v>
      </c>
      <c r="N4" t="s">
        <v>245</v>
      </c>
      <c r="O4" s="3">
        <f>VLOOKUP(A4,'Audit AUM File'!A:B,2,FALSE)</f>
        <v>200569592.62</v>
      </c>
      <c r="P4" s="3">
        <f>VLOOKUP(A4,[3]AUM!$A$3:$B$131,2,0)</f>
        <v>242806300.35000002</v>
      </c>
      <c r="R4" s="15" t="b">
        <f>+IF(D4="",VLOOKUP(A4,'[2]Pivot for Jun AUM'!$A$5:$B$121,2,FALSE))</f>
        <v>0</v>
      </c>
      <c r="S4" s="15">
        <f>+IF(D4&lt;&gt;"",VLOOKUP(A4,'[2]Total AUM Data'!$A$2:$G$48,7,FALSE))</f>
        <v>191554138.88</v>
      </c>
      <c r="T4" s="23">
        <f>VLOOKUP(A4,[4]Flows!$A$3:$D$1206,4,0)</f>
        <v>-6585274.1259017717</v>
      </c>
      <c r="U4" s="23">
        <f>VLOOKUP(A4,'[3]Last Aum File'!$A$2:$B$128,2,0)</f>
        <v>247147097.27999997</v>
      </c>
      <c r="V4" s="14">
        <f t="shared" ref="V4:V76" si="1">+U4/1000000</f>
        <v>247.14709727999997</v>
      </c>
      <c r="W4" s="9">
        <f t="shared" si="0"/>
        <v>-4340796.9299999475</v>
      </c>
      <c r="X4" s="24">
        <f>+IF(ISNA(W4),0,W4)</f>
        <v>-4340796.9299999475</v>
      </c>
      <c r="Y4" s="14">
        <f t="shared" ref="Y4:Y76" si="2">P4/1000000</f>
        <v>242.80630035000001</v>
      </c>
      <c r="Z4" s="14">
        <f t="shared" ref="Z4:Z76" si="3">X4/1000000</f>
        <v>-4.3407969299999474</v>
      </c>
      <c r="AA4" s="14">
        <f t="shared" ref="AA4:AA77" si="4">T4/1000000</f>
        <v>-6.5852741259017717</v>
      </c>
      <c r="AB4" s="14">
        <f>VLOOKUP(A4,[3]AUM!$A$3:$B$131,2,0)/1000000</f>
        <v>242.80630035000001</v>
      </c>
      <c r="AC4" s="14">
        <f>VLOOKUP(A4,'[3]Last Aum File'!$A$2:$B$126,2,0)/1000000</f>
        <v>247.14709727999997</v>
      </c>
      <c r="AD4" s="14">
        <f t="shared" ref="AD4:AD77" si="5">AB4-AC4</f>
        <v>-4.3407969299999536</v>
      </c>
    </row>
    <row r="5" spans="1:31" x14ac:dyDescent="0.25">
      <c r="A5" t="s">
        <v>115</v>
      </c>
      <c r="B5" t="s">
        <v>1737</v>
      </c>
      <c r="C5" t="s">
        <v>209</v>
      </c>
      <c r="D5" t="s">
        <v>1762</v>
      </c>
      <c r="E5" t="s">
        <v>1739</v>
      </c>
      <c r="F5" t="str">
        <f>VLOOKUP(A5,'[1]Dublin funds'!$B$2:$AS$153,2,FALSE)</f>
        <v>From Risk - Fund Responsibility - Dublin Funds</v>
      </c>
      <c r="G5" t="str">
        <f>VLOOKUP($A5,'[2]Total AUM Data'!$A:$I,5,FALSE)</f>
        <v>Allocation Driven Strategies</v>
      </c>
      <c r="H5" t="str">
        <f>VLOOKUP($A5,'[2]Total AUM Data'!$A:$I,6,FALSE)</f>
        <v>Growth</v>
      </c>
      <c r="I5" t="str">
        <f>VLOOKUP($A5,'[1]Dublin funds'!$B$2:$AS$153,3,FALSE)</f>
        <v>BAL Multimanagement</v>
      </c>
      <c r="J5" t="str">
        <f>VLOOKUP($A5,'[1]Dublin funds'!$B$2:$AS$153,4,FALSE)</f>
        <v>AMU BAL SDA Fds de Fds (used some absolute limits with High Rik with Equity exposure 0/120% and currency exposure up to 100%</v>
      </c>
      <c r="K5" t="s">
        <v>230</v>
      </c>
      <c r="L5" t="s">
        <v>232</v>
      </c>
      <c r="M5" t="s">
        <v>240</v>
      </c>
      <c r="N5" t="s">
        <v>245</v>
      </c>
      <c r="O5" s="3">
        <f>VLOOKUP(A5,'Audit AUM File'!A:B,2,FALSE)</f>
        <v>68345861.700000003</v>
      </c>
      <c r="P5" s="3">
        <f>VLOOKUP(A5,[3]AUM!$A$3:$B$131,2,0)</f>
        <v>83823203.900000006</v>
      </c>
      <c r="R5" s="15" t="b">
        <f>+IF(D5="",VLOOKUP(A5,'[2]Pivot for Jun AUM'!$A$5:$B$121,2,FALSE))</f>
        <v>0</v>
      </c>
      <c r="S5" s="15">
        <f>+IF(D5&lt;&gt;"",VLOOKUP(A5,'[2]Total AUM Data'!$A$2:$G$48,7,FALSE))</f>
        <v>66139608.709999993</v>
      </c>
      <c r="T5" s="23">
        <f>VLOOKUP(A5,[4]Flows!$A$3:$D$1206,4,0)</f>
        <v>-1199812.7503379725</v>
      </c>
      <c r="U5" s="23">
        <f>VLOOKUP(A5,'[3]Last Aum File'!$A$2:$B$128,2,0)</f>
        <v>85685108.980000004</v>
      </c>
      <c r="V5" s="14">
        <f t="shared" si="1"/>
        <v>85.68510898000001</v>
      </c>
      <c r="W5" s="9">
        <f t="shared" si="0"/>
        <v>-1861905.0799999982</v>
      </c>
      <c r="X5" s="24">
        <f t="shared" ref="X5:X76" si="6">+IF(ISNA(W5),0,W5)</f>
        <v>-1861905.0799999982</v>
      </c>
      <c r="Y5" s="14">
        <f t="shared" si="2"/>
        <v>83.82320390000001</v>
      </c>
      <c r="Z5" s="14">
        <f t="shared" si="3"/>
        <v>-1.8619050799999981</v>
      </c>
      <c r="AA5" s="14">
        <f t="shared" si="4"/>
        <v>-1.1998127503379725</v>
      </c>
      <c r="AB5" s="14">
        <f>VLOOKUP(A5,[3]AUM!$A$3:$B$131,2,0)/1000000</f>
        <v>83.82320390000001</v>
      </c>
      <c r="AC5" s="14">
        <f>VLOOKUP(A5,'[3]Last Aum File'!$A$2:$B$126,2,0)/1000000</f>
        <v>85.68510898000001</v>
      </c>
      <c r="AD5" s="14">
        <f t="shared" si="5"/>
        <v>-1.8619050799999997</v>
      </c>
    </row>
    <row r="6" spans="1:31" ht="14.25" customHeight="1" x14ac:dyDescent="0.25">
      <c r="A6" t="s">
        <v>1904</v>
      </c>
      <c r="B6" t="s">
        <v>1737</v>
      </c>
      <c r="C6" t="s">
        <v>1901</v>
      </c>
      <c r="D6" t="s">
        <v>1762</v>
      </c>
      <c r="E6" t="s">
        <v>1739</v>
      </c>
      <c r="F6" t="s">
        <v>1793</v>
      </c>
      <c r="G6" s="8" t="s">
        <v>1754</v>
      </c>
      <c r="H6" t="s">
        <v>1770</v>
      </c>
      <c r="I6" t="s">
        <v>1832</v>
      </c>
      <c r="J6" t="s">
        <v>245</v>
      </c>
      <c r="K6" t="s">
        <v>230</v>
      </c>
      <c r="L6" t="s">
        <v>232</v>
      </c>
      <c r="M6" t="s">
        <v>237</v>
      </c>
      <c r="N6" t="s">
        <v>245</v>
      </c>
      <c r="P6" s="3"/>
      <c r="R6" s="15" t="b">
        <f>+IF(D6="",VLOOKUP(A6,'[2]Pivot for Jun AUM'!$A$5:$B$121,2,FALSE))</f>
        <v>0</v>
      </c>
      <c r="T6" s="23"/>
      <c r="U6" s="23"/>
      <c r="V6" s="14"/>
      <c r="W6" s="9"/>
      <c r="X6" s="24"/>
      <c r="Y6" s="14"/>
      <c r="Z6" s="14"/>
      <c r="AA6" s="14"/>
      <c r="AB6" s="14"/>
      <c r="AC6" s="14"/>
      <c r="AD6" s="14"/>
    </row>
    <row r="7" spans="1:31" x14ac:dyDescent="0.25">
      <c r="A7" t="s">
        <v>1903</v>
      </c>
      <c r="B7" t="s">
        <v>1737</v>
      </c>
      <c r="C7" t="s">
        <v>1900</v>
      </c>
      <c r="D7" t="s">
        <v>1762</v>
      </c>
      <c r="E7" t="s">
        <v>1739</v>
      </c>
      <c r="F7" t="s">
        <v>1793</v>
      </c>
      <c r="G7" s="8" t="s">
        <v>1754</v>
      </c>
      <c r="H7" t="s">
        <v>1756</v>
      </c>
      <c r="I7" t="s">
        <v>1832</v>
      </c>
      <c r="J7" t="s">
        <v>245</v>
      </c>
      <c r="K7" t="s">
        <v>230</v>
      </c>
      <c r="L7" t="s">
        <v>232</v>
      </c>
      <c r="M7" t="s">
        <v>239</v>
      </c>
      <c r="N7" t="s">
        <v>245</v>
      </c>
      <c r="P7" s="3"/>
      <c r="R7" s="15" t="b">
        <f>+IF(D7="",VLOOKUP(A7,'[2]Pivot for Jun AUM'!$A$5:$B$121,2,FALSE))</f>
        <v>0</v>
      </c>
      <c r="T7" s="23"/>
      <c r="U7" s="23"/>
      <c r="V7" s="14"/>
      <c r="W7" s="9"/>
      <c r="X7" s="24"/>
      <c r="Y7" s="14"/>
      <c r="Z7" s="14"/>
      <c r="AA7" s="14"/>
      <c r="AB7" s="14"/>
      <c r="AC7" s="14"/>
      <c r="AD7" s="14"/>
    </row>
    <row r="8" spans="1:31" x14ac:dyDescent="0.25">
      <c r="A8" t="s">
        <v>1905</v>
      </c>
      <c r="B8" t="s">
        <v>1737</v>
      </c>
      <c r="C8" t="s">
        <v>1902</v>
      </c>
      <c r="D8" t="s">
        <v>1762</v>
      </c>
      <c r="E8" t="s">
        <v>1739</v>
      </c>
      <c r="F8" t="s">
        <v>1793</v>
      </c>
      <c r="G8" s="8" t="s">
        <v>1754</v>
      </c>
      <c r="H8" t="s">
        <v>1769</v>
      </c>
      <c r="I8" t="s">
        <v>1832</v>
      </c>
      <c r="J8" t="s">
        <v>1833</v>
      </c>
      <c r="K8" t="s">
        <v>230</v>
      </c>
      <c r="L8" t="s">
        <v>232</v>
      </c>
      <c r="M8" t="s">
        <v>240</v>
      </c>
      <c r="N8" t="s">
        <v>245</v>
      </c>
      <c r="P8" s="3"/>
      <c r="R8" s="15" t="b">
        <f>+IF(D8="",VLOOKUP(A8,'[2]Pivot for Jun AUM'!$A$5:$B$121,2,FALSE))</f>
        <v>0</v>
      </c>
      <c r="T8" s="23"/>
      <c r="U8" s="23"/>
      <c r="V8" s="14"/>
      <c r="W8" s="9"/>
      <c r="X8" s="24"/>
      <c r="Y8" s="14"/>
      <c r="Z8" s="14"/>
      <c r="AA8" s="14"/>
      <c r="AB8" s="14"/>
      <c r="AC8" s="14"/>
      <c r="AD8" s="14"/>
    </row>
    <row r="9" spans="1:31" x14ac:dyDescent="0.25">
      <c r="A9" t="s">
        <v>135</v>
      </c>
      <c r="B9" t="s">
        <v>1737</v>
      </c>
      <c r="C9" t="s">
        <v>215</v>
      </c>
      <c r="D9" t="s">
        <v>1762</v>
      </c>
      <c r="E9" t="s">
        <v>1739</v>
      </c>
      <c r="F9" t="str">
        <f>VLOOKUP(A9,'[1]Dublin funds'!$B$2:$AS$153,2,FALSE)</f>
        <v>From Risk - Fund Responsibility - Dublin Funds</v>
      </c>
      <c r="G9" s="8" t="str">
        <f>VLOOKUP($A9,'[2]Total AUM Data'!$A:$I,5,FALSE)</f>
        <v>Outcome Oriented Strategies</v>
      </c>
      <c r="H9" t="str">
        <f>VLOOKUP($A9,'[2]Total AUM Data'!$A:$I,6,FALSE)</f>
        <v>Risk Accumulation</v>
      </c>
      <c r="I9" t="str">
        <f>VLOOKUP($A9,'[1]Dublin funds'!$B$2:$AS$153,3,FALSE)</f>
        <v>EFI Absolute Return</v>
      </c>
      <c r="J9" t="str">
        <f>VLOOKUP($A9,'[1]Dublin funds'!$B$2:$AS$153,4,FALSE)</f>
        <v>DUB EFI Absolute Return Aggregate</v>
      </c>
      <c r="K9" t="s">
        <v>230</v>
      </c>
      <c r="L9" t="s">
        <v>232</v>
      </c>
      <c r="M9" t="s">
        <v>236</v>
      </c>
      <c r="N9" t="s">
        <v>246</v>
      </c>
      <c r="O9" s="3">
        <f>VLOOKUP(A9,'Audit AUM File'!A:B,2,FALSE)</f>
        <v>336213704.19999999</v>
      </c>
      <c r="P9" s="3"/>
      <c r="R9" s="15" t="b">
        <f>+IF(D9="",VLOOKUP(A9,'[2]Pivot for Jun AUM'!$A$5:$B$121,2,FALSE))</f>
        <v>0</v>
      </c>
      <c r="S9" s="15">
        <f>+IF(D9&lt;&gt;"",VLOOKUP(A9,'[2]Total AUM Data'!$A$2:$G$48,7,FALSE))</f>
        <v>335037348.60999995</v>
      </c>
      <c r="T9" s="23"/>
      <c r="U9" s="23"/>
      <c r="V9" s="14"/>
      <c r="W9" s="9"/>
      <c r="X9" s="24"/>
      <c r="Y9" s="14"/>
      <c r="Z9" s="14"/>
      <c r="AA9" s="14"/>
      <c r="AB9" s="14"/>
      <c r="AC9" s="14"/>
      <c r="AD9" s="14"/>
    </row>
    <row r="10" spans="1:31" x14ac:dyDescent="0.25">
      <c r="A10" t="s">
        <v>1912</v>
      </c>
      <c r="B10" t="s">
        <v>1737</v>
      </c>
      <c r="C10" t="s">
        <v>1913</v>
      </c>
      <c r="D10" t="s">
        <v>1762</v>
      </c>
      <c r="E10" t="s">
        <v>1739</v>
      </c>
      <c r="F10" t="s">
        <v>1793</v>
      </c>
      <c r="G10" t="s">
        <v>1757</v>
      </c>
      <c r="H10" t="s">
        <v>1773</v>
      </c>
      <c r="K10" t="s">
        <v>229</v>
      </c>
      <c r="L10" t="s">
        <v>235</v>
      </c>
      <c r="M10" t="s">
        <v>236</v>
      </c>
      <c r="P10" s="3">
        <f>VLOOKUP(A10,[3]AUM!$A$3:$B$131,2,0)</f>
        <v>93538758.120000005</v>
      </c>
      <c r="T10" s="23">
        <f>VLOOKUP(A10,[4]Flows!$A$3:$D$1206,4,0)</f>
        <v>-18151357.009999994</v>
      </c>
      <c r="U10" s="23">
        <f>VLOOKUP(A10,'[3]Last Aum File'!$A$2:$B$128,2,0)</f>
        <v>111680002.01000001</v>
      </c>
      <c r="V10" s="14">
        <f t="shared" ref="V10" si="7">+U10/1000000</f>
        <v>111.68000201000001</v>
      </c>
      <c r="W10" s="9">
        <f t="shared" si="0"/>
        <v>-18141243.890000001</v>
      </c>
      <c r="X10" s="24">
        <f t="shared" si="6"/>
        <v>-18141243.890000001</v>
      </c>
      <c r="Y10" s="14">
        <f t="shared" si="2"/>
        <v>93.538758120000011</v>
      </c>
      <c r="Z10" s="14">
        <f t="shared" si="3"/>
        <v>-18.141243890000002</v>
      </c>
      <c r="AA10" s="14">
        <f t="shared" ref="AA10" si="8">T10/1000000</f>
        <v>-18.151357009999995</v>
      </c>
      <c r="AB10" s="14">
        <f>VLOOKUP(A10,[3]AUM!$A$3:$B$131,2,0)/1000000</f>
        <v>93.538758120000011</v>
      </c>
      <c r="AC10" s="14"/>
      <c r="AD10" s="14"/>
      <c r="AE10" s="14"/>
    </row>
    <row r="11" spans="1:31" x14ac:dyDescent="0.25">
      <c r="A11" t="s">
        <v>120</v>
      </c>
      <c r="B11" t="s">
        <v>1737</v>
      </c>
      <c r="C11" t="s">
        <v>1800</v>
      </c>
      <c r="D11" t="s">
        <v>1762</v>
      </c>
      <c r="E11" t="s">
        <v>1739</v>
      </c>
      <c r="F11" t="str">
        <f>VLOOKUP(A11,'[1]Dublin funds'!$B$2:$AS$153,2,FALSE)</f>
        <v>From Risk - Fund Responsibility - Dublin Funds</v>
      </c>
      <c r="G11" t="str">
        <f>VLOOKUP($A11,'[2]Total AUM Data'!$A:$I,5,FALSE)</f>
        <v>Allocation Driven Strategies</v>
      </c>
      <c r="H11" t="str">
        <f>VLOOKUP($A11,'[2]Total AUM Data'!$A:$I,6,FALSE)</f>
        <v>Conservative</v>
      </c>
      <c r="I11" t="str">
        <f>VLOOKUP($A11,'[1]Dublin funds'!$B$2:$AS$153,3,FALSE)</f>
        <v>BAL Multimanagement</v>
      </c>
      <c r="J11" t="str">
        <f>VLOOKUP($A11,'[1]Dublin funds'!$B$2:$AS$153,4,FALSE)</f>
        <v>DUB BAL Multimanagement SDA Fds de Fds</v>
      </c>
      <c r="K11" t="s">
        <v>230</v>
      </c>
      <c r="L11" t="s">
        <v>232</v>
      </c>
      <c r="M11" t="s">
        <v>238</v>
      </c>
      <c r="N11" t="s">
        <v>245</v>
      </c>
      <c r="O11" s="3">
        <f>VLOOKUP(A11,'Audit AUM File'!A:B,2,FALSE)</f>
        <v>31835018.329999998</v>
      </c>
      <c r="P11" s="3">
        <f>VLOOKUP(A11,[3]AUM!$A$3:$B$131,2,0)</f>
        <v>7495265.8199999994</v>
      </c>
      <c r="R11" s="15" t="b">
        <f>+IF(D11="",VLOOKUP(A11,'[2]Pivot for Jun AUM'!$A$5:$B$121,2,FALSE))</f>
        <v>0</v>
      </c>
      <c r="S11" s="15">
        <f>+IF(D11&lt;&gt;"",VLOOKUP(A11,'[2]Total AUM Data'!$A$2:$G$48,7,FALSE))</f>
        <v>33826169.170000002</v>
      </c>
      <c r="T11" s="23">
        <f>VLOOKUP(A11,[4]Flows!$A$3:$D$1206,4,0)</f>
        <v>-798922.5844135189</v>
      </c>
      <c r="U11" s="23">
        <f>VLOOKUP(A11,'[3]Last Aum File'!$A$2:$B$128,2,0)</f>
        <v>8321680.0100000007</v>
      </c>
      <c r="V11" s="14">
        <f t="shared" si="1"/>
        <v>8.3216800100000015</v>
      </c>
      <c r="W11" s="9">
        <f t="shared" si="0"/>
        <v>-826414.19000000134</v>
      </c>
      <c r="X11" s="24">
        <f t="shared" si="6"/>
        <v>-826414.19000000134</v>
      </c>
      <c r="Y11" s="14">
        <f t="shared" si="2"/>
        <v>7.4952658199999993</v>
      </c>
      <c r="Z11" s="14">
        <f t="shared" si="3"/>
        <v>-0.82641419000000138</v>
      </c>
      <c r="AA11" s="14">
        <f t="shared" si="4"/>
        <v>-0.79892258441351893</v>
      </c>
      <c r="AB11" s="14">
        <f>VLOOKUP(A11,[3]AUM!$A$3:$B$131,2,0)/1000000</f>
        <v>7.4952658199999993</v>
      </c>
      <c r="AC11" s="14">
        <f>VLOOKUP(A11,'[3]Last Aum File'!$A$2:$B$126,2,0)/1000000</f>
        <v>8.3216800100000015</v>
      </c>
      <c r="AD11" s="14">
        <f t="shared" si="5"/>
        <v>-0.82641419000000216</v>
      </c>
    </row>
    <row r="12" spans="1:31" x14ac:dyDescent="0.25">
      <c r="A12" t="s">
        <v>121</v>
      </c>
      <c r="B12" t="s">
        <v>1737</v>
      </c>
      <c r="C12" t="s">
        <v>1798</v>
      </c>
      <c r="D12" t="s">
        <v>1762</v>
      </c>
      <c r="E12" t="s">
        <v>1739</v>
      </c>
      <c r="F12" t="str">
        <f>VLOOKUP(A12,'[1]Dublin funds'!$B$2:$AS$153,2,FALSE)</f>
        <v>From Risk - Fund Responsibility - Dublin Funds</v>
      </c>
      <c r="G12" t="str">
        <f>VLOOKUP($A12,'[2]Total AUM Data'!$A:$I,5,FALSE)</f>
        <v>Allocation Driven Strategies</v>
      </c>
      <c r="H12" t="str">
        <f>VLOOKUP($A12,'[2]Total AUM Data'!$A:$I,6,FALSE)</f>
        <v>Growth</v>
      </c>
      <c r="I12" t="str">
        <f>VLOOKUP($A12,'[1]Dublin funds'!$B$2:$AS$153,3,FALSE)</f>
        <v>BAL Multimanagement</v>
      </c>
      <c r="J12" t="str">
        <f>VLOOKUP($A12,'[1]Dublin funds'!$B$2:$AS$153,4,FALSE)</f>
        <v>DUB BAL Multimanagement SDA Fds de Fds</v>
      </c>
      <c r="K12" t="s">
        <v>230</v>
      </c>
      <c r="L12" t="s">
        <v>232</v>
      </c>
      <c r="M12" t="s">
        <v>241</v>
      </c>
      <c r="N12" t="s">
        <v>245</v>
      </c>
      <c r="O12" s="3">
        <f>VLOOKUP(A12,'Audit AUM File'!A:B,2,FALSE)</f>
        <v>96972832.489999995</v>
      </c>
      <c r="P12" s="3">
        <f>VLOOKUP(A12,[3]AUM!$A$3:$B$131,2,0)</f>
        <v>58236487.470000006</v>
      </c>
      <c r="R12" s="15" t="b">
        <f>+IF(D12="",VLOOKUP(A12,'[2]Pivot for Jun AUM'!$A$5:$B$121,2,FALSE))</f>
        <v>0</v>
      </c>
      <c r="S12" s="15">
        <f>+IF(D12&lt;&gt;"",VLOOKUP(A12,'[2]Total AUM Data'!$A$2:$G$48,7,FALSE))</f>
        <v>103255927.2</v>
      </c>
      <c r="T12" s="23">
        <f>VLOOKUP(A12,[4]Flows!$A$3:$D$1206,4,0)</f>
        <v>-1656568.0657256469</v>
      </c>
      <c r="U12" s="23">
        <f>VLOOKUP(A12,'[3]Last Aum File'!$A$2:$B$128,2,0)</f>
        <v>56591525.730000004</v>
      </c>
      <c r="V12" s="14">
        <f t="shared" si="1"/>
        <v>56.591525730000001</v>
      </c>
      <c r="W12" s="9">
        <f t="shared" si="0"/>
        <v>1644961.7400000021</v>
      </c>
      <c r="X12" s="24">
        <f t="shared" si="6"/>
        <v>1644961.7400000021</v>
      </c>
      <c r="Y12" s="14">
        <f t="shared" si="2"/>
        <v>58.236487470000007</v>
      </c>
      <c r="Z12" s="14">
        <f t="shared" si="3"/>
        <v>1.6449617400000021</v>
      </c>
      <c r="AA12" s="14">
        <f t="shared" si="4"/>
        <v>-1.656568065725647</v>
      </c>
      <c r="AB12" s="14">
        <f>VLOOKUP(A12,[3]AUM!$A$3:$B$131,2,0)/1000000</f>
        <v>58.236487470000007</v>
      </c>
      <c r="AC12" s="14">
        <f>VLOOKUP(A12,'[3]Last Aum File'!$A$2:$B$126,2,0)/1000000</f>
        <v>56.591525730000001</v>
      </c>
      <c r="AD12" s="14">
        <f t="shared" si="5"/>
        <v>1.6449617400000065</v>
      </c>
    </row>
    <row r="13" spans="1:31" x14ac:dyDescent="0.25">
      <c r="A13" t="s">
        <v>119</v>
      </c>
      <c r="B13" t="s">
        <v>1737</v>
      </c>
      <c r="C13" t="s">
        <v>1799</v>
      </c>
      <c r="D13" t="s">
        <v>1762</v>
      </c>
      <c r="E13" t="s">
        <v>1739</v>
      </c>
      <c r="F13" t="str">
        <f>VLOOKUP(A13,'[1]Dublin funds'!$B$2:$AS$153,2,FALSE)</f>
        <v>From Risk - Fund Responsibility - Dublin Funds</v>
      </c>
      <c r="G13" t="str">
        <f>VLOOKUP($A13,'[2]Total AUM Data'!$A:$I,5,FALSE)</f>
        <v>Allocation Driven Strategies</v>
      </c>
      <c r="H13" t="str">
        <f>VLOOKUP($A13,'[2]Total AUM Data'!$A:$I,6,FALSE)</f>
        <v>Moderate</v>
      </c>
      <c r="I13" t="str">
        <f>VLOOKUP($A13,'[1]Dublin funds'!$B$2:$AS$153,3,FALSE)</f>
        <v>BAL Multimanagement</v>
      </c>
      <c r="J13" t="str">
        <f>VLOOKUP($A13,'[1]Dublin funds'!$B$2:$AS$153,4,FALSE)</f>
        <v>DUB BAL Multimanagement SDA Fds de Fds</v>
      </c>
      <c r="K13" t="s">
        <v>230</v>
      </c>
      <c r="L13" t="s">
        <v>232</v>
      </c>
      <c r="M13" t="s">
        <v>242</v>
      </c>
      <c r="N13" t="s">
        <v>245</v>
      </c>
      <c r="O13" s="3">
        <f>VLOOKUP(A13,'Audit AUM File'!A:B,2,FALSE)</f>
        <v>288617594.88999999</v>
      </c>
      <c r="P13" s="3">
        <f>VLOOKUP(A13,[3]AUM!$A$3:$B$131,2,0)</f>
        <v>121448782.71000001</v>
      </c>
      <c r="R13" s="15" t="b">
        <f>+IF(D13="",VLOOKUP(A13,'[2]Pivot for Jun AUM'!$A$5:$B$121,2,FALSE))</f>
        <v>0</v>
      </c>
      <c r="S13" s="15">
        <f>+IF(D13&lt;&gt;"",VLOOKUP(A13,'[2]Total AUM Data'!$A$2:$G$48,7,FALSE))</f>
        <v>312457504.01999998</v>
      </c>
      <c r="T13" s="23">
        <f>VLOOKUP(A13,[4]Flows!$A$3:$D$1206,4,0)</f>
        <v>-5424835.5633996008</v>
      </c>
      <c r="U13" s="23">
        <f>VLOOKUP(A13,'[3]Last Aum File'!$A$2:$B$128,2,0)</f>
        <v>123937506.37</v>
      </c>
      <c r="V13" s="14">
        <f t="shared" si="1"/>
        <v>123.93750637000001</v>
      </c>
      <c r="W13" s="9">
        <f t="shared" si="0"/>
        <v>-2488723.6599999964</v>
      </c>
      <c r="X13" s="24">
        <f t="shared" si="6"/>
        <v>-2488723.6599999964</v>
      </c>
      <c r="Y13" s="14">
        <f t="shared" si="2"/>
        <v>121.44878271</v>
      </c>
      <c r="Z13" s="14">
        <f t="shared" si="3"/>
        <v>-2.4887236599999962</v>
      </c>
      <c r="AA13" s="14">
        <f t="shared" si="4"/>
        <v>-5.4248355633996006</v>
      </c>
      <c r="AB13" s="14">
        <f>VLOOKUP(A13,[3]AUM!$A$3:$B$131,2,0)/1000000</f>
        <v>121.44878271</v>
      </c>
      <c r="AC13" s="14">
        <f>VLOOKUP(A13,'[3]Last Aum File'!$A$2:$B$126,2,0)/1000000</f>
        <v>123.93750637000001</v>
      </c>
      <c r="AD13" s="14">
        <f t="shared" si="5"/>
        <v>-2.4887236600000051</v>
      </c>
    </row>
    <row r="14" spans="1:31" x14ac:dyDescent="0.25">
      <c r="A14" t="s">
        <v>1941</v>
      </c>
      <c r="C14" t="s">
        <v>1942</v>
      </c>
      <c r="D14" t="s">
        <v>1762</v>
      </c>
      <c r="G14" t="s">
        <v>1757</v>
      </c>
      <c r="H14" t="s">
        <v>1755</v>
      </c>
      <c r="P14" s="3">
        <f>VLOOKUP(A14,[3]AUM!$A$3:$B$131,2,0)</f>
        <v>98145264.699999988</v>
      </c>
      <c r="T14" s="23">
        <f>VLOOKUP(A14,[4]Flows!$A$3:$D$1206,4,0)</f>
        <v>0</v>
      </c>
      <c r="U14" s="23">
        <f>VLOOKUP(A14,'[3]Last Aum File'!$A$2:$B$1262,2,0)</f>
        <v>98124607.040000007</v>
      </c>
      <c r="V14" s="14">
        <f t="shared" ref="V14" si="9">+U14/1000000</f>
        <v>98.124607040000001</v>
      </c>
      <c r="W14" s="9">
        <f t="shared" ref="W14" si="10">+IF(OR(A14="HF11",A14="PACIFAI"),0,IF(A14="MUSG",P14-U14/2,P14-U14))</f>
        <v>20657.659999981523</v>
      </c>
      <c r="X14" s="24">
        <f t="shared" ref="X14" si="11">+IF(ISNA(W14),0,W14)</f>
        <v>20657.659999981523</v>
      </c>
      <c r="Y14" s="14">
        <f t="shared" ref="Y14" si="12">P14/1000000</f>
        <v>98.145264699999984</v>
      </c>
      <c r="Z14" s="14">
        <f t="shared" ref="Z14" si="13">X14/1000000</f>
        <v>2.0657659999981523E-2</v>
      </c>
      <c r="AA14" s="14">
        <f t="shared" ref="AA14" si="14">T14/1000000</f>
        <v>0</v>
      </c>
      <c r="AB14" s="14">
        <f>VLOOKUP(A14,[3]AUM!$A$3:$B$131,2,0)/1000000</f>
        <v>98.145264699999984</v>
      </c>
      <c r="AC14" s="14">
        <f>VLOOKUP(A14,'[3]Last Aum File'!$A$2:$B$126,2,0)/1000000</f>
        <v>98.124607040000001</v>
      </c>
      <c r="AD14" s="14">
        <f t="shared" ref="AD14" si="15">AB14-AC14</f>
        <v>2.065765999998348E-2</v>
      </c>
    </row>
    <row r="15" spans="1:31" x14ac:dyDescent="0.25">
      <c r="A15" t="s">
        <v>1948</v>
      </c>
      <c r="C15" t="s">
        <v>1949</v>
      </c>
      <c r="D15" t="s">
        <v>1762</v>
      </c>
      <c r="G15" t="s">
        <v>1754</v>
      </c>
      <c r="H15" t="s">
        <v>1769</v>
      </c>
      <c r="P15" s="3">
        <f>VLOOKUP(A15,[3]AUM!$A$3:$B$131,2,0)</f>
        <v>27952778.120000001</v>
      </c>
      <c r="T15" s="40">
        <f>P15</f>
        <v>27952778.120000001</v>
      </c>
      <c r="U15" s="23"/>
      <c r="V15" s="14">
        <f t="shared" ref="V15" si="16">+U15/1000000</f>
        <v>0</v>
      </c>
      <c r="W15" s="9">
        <f t="shared" ref="W15" si="17">+IF(OR(A15="HF11",A15="PACIFAI"),0,IF(A15="MUSG",P15-U15/2,P15-U15))</f>
        <v>27952778.120000001</v>
      </c>
      <c r="X15" s="24">
        <f t="shared" ref="X15" si="18">+IF(ISNA(W15),0,W15)</f>
        <v>27952778.120000001</v>
      </c>
      <c r="Y15" s="14">
        <f t="shared" ref="Y15" si="19">P15/1000000</f>
        <v>27.952778120000001</v>
      </c>
      <c r="Z15" s="14">
        <f t="shared" ref="Z15" si="20">X15/1000000</f>
        <v>27.952778120000001</v>
      </c>
      <c r="AA15" s="14">
        <f t="shared" ref="AA15" si="21">T15/1000000</f>
        <v>27.952778120000001</v>
      </c>
      <c r="AB15" s="14">
        <f>VLOOKUP(A15,[3]AUM!$A$3:$B$131,2,0)/1000000</f>
        <v>27.952778120000001</v>
      </c>
      <c r="AC15" s="14"/>
      <c r="AD15" s="14">
        <f t="shared" ref="AD15" si="22">AB15-AC15</f>
        <v>27.952778120000001</v>
      </c>
    </row>
    <row r="16" spans="1:31" x14ac:dyDescent="0.25">
      <c r="A16" t="s">
        <v>1838</v>
      </c>
      <c r="B16" t="s">
        <v>1737</v>
      </c>
      <c r="C16" t="s">
        <v>1837</v>
      </c>
      <c r="D16" t="s">
        <v>1762</v>
      </c>
      <c r="E16" t="s">
        <v>1739</v>
      </c>
      <c r="F16" t="s">
        <v>1793</v>
      </c>
      <c r="G16" t="s">
        <v>1757</v>
      </c>
      <c r="H16" t="s">
        <v>1776</v>
      </c>
      <c r="I16" t="s">
        <v>1832</v>
      </c>
      <c r="J16" t="s">
        <v>1836</v>
      </c>
      <c r="K16" t="s">
        <v>230</v>
      </c>
      <c r="L16" t="s">
        <v>232</v>
      </c>
      <c r="M16" t="s">
        <v>1837</v>
      </c>
      <c r="N16" t="s">
        <v>245</v>
      </c>
      <c r="P16" s="3">
        <f>VLOOKUP(A16,[3]AUM!$A$3:$B$131,2,0)</f>
        <v>651526087.88</v>
      </c>
      <c r="R16" s="15" t="b">
        <f>+IF(D16="",VLOOKUP(A16,'[2]Pivot for Jun AUM'!$A$5:$B$121,2,FALSE))</f>
        <v>0</v>
      </c>
      <c r="T16" s="23">
        <f>VLOOKUP(A16,[4]Flows!$A$3:$D$1206,4,0)</f>
        <v>-136912235.76999998</v>
      </c>
      <c r="U16" s="23">
        <f>VLOOKUP(A16,'[3]Last Aum File'!$A$2:$B$128,2,0)</f>
        <v>532844870.07000005</v>
      </c>
      <c r="V16" s="14">
        <f t="shared" ref="V16" si="23">+U16/1000000</f>
        <v>532.84487007000007</v>
      </c>
      <c r="W16" s="9">
        <f t="shared" ref="W16:W23" si="24">+IF(OR(A16="HF11",A16="PACIFAI"),0,IF(A16="MUSG",P16-U16/2,P16-U16))</f>
        <v>118681217.80999994</v>
      </c>
      <c r="X16" s="24">
        <f t="shared" ref="X16" si="25">+IF(ISNA(W16),0,W16)</f>
        <v>118681217.80999994</v>
      </c>
      <c r="Y16" s="14">
        <f t="shared" ref="Y16" si="26">P16/1000000</f>
        <v>651.52608787999998</v>
      </c>
      <c r="Z16" s="14">
        <f t="shared" ref="Z16" si="27">X16/1000000</f>
        <v>118.68121780999994</v>
      </c>
      <c r="AA16" s="14">
        <f t="shared" ref="AA16" si="28">T16/1000000</f>
        <v>-136.91223576999997</v>
      </c>
      <c r="AB16" s="14">
        <f>VLOOKUP(A16,[3]AUM!$A$3:$B$131,2,0)/1000000</f>
        <v>651.52608787999998</v>
      </c>
      <c r="AC16" s="14">
        <f>VLOOKUP(A16,'[3]Last Aum File'!$A$2:$B$126,2,0)/1000000</f>
        <v>532.84487007000007</v>
      </c>
      <c r="AD16" s="14">
        <f t="shared" ref="AD16" si="29">AB16-AC16</f>
        <v>118.68121780999991</v>
      </c>
    </row>
    <row r="17" spans="1:30" x14ac:dyDescent="0.25">
      <c r="A17" t="s">
        <v>113</v>
      </c>
      <c r="B17" t="s">
        <v>1737</v>
      </c>
      <c r="C17" t="s">
        <v>208</v>
      </c>
      <c r="D17" t="s">
        <v>1762</v>
      </c>
      <c r="E17" t="s">
        <v>1739</v>
      </c>
      <c r="F17" t="str">
        <f>VLOOKUP(A17,'[1]Dublin funds'!$B$2:$AS$153,2,FALSE)</f>
        <v>From Risk - Fund Responsibility - Dublin Funds</v>
      </c>
      <c r="G17" t="str">
        <f>VLOOKUP($A17,'[2]Total AUM Data'!$A:$I,5,FALSE)</f>
        <v>Service Fund</v>
      </c>
      <c r="H17" t="str">
        <f>VLOOKUP($A17,'[2]Total AUM Data'!$A:$I,6,FALSE)</f>
        <v>Flexible</v>
      </c>
      <c r="I17" t="str">
        <f>VLOOKUP($A17,'[1]Dublin funds'!$B$2:$AS$153,3,FALSE)</f>
        <v>TBD</v>
      </c>
      <c r="J17" t="str">
        <f>VLOOKUP($A17,'[1]Dublin funds'!$B$2:$AS$153,4,FALSE)</f>
        <v>Agreed a light touch with VaR and Leverage limits</v>
      </c>
      <c r="K17" t="s">
        <v>231</v>
      </c>
      <c r="L17" t="s">
        <v>233</v>
      </c>
      <c r="M17" t="s">
        <v>236</v>
      </c>
      <c r="N17" t="s">
        <v>254</v>
      </c>
      <c r="O17" s="3">
        <f>VLOOKUP(A17,'Audit AUM File'!A:B,2,FALSE)</f>
        <v>623642733.23000002</v>
      </c>
      <c r="P17" s="3">
        <f>VLOOKUP(A17,[3]AUM!$A$3:$B$131,2,0)</f>
        <v>198759201.82000002</v>
      </c>
      <c r="R17" s="15" t="b">
        <f>+IF(D17="",VLOOKUP(A17,'[2]Pivot for Jun AUM'!$A$5:$B$121,2,FALSE))</f>
        <v>0</v>
      </c>
      <c r="S17" s="15">
        <f>+IF(D17&lt;&gt;"",VLOOKUP(A17,'[2]Total AUM Data'!$A$2:$G$48,7,FALSE))</f>
        <v>402542016.44000006</v>
      </c>
      <c r="T17" s="23">
        <f>VLOOKUP(A17,[4]Flows!$A$3:$D$1206,4,0)</f>
        <v>-26306785.200000003</v>
      </c>
      <c r="U17" s="23">
        <f>VLOOKUP(A17,'[3]Last Aum File'!$A$2:$B$128,2,0)</f>
        <v>234214073.76000002</v>
      </c>
      <c r="V17" s="14">
        <f t="shared" si="1"/>
        <v>234.21407376000002</v>
      </c>
      <c r="W17" s="9">
        <f t="shared" si="24"/>
        <v>-35454871.939999998</v>
      </c>
      <c r="X17" s="24">
        <f t="shared" si="6"/>
        <v>-35454871.939999998</v>
      </c>
      <c r="Y17" s="14">
        <f t="shared" si="2"/>
        <v>198.75920182000002</v>
      </c>
      <c r="Z17" s="14">
        <f t="shared" si="3"/>
        <v>-35.454871939999997</v>
      </c>
      <c r="AA17" s="14">
        <f t="shared" si="4"/>
        <v>-26.306785200000004</v>
      </c>
      <c r="AB17" s="14">
        <f>VLOOKUP(A17,[3]AUM!$A$3:$B$131,2,0)/1000000</f>
        <v>198.75920182000002</v>
      </c>
      <c r="AC17" s="14">
        <f>VLOOKUP(A17,'[3]Last Aum File'!$A$2:$B$126,2,0)/1000000</f>
        <v>234.21407376000002</v>
      </c>
      <c r="AD17" s="14">
        <f t="shared" si="5"/>
        <v>-35.454871940000004</v>
      </c>
    </row>
    <row r="18" spans="1:30" x14ac:dyDescent="0.25">
      <c r="A18" t="s">
        <v>1830</v>
      </c>
      <c r="B18" t="s">
        <v>1737</v>
      </c>
      <c r="C18" t="s">
        <v>1834</v>
      </c>
      <c r="D18" t="s">
        <v>1762</v>
      </c>
      <c r="E18" t="s">
        <v>1739</v>
      </c>
      <c r="F18" t="s">
        <v>1793</v>
      </c>
      <c r="G18" t="s">
        <v>1754</v>
      </c>
      <c r="H18" t="s">
        <v>1756</v>
      </c>
      <c r="I18" t="s">
        <v>1832</v>
      </c>
      <c r="J18" t="s">
        <v>245</v>
      </c>
      <c r="K18" t="s">
        <v>230</v>
      </c>
      <c r="L18" t="s">
        <v>232</v>
      </c>
      <c r="M18" t="s">
        <v>239</v>
      </c>
      <c r="N18" t="s">
        <v>245</v>
      </c>
      <c r="P18" s="3">
        <f>VLOOKUP(A18,[3]AUM!$A$3:$B$131,2,0)</f>
        <v>6970226.1600000001</v>
      </c>
      <c r="R18" s="15" t="b">
        <f>+IF(D18="",VLOOKUP(A18,'[2]Pivot for Jun AUM'!$A$5:$B$121,2,FALSE))</f>
        <v>0</v>
      </c>
      <c r="T18" s="23">
        <f>VLOOKUP(A18,[4]Flows!$A$3:$D$1206,4,0)</f>
        <v>0</v>
      </c>
      <c r="U18" s="23">
        <f>VLOOKUP(A18,'[3]Last Aum File'!$A$2:$B$128,2,0)</f>
        <v>6970226.1600000001</v>
      </c>
      <c r="V18" s="14">
        <f t="shared" ref="V18:V21" si="30">+U18/1000000</f>
        <v>6.9702261600000002</v>
      </c>
      <c r="W18" s="9">
        <f t="shared" si="24"/>
        <v>0</v>
      </c>
      <c r="X18" s="24">
        <f>+IF(ISNA(W18),0,W18)</f>
        <v>0</v>
      </c>
      <c r="Y18" s="14">
        <f t="shared" ref="Y18:Y21" si="31">P18/1000000</f>
        <v>6.9702261600000002</v>
      </c>
      <c r="Z18" s="14">
        <f t="shared" ref="Z18:Z21" si="32">X18/1000000</f>
        <v>0</v>
      </c>
      <c r="AA18" s="14">
        <f t="shared" ref="AA18:AA21" si="33">T18/1000000</f>
        <v>0</v>
      </c>
      <c r="AB18" s="14">
        <f>VLOOKUP(A18,[3]AUM!$A$3:$B$131,2,0)/1000000</f>
        <v>6.9702261600000002</v>
      </c>
      <c r="AC18" s="14">
        <f>VLOOKUP(A18,'[3]Last Aum File'!$A$2:$B$126,2,0)/1000000</f>
        <v>6.9702261600000002</v>
      </c>
      <c r="AD18" s="14">
        <f t="shared" ref="AD18:AD21" si="34">AB18-AC18</f>
        <v>0</v>
      </c>
    </row>
    <row r="19" spans="1:30" x14ac:dyDescent="0.25">
      <c r="A19" t="s">
        <v>1831</v>
      </c>
      <c r="B19" t="s">
        <v>1737</v>
      </c>
      <c r="C19" t="s">
        <v>1835</v>
      </c>
      <c r="D19" t="s">
        <v>1762</v>
      </c>
      <c r="E19" t="s">
        <v>1739</v>
      </c>
      <c r="F19" t="s">
        <v>1793</v>
      </c>
      <c r="G19" t="s">
        <v>1754</v>
      </c>
      <c r="H19" t="s">
        <v>1769</v>
      </c>
      <c r="I19" t="s">
        <v>1832</v>
      </c>
      <c r="J19" t="s">
        <v>1833</v>
      </c>
      <c r="K19" t="s">
        <v>230</v>
      </c>
      <c r="L19" t="s">
        <v>232</v>
      </c>
      <c r="M19" t="s">
        <v>240</v>
      </c>
      <c r="N19" t="s">
        <v>245</v>
      </c>
      <c r="P19" s="3">
        <f>VLOOKUP(A19,[3]AUM!$A$3:$B$131,2,0)</f>
        <v>3927561.09</v>
      </c>
      <c r="R19" s="15" t="b">
        <f>+IF(D19="",VLOOKUP(A19,'[2]Pivot for Jun AUM'!$A$5:$B$121,2,FALSE))</f>
        <v>0</v>
      </c>
      <c r="T19" s="23">
        <f>VLOOKUP(A19,[4]Flows!$A$3:$D$1206,4,0)</f>
        <v>0</v>
      </c>
      <c r="U19" s="23">
        <f>VLOOKUP(A19,'[3]Last Aum File'!$A$2:$B$128,2,0)</f>
        <v>3927561.09</v>
      </c>
      <c r="V19" s="14">
        <f t="shared" si="30"/>
        <v>3.9275610899999998</v>
      </c>
      <c r="W19" s="9">
        <f t="shared" si="24"/>
        <v>0</v>
      </c>
      <c r="X19" s="24">
        <f t="shared" ref="X19:X21" si="35">+IF(ISNA(W19),0,W19)</f>
        <v>0</v>
      </c>
      <c r="Y19" s="14">
        <f t="shared" si="31"/>
        <v>3.9275610899999998</v>
      </c>
      <c r="Z19" s="14">
        <f t="shared" si="32"/>
        <v>0</v>
      </c>
      <c r="AA19" s="14">
        <f t="shared" si="33"/>
        <v>0</v>
      </c>
      <c r="AB19" s="14">
        <f>VLOOKUP(A19,[3]AUM!$A$3:$B$131,2,0)/1000000</f>
        <v>3.9275610899999998</v>
      </c>
      <c r="AC19" s="14">
        <f>VLOOKUP(A19,'[3]Last Aum File'!$A$2:$B$126,2,0)/1000000</f>
        <v>3.9275610899999998</v>
      </c>
      <c r="AD19" s="14">
        <f t="shared" si="34"/>
        <v>0</v>
      </c>
    </row>
    <row r="20" spans="1:30" x14ac:dyDescent="0.25">
      <c r="A20" t="s">
        <v>1922</v>
      </c>
      <c r="B20" t="s">
        <v>1737</v>
      </c>
      <c r="C20" t="s">
        <v>1878</v>
      </c>
      <c r="D20" t="s">
        <v>1762</v>
      </c>
      <c r="E20" t="s">
        <v>1739</v>
      </c>
      <c r="F20" t="s">
        <v>1793</v>
      </c>
      <c r="G20" t="s">
        <v>1757</v>
      </c>
      <c r="H20" t="s">
        <v>1773</v>
      </c>
      <c r="I20">
        <v>0</v>
      </c>
      <c r="J20">
        <v>0</v>
      </c>
      <c r="K20" t="s">
        <v>229</v>
      </c>
      <c r="L20" t="s">
        <v>235</v>
      </c>
      <c r="M20" t="s">
        <v>236</v>
      </c>
      <c r="N20" t="s">
        <v>246</v>
      </c>
      <c r="P20" s="3">
        <f>VLOOKUP(A20,[3]AUM!$A$3:$B$131,2,0)</f>
        <v>335146857.69</v>
      </c>
      <c r="R20" s="15" t="b">
        <f>+IF(D20="",VLOOKUP(A20,'[2]Pivot for Jun AUM'!$A$5:$B$121,2,FALSE))</f>
        <v>0</v>
      </c>
      <c r="T20" s="23">
        <f>VLOOKUP(A20,[4]Flows!$A$3:$D$1206,4,0)</f>
        <v>-114988408.88000004</v>
      </c>
      <c r="U20" s="23">
        <f>VLOOKUP(A20,'[3]Last Aum File'!$A$2:$B$128,2,0)</f>
        <v>473820490.07999998</v>
      </c>
      <c r="V20" s="14">
        <f t="shared" si="30"/>
        <v>473.82049007999996</v>
      </c>
      <c r="W20" s="9">
        <f t="shared" si="24"/>
        <v>-138673632.38999999</v>
      </c>
      <c r="X20" s="24">
        <f t="shared" si="35"/>
        <v>-138673632.38999999</v>
      </c>
      <c r="Y20" s="14">
        <f t="shared" si="31"/>
        <v>335.14685768999999</v>
      </c>
      <c r="Z20" s="14">
        <f t="shared" si="32"/>
        <v>-138.67363238999999</v>
      </c>
      <c r="AA20" s="14">
        <f t="shared" si="33"/>
        <v>-114.98840888000004</v>
      </c>
      <c r="AB20" s="14">
        <f>VLOOKUP(A20,[3]AUM!$A$3:$B$131,2,0)/1000000</f>
        <v>335.14685768999999</v>
      </c>
      <c r="AC20" s="14">
        <f>VLOOKUP(A20,'[3]Last Aum File'!$A$2:$B$126,2,0)/1000000</f>
        <v>473.82049007999996</v>
      </c>
      <c r="AD20" s="14">
        <f t="shared" si="34"/>
        <v>-138.67363238999997</v>
      </c>
    </row>
    <row r="21" spans="1:30" x14ac:dyDescent="0.25">
      <c r="A21" t="s">
        <v>1881</v>
      </c>
      <c r="B21" t="s">
        <v>1737</v>
      </c>
      <c r="C21" t="s">
        <v>1882</v>
      </c>
      <c r="D21" t="s">
        <v>1762</v>
      </c>
      <c r="E21" t="s">
        <v>1739</v>
      </c>
      <c r="F21" t="s">
        <v>1793</v>
      </c>
      <c r="G21" t="s">
        <v>1757</v>
      </c>
      <c r="H21" t="s">
        <v>1773</v>
      </c>
      <c r="I21">
        <v>0</v>
      </c>
      <c r="J21">
        <v>0</v>
      </c>
      <c r="K21" t="s">
        <v>229</v>
      </c>
      <c r="L21" t="s">
        <v>235</v>
      </c>
      <c r="M21" t="s">
        <v>236</v>
      </c>
      <c r="N21" t="s">
        <v>246</v>
      </c>
      <c r="P21" s="3">
        <f>VLOOKUP(A21,[3]AUM!$A$3:$B$131,2,0)</f>
        <v>319412485.87</v>
      </c>
      <c r="R21" s="15" t="b">
        <f>+IF(D21="",VLOOKUP(A21,'[2]Pivot for Jun AUM'!$A$5:$B$121,2,FALSE))</f>
        <v>0</v>
      </c>
      <c r="T21" s="23">
        <f>VLOOKUP(A21,[4]Flows!$A$3:$D$1206,4,0)</f>
        <v>-68314787.599999979</v>
      </c>
      <c r="U21" s="23">
        <f>VLOOKUP(A21,'[3]Last Aum File'!$A$2:$B$128,2,0)</f>
        <v>408635787.25</v>
      </c>
      <c r="V21" s="14">
        <f t="shared" si="30"/>
        <v>408.63578725000002</v>
      </c>
      <c r="W21" s="9">
        <f t="shared" si="24"/>
        <v>-89223301.379999995</v>
      </c>
      <c r="X21" s="24">
        <f t="shared" si="35"/>
        <v>-89223301.379999995</v>
      </c>
      <c r="Y21" s="14">
        <f t="shared" si="31"/>
        <v>319.41248587000001</v>
      </c>
      <c r="Z21" s="14">
        <f t="shared" si="32"/>
        <v>-89.223301379999995</v>
      </c>
      <c r="AA21" s="14">
        <f t="shared" si="33"/>
        <v>-68.314787599999974</v>
      </c>
      <c r="AB21" s="14">
        <f>VLOOKUP(A21,[3]AUM!$A$3:$B$131,2,0)/1000000</f>
        <v>319.41248587000001</v>
      </c>
      <c r="AC21" s="14">
        <f>VLOOKUP(A21,'[3]Last Aum File'!$A$2:$B$126,2,0)/1000000</f>
        <v>408.63578725000002</v>
      </c>
      <c r="AD21" s="14">
        <f t="shared" si="34"/>
        <v>-89.223301380000009</v>
      </c>
    </row>
    <row r="22" spans="1:30" x14ac:dyDescent="0.25">
      <c r="A22" t="s">
        <v>1940</v>
      </c>
      <c r="B22" t="s">
        <v>1737</v>
      </c>
      <c r="C22" t="s">
        <v>1884</v>
      </c>
      <c r="D22" t="s">
        <v>1762</v>
      </c>
      <c r="E22" t="s">
        <v>1739</v>
      </c>
      <c r="F22" t="s">
        <v>1793</v>
      </c>
      <c r="G22" t="s">
        <v>1757</v>
      </c>
      <c r="H22" t="s">
        <v>1773</v>
      </c>
      <c r="I22">
        <v>0</v>
      </c>
      <c r="J22">
        <v>0</v>
      </c>
      <c r="K22" t="s">
        <v>229</v>
      </c>
      <c r="L22" t="s">
        <v>235</v>
      </c>
      <c r="M22" t="s">
        <v>236</v>
      </c>
      <c r="N22" t="s">
        <v>246</v>
      </c>
      <c r="P22" s="3">
        <f>VLOOKUP(A22,[3]AUM!$A$3:$B$131,2,0)</f>
        <v>290323179.13999999</v>
      </c>
      <c r="R22" s="15" t="b">
        <f>+IF(D22="",VLOOKUP(A22,'[2]Pivot for Jun AUM'!$A$5:$B$121,2,FALSE))</f>
        <v>0</v>
      </c>
      <c r="T22" s="23">
        <v>-10126505.439999999</v>
      </c>
      <c r="U22" s="23">
        <v>297654635.05000001</v>
      </c>
      <c r="V22" s="14">
        <f t="shared" ref="V22" si="36">+U22/1000000</f>
        <v>297.65463505000002</v>
      </c>
      <c r="W22" s="9">
        <f t="shared" si="24"/>
        <v>-7331455.9100000262</v>
      </c>
      <c r="X22" s="24">
        <f t="shared" ref="X22" si="37">+IF(ISNA(W22),0,W22)</f>
        <v>-7331455.9100000262</v>
      </c>
      <c r="Y22" s="14">
        <f t="shared" ref="Y22" si="38">P22/1000000</f>
        <v>290.32317913999998</v>
      </c>
      <c r="Z22" s="14">
        <f t="shared" ref="Z22" si="39">X22/1000000</f>
        <v>-7.3314559100000265</v>
      </c>
      <c r="AA22" s="14">
        <f t="shared" ref="AA22" si="40">T22/1000000</f>
        <v>-10.126505439999999</v>
      </c>
      <c r="AB22" s="14">
        <f>VLOOKUP(A22,[3]AUM!$A$3:$B$131,2,0)/1000000</f>
        <v>290.32317913999998</v>
      </c>
      <c r="AC22" s="14">
        <f>VLOOKUP(A22,'[3]Last Aum File'!$A$2:$B$126,2,0)/1000000</f>
        <v>291.99145505000001</v>
      </c>
      <c r="AD22" s="14">
        <f t="shared" ref="AD22" si="41">AB22-AC22</f>
        <v>-1.6682759100000339</v>
      </c>
    </row>
    <row r="23" spans="1:30" s="19" customFormat="1" x14ac:dyDescent="0.25">
      <c r="A23" s="19" t="s">
        <v>1885</v>
      </c>
      <c r="B23" s="19" t="s">
        <v>1737</v>
      </c>
      <c r="C23" s="19" t="s">
        <v>1886</v>
      </c>
      <c r="D23" s="19" t="s">
        <v>1820</v>
      </c>
      <c r="E23" s="19" t="s">
        <v>1739</v>
      </c>
      <c r="F23" s="19" t="s">
        <v>1793</v>
      </c>
      <c r="G23" s="19" t="s">
        <v>1754</v>
      </c>
      <c r="H23" s="19" t="s">
        <v>1756</v>
      </c>
      <c r="I23" s="19" t="s">
        <v>1832</v>
      </c>
      <c r="J23" s="19" t="s">
        <v>247</v>
      </c>
      <c r="K23" s="19" t="s">
        <v>229</v>
      </c>
      <c r="L23" s="19" t="s">
        <v>1887</v>
      </c>
      <c r="M23" s="19" t="s">
        <v>236</v>
      </c>
      <c r="N23" s="19" t="s">
        <v>247</v>
      </c>
      <c r="O23" s="20"/>
      <c r="P23" s="20">
        <v>192199661.30000001</v>
      </c>
      <c r="R23" s="21" t="b">
        <v>0</v>
      </c>
      <c r="S23" s="21">
        <v>0</v>
      </c>
      <c r="T23" s="40">
        <f>P23-U23</f>
        <v>-7061169.119999975</v>
      </c>
      <c r="U23" s="25">
        <v>199260830.41999999</v>
      </c>
      <c r="V23" s="18">
        <f t="shared" ref="V23" si="42">+U23/1000000</f>
        <v>199.26083041999999</v>
      </c>
      <c r="W23" s="22">
        <f t="shared" si="24"/>
        <v>-7061169.119999975</v>
      </c>
      <c r="X23" s="26">
        <f t="shared" ref="X23" si="43">+IF(ISNA(W23),0,W23)</f>
        <v>-7061169.119999975</v>
      </c>
      <c r="Y23" s="18">
        <f t="shared" ref="Y23" si="44">P23/1000000</f>
        <v>192.1996613</v>
      </c>
      <c r="Z23" s="18">
        <f t="shared" ref="Z23" si="45">X23/1000000</f>
        <v>-7.0611691199999749</v>
      </c>
      <c r="AA23" s="18">
        <f>T23/1000000</f>
        <v>-7.0611691199999749</v>
      </c>
      <c r="AB23" s="18"/>
      <c r="AC23" s="18"/>
      <c r="AD23" s="18">
        <f t="shared" ref="AD23" si="46">AB23-AC23</f>
        <v>0</v>
      </c>
    </row>
    <row r="24" spans="1:30" s="19" customFormat="1" x14ac:dyDescent="0.25">
      <c r="O24" s="20"/>
      <c r="P24" s="20"/>
      <c r="R24" s="21"/>
      <c r="S24" s="21"/>
      <c r="T24" s="25"/>
      <c r="U24" s="25"/>
      <c r="V24" s="18"/>
      <c r="W24" s="22"/>
      <c r="X24" s="26"/>
      <c r="Y24" s="18"/>
      <c r="Z24" s="18"/>
      <c r="AA24" s="18"/>
      <c r="AB24" s="18"/>
      <c r="AC24" s="25"/>
      <c r="AD24" s="18"/>
    </row>
    <row r="25" spans="1:30" s="19" customFormat="1" x14ac:dyDescent="0.25">
      <c r="A25" s="19" t="s">
        <v>244</v>
      </c>
      <c r="B25" s="19" t="s">
        <v>1737</v>
      </c>
      <c r="C25" s="19" t="s">
        <v>258</v>
      </c>
      <c r="D25" s="19" t="s">
        <v>1762</v>
      </c>
      <c r="E25" s="19" t="s">
        <v>1739</v>
      </c>
      <c r="F25" s="19" t="str">
        <f>VLOOKUP(A25,'[1]Dublin funds'!$B$2:$AS$153,2,FALSE)</f>
        <v>From Risk - Fund Responsibility - Dublin Funds</v>
      </c>
      <c r="G25" s="19" t="str">
        <f>VLOOKUP($A25,'[2]Total AUM Data'!$A:$I,5,FALSE)</f>
        <v>Allocation Driven Strategies</v>
      </c>
      <c r="H25" s="19" t="str">
        <f>VLOOKUP($A25,'[2]Total AUM Data'!$A:$I,6,FALSE)</f>
        <v>Flexible</v>
      </c>
      <c r="I25" s="19" t="str">
        <f>VLOOKUP($A25,'[1]Dublin funds'!$B$2:$AS$153,3,FALSE)</f>
        <v>BAL Multimanagement</v>
      </c>
      <c r="J25" s="19" t="str">
        <f>VLOOKUP($A25,'[1]Dublin funds'!$B$2:$AS$153,4,FALSE)</f>
        <v>AMU BAL SDA Fds de Fds (used some absolute limits with Low Rik)</v>
      </c>
      <c r="K25" s="19" t="s">
        <v>229</v>
      </c>
      <c r="L25" s="19" t="s">
        <v>235</v>
      </c>
      <c r="M25" s="19" t="s">
        <v>236</v>
      </c>
      <c r="N25" s="19" t="s">
        <v>245</v>
      </c>
      <c r="O25" s="20">
        <f>VLOOKUP(A25,'Audit AUM File'!A:B,2,FALSE)</f>
        <v>0</v>
      </c>
      <c r="P25" s="20">
        <f>VLOOKUP(A25,[3]AUM!$A$3:$B$131,2,0)/0.8338</f>
        <v>169200994.27920362</v>
      </c>
      <c r="R25" s="21" t="b">
        <f>+IF(D25="",VLOOKUP(A25,'[2]Pivot for Jun AUM'!$A$5:$B$121,2,FALSE))</f>
        <v>0</v>
      </c>
      <c r="S25" s="21"/>
      <c r="T25" s="25">
        <f>VLOOKUP(A25,[4]Flows!$A$3:$D$126,4,0)</f>
        <v>0</v>
      </c>
      <c r="U25" s="25">
        <f>VLOOKUP(A25,'[3]Last Aum File'!$A$2:$B$128,2,0)/0.8338</f>
        <v>165771172.4394339</v>
      </c>
      <c r="V25" s="18">
        <f t="shared" si="1"/>
        <v>165.77117243943391</v>
      </c>
      <c r="W25" s="22">
        <f t="shared" ref="W25:W56" si="47">+IF(OR(A25="HF11",A25="PACIFAI"),0,IF(A25="MUSG",P25-U25/2,P25-U25))</f>
        <v>3429821.839769721</v>
      </c>
      <c r="X25" s="26">
        <f t="shared" si="6"/>
        <v>3429821.839769721</v>
      </c>
      <c r="Y25" s="18">
        <f t="shared" si="2"/>
        <v>169.20099427920363</v>
      </c>
      <c r="Z25" s="18">
        <f t="shared" si="3"/>
        <v>3.4298218397697209</v>
      </c>
      <c r="AA25" s="18">
        <f t="shared" si="4"/>
        <v>0</v>
      </c>
      <c r="AB25" s="18">
        <f>VLOOKUP(A25,[3]AUM!$A$3:$B$131,2,0)/1000000</f>
        <v>141.07978902999997</v>
      </c>
      <c r="AC25" s="18">
        <f>VLOOKUP(A25,'[3]Last Aum File'!$A$2:$B$126,2,0)/1000000</f>
        <v>138.22000358</v>
      </c>
      <c r="AD25" s="18">
        <f t="shared" si="5"/>
        <v>2.8597854499999755</v>
      </c>
    </row>
    <row r="26" spans="1:30" x14ac:dyDescent="0.25">
      <c r="A26" t="s">
        <v>243</v>
      </c>
      <c r="B26" t="s">
        <v>1737</v>
      </c>
      <c r="C26" t="s">
        <v>259</v>
      </c>
      <c r="D26" t="s">
        <v>1762</v>
      </c>
      <c r="E26" t="s">
        <v>1739</v>
      </c>
      <c r="F26" t="str">
        <f>VLOOKUP(A26,'[1]Dublin funds'!$B$2:$AS$153,2,FALSE)</f>
        <v>From Risk - Fund Responsibility - Dublin Funds</v>
      </c>
      <c r="G26" s="8" t="str">
        <f>VLOOKUP($A26,'[2]Total AUM Data'!$A:$I,5,FALSE)</f>
        <v>Outcome Oriented Strategies</v>
      </c>
      <c r="H26" t="str">
        <f>VLOOKUP($A26,'[2]Total AUM Data'!$A:$I,6,FALSE)</f>
        <v>Risk Accumulation</v>
      </c>
      <c r="I26">
        <f>VLOOKUP($A26,'[1]Dublin funds'!$B$2:$AS$153,3,FALSE)</f>
        <v>0</v>
      </c>
      <c r="J26">
        <f>VLOOKUP($A26,'[1]Dublin funds'!$B$2:$AS$153,4,FALSE)</f>
        <v>0</v>
      </c>
      <c r="K26" t="s">
        <v>229</v>
      </c>
      <c r="L26" t="s">
        <v>235</v>
      </c>
      <c r="M26" t="s">
        <v>236</v>
      </c>
      <c r="N26" t="s">
        <v>246</v>
      </c>
      <c r="O26" s="3">
        <f>VLOOKUP(A26,'Audit AUM File'!A:B,2,FALSE)</f>
        <v>143903806.97</v>
      </c>
      <c r="P26" s="3"/>
      <c r="Q26" t="s">
        <v>1743</v>
      </c>
      <c r="R26" s="15" t="b">
        <f>+IF(D26="",VLOOKUP(A26,'[2]Pivot for Jun AUM'!$A$5:$B$121,2,FALSE))</f>
        <v>0</v>
      </c>
      <c r="S26" s="15">
        <f>+IF(D26&lt;&gt;"",VLOOKUP(A26,'[2]Total AUM Data'!$A$2:$G$48,7,FALSE))</f>
        <v>59757669.739999995</v>
      </c>
      <c r="T26" s="23"/>
      <c r="U26" s="23"/>
      <c r="V26" s="14"/>
      <c r="W26" s="9"/>
      <c r="X26" s="24"/>
      <c r="Y26" s="14"/>
      <c r="Z26" s="14"/>
      <c r="AA26" s="14"/>
      <c r="AB26" s="14"/>
      <c r="AC26" s="14"/>
      <c r="AD26" s="14"/>
    </row>
    <row r="27" spans="1:30" x14ac:dyDescent="0.25">
      <c r="A27" t="s">
        <v>151</v>
      </c>
      <c r="B27" t="s">
        <v>1737</v>
      </c>
      <c r="C27" t="s">
        <v>227</v>
      </c>
      <c r="D27" t="s">
        <v>1762</v>
      </c>
      <c r="E27" t="s">
        <v>1739</v>
      </c>
      <c r="F27" t="str">
        <f>VLOOKUP(A27,'[1]Dublin funds'!$B$2:$AS$153,2,FALSE)</f>
        <v>From Risk - Fund Responsibility - Dublin Funds</v>
      </c>
      <c r="G27" s="8" t="str">
        <f>VLOOKUP($A27,'[2]Total AUM Data'!$A:$I,5,FALSE)</f>
        <v>Outcome Oriented Strategies</v>
      </c>
      <c r="H27" t="str">
        <f>VLOOKUP($A27,'[2]Total AUM Data'!$A:$I,6,FALSE)</f>
        <v>Risk Accumulation</v>
      </c>
      <c r="I27" t="str">
        <f>VLOOKUP($A27,'[1]Dublin funds'!$B$2:$AS$153,3,FALSE)</f>
        <v>EFI Absolute Return</v>
      </c>
      <c r="J27" t="str">
        <f>VLOOKUP($A27,'[1]Dublin funds'!$B$2:$AS$153,4,FALSE)</f>
        <v>DUB EFI Absolute Return Aggregate</v>
      </c>
      <c r="K27" t="s">
        <v>229</v>
      </c>
      <c r="L27" t="s">
        <v>235</v>
      </c>
      <c r="M27" t="s">
        <v>236</v>
      </c>
      <c r="N27" t="s">
        <v>246</v>
      </c>
      <c r="O27" s="3">
        <f>VLOOKUP(A27,'Audit AUM File'!A:B,2,FALSE)</f>
        <v>493754015.27999997</v>
      </c>
      <c r="P27" s="3"/>
      <c r="R27" s="15" t="b">
        <f>+IF(D27="",VLOOKUP(A27,'[2]Pivot for Jun AUM'!$A$5:$B$121,2,FALSE))</f>
        <v>0</v>
      </c>
      <c r="S27" s="15">
        <f>+IF(D27&lt;&gt;"",VLOOKUP(A27,'[2]Total AUM Data'!$A$2:$G$48,7,FALSE))</f>
        <v>493807009.17000002</v>
      </c>
      <c r="T27" s="23"/>
      <c r="U27" s="23"/>
      <c r="V27" s="14"/>
      <c r="W27" s="9"/>
      <c r="X27" s="24"/>
      <c r="Y27" s="14"/>
      <c r="Z27" s="14"/>
      <c r="AA27" s="14"/>
      <c r="AB27" s="14"/>
      <c r="AC27" s="14"/>
      <c r="AD27" s="14"/>
    </row>
    <row r="28" spans="1:30" x14ac:dyDescent="0.25">
      <c r="A28" t="s">
        <v>136</v>
      </c>
      <c r="B28" t="s">
        <v>1737</v>
      </c>
      <c r="C28" t="s">
        <v>216</v>
      </c>
      <c r="D28" t="s">
        <v>1762</v>
      </c>
      <c r="E28" t="s">
        <v>1739</v>
      </c>
      <c r="F28" t="str">
        <f>VLOOKUP(A28,'[1]Dublin funds'!$B$2:$AS$153,2,FALSE)</f>
        <v>From Risk - Fund Responsibility - Dublin Funds</v>
      </c>
      <c r="G28" s="8" t="str">
        <f>VLOOKUP($A28,'[2]Total AUM Data'!$A:$I,5,FALSE)</f>
        <v>Outcome Oriented Strategies</v>
      </c>
      <c r="H28" t="str">
        <f>VLOOKUP($A28,'[2]Total AUM Data'!$A:$I,6,FALSE)</f>
        <v>Risk Accumulation</v>
      </c>
      <c r="I28" t="str">
        <f>VLOOKUP($A28,'[1]Dublin funds'!$B$2:$AS$153,3,FALSE)</f>
        <v>EFI Absolute Return</v>
      </c>
      <c r="J28" t="str">
        <f>VLOOKUP($A28,'[1]Dublin funds'!$B$2:$AS$153,4,FALSE)</f>
        <v>DUB EFI Absolute Return Aggregate</v>
      </c>
      <c r="K28" t="s">
        <v>229</v>
      </c>
      <c r="L28" t="s">
        <v>235</v>
      </c>
      <c r="M28" t="s">
        <v>236</v>
      </c>
      <c r="N28" t="s">
        <v>246</v>
      </c>
      <c r="O28" s="3">
        <f>VLOOKUP(A28,'Audit AUM File'!A:B,2,FALSE)</f>
        <v>291181937.61000001</v>
      </c>
      <c r="P28" s="3"/>
      <c r="R28" s="15" t="b">
        <f>+IF(D28="",VLOOKUP(A28,'[2]Pivot for Jun AUM'!$A$5:$B$121,2,FALSE))</f>
        <v>0</v>
      </c>
      <c r="S28" s="15">
        <f>+IF(D28&lt;&gt;"",VLOOKUP(A28,'[2]Total AUM Data'!$A$2:$G$48,7,FALSE))</f>
        <v>290503113.68999994</v>
      </c>
      <c r="T28" s="23"/>
      <c r="U28" s="23"/>
      <c r="V28" s="14"/>
      <c r="W28" s="9"/>
      <c r="X28" s="24"/>
      <c r="Y28" s="14"/>
      <c r="Z28" s="14"/>
      <c r="AA28" s="14"/>
      <c r="AB28" s="14"/>
      <c r="AC28" s="14"/>
      <c r="AD28" s="14"/>
    </row>
    <row r="29" spans="1:30" x14ac:dyDescent="0.25">
      <c r="A29" t="s">
        <v>1865</v>
      </c>
      <c r="B29" t="s">
        <v>1737</v>
      </c>
      <c r="C29" t="s">
        <v>1849</v>
      </c>
      <c r="D29" t="s">
        <v>1762</v>
      </c>
      <c r="E29" t="s">
        <v>1739</v>
      </c>
      <c r="F29" t="s">
        <v>1793</v>
      </c>
      <c r="G29" t="s">
        <v>1757</v>
      </c>
      <c r="H29" t="s">
        <v>1773</v>
      </c>
      <c r="I29" t="s">
        <v>1850</v>
      </c>
      <c r="K29" t="s">
        <v>229</v>
      </c>
      <c r="L29" t="s">
        <v>235</v>
      </c>
      <c r="M29" t="s">
        <v>236</v>
      </c>
      <c r="N29" t="s">
        <v>246</v>
      </c>
      <c r="O29" s="3">
        <v>0</v>
      </c>
      <c r="P29" s="3">
        <f>VLOOKUP(A29,[3]AUM!$A$3:$B$132,2,0)</f>
        <v>451980230.57999998</v>
      </c>
      <c r="R29" s="15" t="b">
        <f>+IF(D29="",VLOOKUP(A29,'[2]Pivot for Jun AUM'!$A$5:$B$121,2,FALSE))</f>
        <v>0</v>
      </c>
      <c r="T29" s="23">
        <f>VLOOKUP(A29,[4]Flows!$A$3:$D$1206,4,0)</f>
        <v>-75897228.409999982</v>
      </c>
      <c r="U29" s="23">
        <f>VLOOKUP(A29,'[3]Last Aum File'!$A$2:$B$128,2,0)</f>
        <v>555495066.75999999</v>
      </c>
      <c r="V29" s="14">
        <f t="shared" si="1"/>
        <v>555.49506675999999</v>
      </c>
      <c r="W29" s="9">
        <f t="shared" si="47"/>
        <v>-103514836.18000001</v>
      </c>
      <c r="X29" s="24">
        <f t="shared" si="6"/>
        <v>-103514836.18000001</v>
      </c>
      <c r="Y29" s="14">
        <f t="shared" si="2"/>
        <v>451.98023058000001</v>
      </c>
      <c r="Z29" s="14">
        <f t="shared" si="3"/>
        <v>-103.51483618</v>
      </c>
      <c r="AA29" s="14">
        <f t="shared" si="4"/>
        <v>-75.897228409999983</v>
      </c>
      <c r="AB29" s="14">
        <f>VLOOKUP(A29,[3]AUM!$A$3:$B$131,2,0)/1000000</f>
        <v>451.98023058000001</v>
      </c>
      <c r="AC29" s="14">
        <f>VLOOKUP(A29,'[3]Last Aum File'!$A$2:$B$126,2,0)/1000000</f>
        <v>555.49506675999999</v>
      </c>
      <c r="AD29" s="14">
        <f t="shared" si="5"/>
        <v>-103.51483617999997</v>
      </c>
    </row>
    <row r="30" spans="1:30" x14ac:dyDescent="0.25">
      <c r="A30" t="s">
        <v>1864</v>
      </c>
      <c r="B30" t="s">
        <v>1737</v>
      </c>
      <c r="C30" t="s">
        <v>1863</v>
      </c>
      <c r="D30" t="s">
        <v>1762</v>
      </c>
      <c r="E30" t="s">
        <v>1739</v>
      </c>
      <c r="F30" t="s">
        <v>1793</v>
      </c>
      <c r="G30" t="s">
        <v>1757</v>
      </c>
      <c r="H30" t="s">
        <v>1773</v>
      </c>
      <c r="I30" t="s">
        <v>1850</v>
      </c>
      <c r="K30" t="s">
        <v>229</v>
      </c>
      <c r="L30" t="s">
        <v>235</v>
      </c>
      <c r="M30" t="s">
        <v>236</v>
      </c>
      <c r="N30" t="s">
        <v>246</v>
      </c>
      <c r="O30" s="3">
        <v>0</v>
      </c>
      <c r="P30" s="3">
        <f>VLOOKUP(A30,[3]AUM!$A$3:$B$131,2,0)</f>
        <v>277938223.63</v>
      </c>
      <c r="R30" s="15" t="b">
        <f>+IF(D30="",VLOOKUP(A30,'[2]Pivot for Jun AUM'!$A$5:$B$121,2,FALSE))</f>
        <v>0</v>
      </c>
      <c r="T30" s="23">
        <f>VLOOKUP(A30,[4]Flows!$A$3:$D$1206,4,0)</f>
        <v>-47534278.330000006</v>
      </c>
      <c r="U30" s="23">
        <f>VLOOKUP(A30,'[3]Last Aum File'!$A$2:$B$128,2,0)</f>
        <v>341822371.30000001</v>
      </c>
      <c r="V30" s="14">
        <f t="shared" ref="V30" si="48">+U30/1000000</f>
        <v>341.82237129999999</v>
      </c>
      <c r="W30" s="9">
        <f t="shared" si="47"/>
        <v>-63884147.670000017</v>
      </c>
      <c r="X30" s="24">
        <f t="shared" ref="X30" si="49">+IF(ISNA(W30),0,W30)</f>
        <v>-63884147.670000017</v>
      </c>
      <c r="Y30" s="14">
        <f t="shared" ref="Y30" si="50">P30/1000000</f>
        <v>277.93822362999998</v>
      </c>
      <c r="Z30" s="14">
        <f t="shared" ref="Z30" si="51">X30/1000000</f>
        <v>-63.884147670000019</v>
      </c>
      <c r="AA30" s="14">
        <f t="shared" ref="AA30" si="52">T30/1000000</f>
        <v>-47.534278330000006</v>
      </c>
      <c r="AB30" s="14">
        <f>VLOOKUP(A30,[3]AUM!$A$3:$B$131,2,0)/1000000</f>
        <v>277.93822362999998</v>
      </c>
      <c r="AC30" s="14">
        <f>VLOOKUP(A30,'[3]Last Aum File'!$A$2:$B$126,2,0)/1000000</f>
        <v>341.82237129999999</v>
      </c>
      <c r="AD30" s="14">
        <f t="shared" ref="AD30" si="53">AB30-AC30</f>
        <v>-63.884147670000004</v>
      </c>
    </row>
    <row r="31" spans="1:30" x14ac:dyDescent="0.25">
      <c r="A31" t="s">
        <v>72</v>
      </c>
      <c r="B31" t="s">
        <v>1737</v>
      </c>
      <c r="C31" t="s">
        <v>189</v>
      </c>
      <c r="D31" t="s">
        <v>1762</v>
      </c>
      <c r="E31" t="s">
        <v>1739</v>
      </c>
      <c r="F31" t="str">
        <f>VLOOKUP(A31,'[1]Dublin funds'!$B$2:$AS$153,2,FALSE)</f>
        <v>From Risk - Fund Responsibility - Dublin Funds</v>
      </c>
      <c r="G31" t="str">
        <f>VLOOKUP($A31,'[2]Total AUM Data'!$A:$I,5,FALSE)</f>
        <v>Service Fund</v>
      </c>
      <c r="H31" t="str">
        <f>VLOOKUP($A31,'[2]Total AUM Data'!$A:$I,6,FALSE)</f>
        <v>Income</v>
      </c>
      <c r="I31" t="str">
        <f>VLOOKUP($A31,'[1]Dublin funds'!$B$2:$AS$153,3,FALSE)</f>
        <v>TBD</v>
      </c>
      <c r="J31" t="str">
        <f>VLOOKUP($A31,'[1]Dublin funds'!$B$2:$AS$153,4,FALSE)</f>
        <v>Agreed a light touch with VaR and Leverage limits</v>
      </c>
      <c r="K31" t="s">
        <v>229</v>
      </c>
      <c r="L31" t="s">
        <v>235</v>
      </c>
      <c r="M31" t="s">
        <v>236</v>
      </c>
      <c r="N31" t="s">
        <v>254</v>
      </c>
      <c r="O31" s="3">
        <f>VLOOKUP(A31,'Audit AUM File'!A:B,2,FALSE)</f>
        <v>336518902.05000001</v>
      </c>
      <c r="P31" s="3">
        <f>VLOOKUP(A31,[3]AUM!$A$3:$B$131,2,0)</f>
        <v>59556669.140000001</v>
      </c>
      <c r="R31" s="15" t="b">
        <f>+IF(D31="",VLOOKUP(A31,'[2]Pivot for Jun AUM'!$A$5:$B$121,2,FALSE))</f>
        <v>0</v>
      </c>
      <c r="S31" s="15">
        <f>+IF(D31&lt;&gt;"",VLOOKUP(A31,'[2]Total AUM Data'!$A$2:$G$48,7,FALSE))</f>
        <v>367376593.58999997</v>
      </c>
      <c r="T31" s="23">
        <f>VLOOKUP(A31,[4]Flows!$A$3:$D$1206,4,0)</f>
        <v>-6138586.8300000001</v>
      </c>
      <c r="U31" s="23">
        <f>VLOOKUP(A31,'[3]Last Aum File'!$A$2:$B$128,2,0)</f>
        <v>74824881.549999997</v>
      </c>
      <c r="V31" s="14">
        <f t="shared" si="1"/>
        <v>74.824881550000001</v>
      </c>
      <c r="W31" s="9">
        <f t="shared" si="47"/>
        <v>-15268212.409999996</v>
      </c>
      <c r="X31" s="24">
        <f t="shared" si="6"/>
        <v>-15268212.409999996</v>
      </c>
      <c r="Y31" s="14">
        <f t="shared" si="2"/>
        <v>59.556669140000004</v>
      </c>
      <c r="Z31" s="14">
        <f t="shared" si="3"/>
        <v>-15.268212409999997</v>
      </c>
      <c r="AA31" s="14">
        <f t="shared" si="4"/>
        <v>-6.1385868300000004</v>
      </c>
      <c r="AB31" s="14">
        <f>VLOOKUP(A31,[3]AUM!$A$3:$B$131,2,0)/1000000</f>
        <v>59.556669140000004</v>
      </c>
      <c r="AC31" s="14">
        <f>VLOOKUP(A31,'[3]Last Aum File'!$A$2:$B$126,2,0)/1000000</f>
        <v>74.824881550000001</v>
      </c>
      <c r="AD31" s="14">
        <f t="shared" si="5"/>
        <v>-15.268212409999997</v>
      </c>
    </row>
    <row r="32" spans="1:30" x14ac:dyDescent="0.25">
      <c r="A32" t="s">
        <v>125</v>
      </c>
      <c r="B32" t="s">
        <v>1737</v>
      </c>
      <c r="C32" t="s">
        <v>211</v>
      </c>
      <c r="D32" t="s">
        <v>1762</v>
      </c>
      <c r="E32" t="s">
        <v>1739</v>
      </c>
      <c r="F32" t="str">
        <f>VLOOKUP(A32,'[1]Dublin funds'!$B$2:$AS$153,2,FALSE)</f>
        <v>From Risk - Fund Responsibility - Dublin Funds</v>
      </c>
      <c r="G32" t="str">
        <f>VLOOKUP($A32,'[2]Total AUM Data'!$A:$I,5,FALSE)</f>
        <v>Service Fund</v>
      </c>
      <c r="H32" t="str">
        <f>VLOOKUP($A32,'[2]Total AUM Data'!$A:$I,6,FALSE)</f>
        <v>Bond</v>
      </c>
      <c r="I32" t="str">
        <f>VLOOKUP($A32,'[1]Dublin funds'!$B$2:$AS$153,3,FALSE)</f>
        <v>TBD</v>
      </c>
      <c r="J32" t="str">
        <f>VLOOKUP($A32,'[1]Dublin funds'!$B$2:$AS$153,4,FALSE)</f>
        <v>Agreed a light touch with VaR and Leverage limits</v>
      </c>
      <c r="K32" t="s">
        <v>229</v>
      </c>
      <c r="L32" t="s">
        <v>234</v>
      </c>
      <c r="M32" t="s">
        <v>236</v>
      </c>
      <c r="N32" t="s">
        <v>254</v>
      </c>
      <c r="O32" s="3">
        <f>VLOOKUP(A32,'Audit AUM File'!A:B,2,FALSE)</f>
        <v>199913822.47999999</v>
      </c>
      <c r="P32" s="3">
        <f>VLOOKUP(A32,[3]AUM!$A$3:$B$131,2,0)</f>
        <v>74247835.579999998</v>
      </c>
      <c r="R32" s="15" t="b">
        <f>+IF(D32="",VLOOKUP(A32,'[2]Pivot for Jun AUM'!$A$5:$B$121,2,FALSE))</f>
        <v>0</v>
      </c>
      <c r="S32" s="15">
        <f>+IF(D32&lt;&gt;"",VLOOKUP(A32,'[2]Total AUM Data'!$A$2:$G$48,7,FALSE))</f>
        <v>450365694.73000002</v>
      </c>
      <c r="T32" s="23">
        <f>VLOOKUP(A32,[4]Flows!$A$3:$D$1206,4,0)</f>
        <v>-2977460.7300000018</v>
      </c>
      <c r="U32" s="23">
        <f>VLOOKUP(A32,'[3]Last Aum File'!$A$2:$B$128,2,0)</f>
        <v>77232789.670000002</v>
      </c>
      <c r="V32" s="14">
        <f t="shared" si="1"/>
        <v>77.232789670000003</v>
      </c>
      <c r="W32" s="9">
        <f t="shared" si="47"/>
        <v>-2984954.0900000036</v>
      </c>
      <c r="X32" s="24">
        <f t="shared" si="6"/>
        <v>-2984954.0900000036</v>
      </c>
      <c r="Y32" s="14">
        <f t="shared" si="2"/>
        <v>74.24783558</v>
      </c>
      <c r="Z32" s="14">
        <f t="shared" si="3"/>
        <v>-2.9849540900000036</v>
      </c>
      <c r="AA32" s="14">
        <f t="shared" si="4"/>
        <v>-2.977460730000002</v>
      </c>
      <c r="AB32" s="14">
        <f>VLOOKUP(A32,[3]AUM!$A$3:$B$131,2,0)/1000000</f>
        <v>74.24783558</v>
      </c>
      <c r="AC32" s="14">
        <f>VLOOKUP(A32,'[3]Last Aum File'!$A$2:$B$126,2,0)/1000000</f>
        <v>77.232789670000003</v>
      </c>
      <c r="AD32" s="14">
        <f t="shared" si="5"/>
        <v>-2.9849540900000022</v>
      </c>
    </row>
    <row r="33" spans="1:30" ht="15.75" customHeight="1" x14ac:dyDescent="0.25">
      <c r="A33" t="s">
        <v>1821</v>
      </c>
      <c r="B33" t="s">
        <v>1737</v>
      </c>
      <c r="C33" t="s">
        <v>1825</v>
      </c>
      <c r="D33" t="s">
        <v>1820</v>
      </c>
      <c r="E33" t="s">
        <v>1739</v>
      </c>
      <c r="F33" t="s">
        <v>1793</v>
      </c>
      <c r="G33" s="8" t="s">
        <v>1754</v>
      </c>
      <c r="H33" t="s">
        <v>1775</v>
      </c>
      <c r="I33" t="s">
        <v>1829</v>
      </c>
      <c r="K33" t="s">
        <v>229</v>
      </c>
      <c r="L33" t="s">
        <v>234</v>
      </c>
      <c r="M33" t="s">
        <v>236</v>
      </c>
      <c r="N33" t="s">
        <v>254</v>
      </c>
      <c r="P33" s="3">
        <f>VLOOKUP(A33,[3]AUM!$A$3:$B$131,2,0)</f>
        <v>1901251614</v>
      </c>
      <c r="Q33" s="63"/>
      <c r="R33" s="15" t="b">
        <f>+IF(D33="",VLOOKUP(A33,'[2]Pivot for Jun AUM'!$A$5:$B$121,2,FALSE))</f>
        <v>0</v>
      </c>
      <c r="S33" s="63"/>
      <c r="T33" s="23">
        <f>VLOOKUP(A33,[4]Flows!$A$3:$D$1206,4,0)</f>
        <v>-32352755.369999997</v>
      </c>
      <c r="U33" s="23">
        <f>VLOOKUP(A33,'[3]Last Aum File'!$A$2:$B$1262,2,0)</f>
        <v>1877332566</v>
      </c>
      <c r="V33" s="14">
        <f t="shared" ref="V33:V35" si="54">+U33/1000000</f>
        <v>1877.332566</v>
      </c>
      <c r="W33" s="9">
        <f t="shared" si="47"/>
        <v>23919048</v>
      </c>
      <c r="X33" s="24">
        <f t="shared" ref="X33:X35" si="55">+IF(ISNA(W33),0,W33)</f>
        <v>23919048</v>
      </c>
      <c r="Y33" s="14">
        <f t="shared" ref="Y33:Y35" si="56">P33/1000000</f>
        <v>1901.251614</v>
      </c>
      <c r="Z33" s="14">
        <f t="shared" ref="Z33:Z35" si="57">X33/1000000</f>
        <v>23.919048</v>
      </c>
      <c r="AA33" s="14">
        <f t="shared" ref="AA33:AA35" si="58">T33/1000000</f>
        <v>-32.352755369999997</v>
      </c>
      <c r="AB33" s="14">
        <f>VLOOKUP(A33,[3]AUM!$A$3:$B$131,2,0)/1000000</f>
        <v>1901.251614</v>
      </c>
      <c r="AC33" s="14">
        <f>VLOOKUP(A33,'[3]Last Aum File'!$A$2:$B$126,2,0)/1000000</f>
        <v>1877.332566</v>
      </c>
      <c r="AD33" s="14">
        <f t="shared" ref="AD33:AD35" si="59">AB33-AC33</f>
        <v>23.919047999999975</v>
      </c>
    </row>
    <row r="34" spans="1:30" x14ac:dyDescent="0.25">
      <c r="A34" t="s">
        <v>1856</v>
      </c>
      <c r="B34" t="s">
        <v>1737</v>
      </c>
      <c r="C34" t="s">
        <v>1857</v>
      </c>
      <c r="D34" t="s">
        <v>1762</v>
      </c>
      <c r="E34" t="s">
        <v>1739</v>
      </c>
      <c r="F34" t="s">
        <v>1793</v>
      </c>
      <c r="G34" s="8" t="s">
        <v>1754</v>
      </c>
      <c r="H34" t="s">
        <v>1775</v>
      </c>
      <c r="I34" t="s">
        <v>1829</v>
      </c>
      <c r="K34" t="s">
        <v>229</v>
      </c>
      <c r="L34" t="s">
        <v>267</v>
      </c>
      <c r="M34" t="s">
        <v>236</v>
      </c>
      <c r="N34" t="s">
        <v>254</v>
      </c>
      <c r="P34" s="3">
        <f>VLOOKUP(A34,[3]AUM!$A$3:$B$131,2,0)/163</f>
        <v>66105969.392638035</v>
      </c>
      <c r="R34" s="15" t="b">
        <f>+IF(D34="",VLOOKUP(A34,'[2]Pivot for Jun AUM'!$A$5:$B$121,2,FALSE))</f>
        <v>0</v>
      </c>
      <c r="T34" s="40">
        <f>P34-U34</f>
        <v>-14474433.773006134</v>
      </c>
      <c r="U34" s="23">
        <f>VLOOKUP(A34,'[3]Last Aum File'!$A$2:$B$1262,2,0)/163</f>
        <v>80580403.165644169</v>
      </c>
      <c r="V34" s="14">
        <f t="shared" ref="V34" si="60">+U34/1000000</f>
        <v>80.580403165644171</v>
      </c>
      <c r="W34" s="9">
        <f t="shared" si="47"/>
        <v>-14474433.773006134</v>
      </c>
      <c r="X34" s="24">
        <f t="shared" ref="X34" si="61">+IF(ISNA(W34),0,W34)</f>
        <v>-14474433.773006134</v>
      </c>
      <c r="Y34" s="14">
        <f t="shared" ref="Y34" si="62">P34/1000000</f>
        <v>66.105969392638031</v>
      </c>
      <c r="Z34" s="14">
        <f t="shared" ref="Z34" si="63">X34/1000000</f>
        <v>-14.474433773006133</v>
      </c>
      <c r="AA34" s="14">
        <f t="shared" ref="AA34" si="64">T34/1000000</f>
        <v>-14.474433773006133</v>
      </c>
      <c r="AB34" s="14">
        <f>VLOOKUP(A34,[3]AUM!$A$3:$B$131,2,0)/1000000</f>
        <v>10775.273010999999</v>
      </c>
      <c r="AC34" s="14">
        <f>VLOOKUP(A34,'[3]Last Aum File'!$A$2:$B$126,2,0)/1000000</f>
        <v>13134.605716</v>
      </c>
      <c r="AD34" s="14">
        <f t="shared" ref="AD34" si="65">AB34-AC34</f>
        <v>-2359.3327050000007</v>
      </c>
    </row>
    <row r="35" spans="1:30" x14ac:dyDescent="0.25">
      <c r="A35" t="s">
        <v>1822</v>
      </c>
      <c r="B35" t="s">
        <v>1737</v>
      </c>
      <c r="C35" t="s">
        <v>1826</v>
      </c>
      <c r="D35" t="s">
        <v>1820</v>
      </c>
      <c r="E35" t="s">
        <v>1739</v>
      </c>
      <c r="F35" t="s">
        <v>1793</v>
      </c>
      <c r="G35" s="8" t="s">
        <v>1754</v>
      </c>
      <c r="H35" t="s">
        <v>1775</v>
      </c>
      <c r="I35" t="s">
        <v>1829</v>
      </c>
      <c r="K35" t="s">
        <v>229</v>
      </c>
      <c r="L35" t="s">
        <v>234</v>
      </c>
      <c r="M35" t="s">
        <v>236</v>
      </c>
      <c r="N35" t="s">
        <v>254</v>
      </c>
      <c r="P35" s="3">
        <f>VLOOKUP(A35,[3]AUM!$A$3:$B$131,2,0)</f>
        <v>1100006489</v>
      </c>
      <c r="R35" s="15" t="b">
        <f>+IF(D35="",VLOOKUP(A35,'[2]Pivot for Jun AUM'!$A$5:$B$121,2,FALSE))</f>
        <v>0</v>
      </c>
      <c r="T35" s="23">
        <f>VLOOKUP(A35,[4]Flows!$A$3:$D$1206,4,0)</f>
        <v>1008111.8999999951</v>
      </c>
      <c r="U35" s="23">
        <f>VLOOKUP(A35,'[3]Last Aum File'!$A$2:$B$1262,2,0)</f>
        <v>1020119648</v>
      </c>
      <c r="V35" s="14">
        <f t="shared" si="54"/>
        <v>1020.119648</v>
      </c>
      <c r="W35" s="9">
        <f t="shared" si="47"/>
        <v>79886841</v>
      </c>
      <c r="X35" s="24">
        <f t="shared" si="55"/>
        <v>79886841</v>
      </c>
      <c r="Y35" s="14">
        <f t="shared" si="56"/>
        <v>1100.0064890000001</v>
      </c>
      <c r="Z35" s="14">
        <f t="shared" si="57"/>
        <v>79.886841000000004</v>
      </c>
      <c r="AA35" s="14">
        <f t="shared" si="58"/>
        <v>1.0081118999999952</v>
      </c>
      <c r="AB35" s="14">
        <f>VLOOKUP(A35,[3]AUM!$A$3:$B$131,2,0)/1000000</f>
        <v>1100.0064890000001</v>
      </c>
      <c r="AC35" s="14">
        <f>VLOOKUP(A35,'[3]Last Aum File'!$A$2:$B$126,2,0)/1000000</f>
        <v>1020.119648</v>
      </c>
      <c r="AD35" s="14">
        <f t="shared" si="59"/>
        <v>79.886841000000118</v>
      </c>
    </row>
    <row r="36" spans="1:30" x14ac:dyDescent="0.25">
      <c r="A36" t="s">
        <v>1823</v>
      </c>
      <c r="B36" t="s">
        <v>1737</v>
      </c>
      <c r="C36" t="s">
        <v>1827</v>
      </c>
      <c r="D36" t="s">
        <v>1820</v>
      </c>
      <c r="E36" t="s">
        <v>1739</v>
      </c>
      <c r="F36" t="s">
        <v>1793</v>
      </c>
      <c r="G36" s="8" t="s">
        <v>1754</v>
      </c>
      <c r="H36" t="s">
        <v>1775</v>
      </c>
      <c r="I36" t="s">
        <v>1829</v>
      </c>
      <c r="K36" t="s">
        <v>229</v>
      </c>
      <c r="L36" t="s">
        <v>234</v>
      </c>
      <c r="M36" t="s">
        <v>236</v>
      </c>
      <c r="N36" t="s">
        <v>254</v>
      </c>
      <c r="P36" s="3">
        <f>VLOOKUP(A36,[3]AUM!$A$3:$B$131,2,0)</f>
        <v>46360523</v>
      </c>
      <c r="R36" s="15" t="b">
        <f>+IF(D36="",VLOOKUP(A36,'[2]Pivot for Jun AUM'!$A$5:$B$121,2,FALSE))</f>
        <v>0</v>
      </c>
      <c r="T36" s="23">
        <f>VLOOKUP(A36,[4]Flows!$A$3:$D$1206,4,0)</f>
        <v>-74993.419999999984</v>
      </c>
      <c r="U36" s="23">
        <f>VLOOKUP(A36,'[3]Last Aum File'!$A$2:$B$1262,2,0)</f>
        <v>49761394</v>
      </c>
      <c r="V36" s="14">
        <f t="shared" si="1"/>
        <v>49.761394000000003</v>
      </c>
      <c r="W36" s="9">
        <f t="shared" si="47"/>
        <v>-3400871</v>
      </c>
      <c r="X36" s="24">
        <f t="shared" si="6"/>
        <v>-3400871</v>
      </c>
      <c r="Y36" s="14">
        <f t="shared" si="2"/>
        <v>46.360523000000001</v>
      </c>
      <c r="Z36" s="14">
        <f t="shared" si="3"/>
        <v>-3.400871</v>
      </c>
      <c r="AA36" s="14">
        <f t="shared" si="4"/>
        <v>-7.4993419999999977E-2</v>
      </c>
      <c r="AB36" s="14">
        <f>VLOOKUP(A36,[3]AUM!$A$3:$B$131,2,0)/1000000</f>
        <v>46.360523000000001</v>
      </c>
      <c r="AC36" s="14">
        <f>VLOOKUP(A36,'[3]Last Aum File'!$A$2:$B$126,2,0)/1000000</f>
        <v>49.761394000000003</v>
      </c>
      <c r="AD36" s="14">
        <f t="shared" si="5"/>
        <v>-3.4008710000000022</v>
      </c>
    </row>
    <row r="37" spans="1:30" x14ac:dyDescent="0.25">
      <c r="A37" t="s">
        <v>1824</v>
      </c>
      <c r="B37" t="s">
        <v>1737</v>
      </c>
      <c r="C37" t="s">
        <v>1828</v>
      </c>
      <c r="D37" t="s">
        <v>1820</v>
      </c>
      <c r="E37" t="s">
        <v>1739</v>
      </c>
      <c r="F37" t="s">
        <v>1793</v>
      </c>
      <c r="G37" s="8" t="s">
        <v>1754</v>
      </c>
      <c r="H37" t="s">
        <v>1775</v>
      </c>
      <c r="I37" t="s">
        <v>1829</v>
      </c>
      <c r="K37" t="s">
        <v>229</v>
      </c>
      <c r="L37" t="s">
        <v>234</v>
      </c>
      <c r="M37" t="s">
        <v>236</v>
      </c>
      <c r="N37" t="s">
        <v>254</v>
      </c>
      <c r="P37" s="3">
        <f>VLOOKUP(A37,[3]AUM!$A$3:$B$131,2,0)</f>
        <v>173792904</v>
      </c>
      <c r="R37" s="15" t="b">
        <f>+IF(D37="",VLOOKUP(A37,'[2]Pivot for Jun AUM'!$A$5:$B$121,2,FALSE))</f>
        <v>0</v>
      </c>
      <c r="T37" s="23">
        <f>VLOOKUP(A37,[4]Flows!$A$3:$D$1206,4,0)</f>
        <v>-4429190.5399999972</v>
      </c>
      <c r="U37" s="23">
        <f>VLOOKUP(A37,'[3]Last Aum File'!$A$2:$B$1262,2,0)</f>
        <v>173466024</v>
      </c>
      <c r="V37" s="14">
        <f t="shared" ref="V37" si="66">+U37/1000000</f>
        <v>173.466024</v>
      </c>
      <c r="W37" s="9">
        <f t="shared" si="47"/>
        <v>326880</v>
      </c>
      <c r="X37" s="24">
        <f t="shared" ref="X37" si="67">+IF(ISNA(W37),0,W37)</f>
        <v>326880</v>
      </c>
      <c r="Y37" s="14">
        <f t="shared" ref="Y37" si="68">P37/1000000</f>
        <v>173.79290399999999</v>
      </c>
      <c r="Z37" s="14">
        <f t="shared" ref="Z37" si="69">X37/1000000</f>
        <v>0.32688</v>
      </c>
      <c r="AA37" s="14">
        <f t="shared" ref="AA37" si="70">T37/1000000</f>
        <v>-4.4291905399999969</v>
      </c>
      <c r="AB37" s="14">
        <f>VLOOKUP(A37,[3]AUM!$A$3:$B$131,2,0)/1000000</f>
        <v>173.79290399999999</v>
      </c>
      <c r="AC37" s="14">
        <f>VLOOKUP(A37,'[3]Last Aum File'!$A$2:$B$126,2,0)/1000000</f>
        <v>173.466024</v>
      </c>
      <c r="AD37" s="14">
        <f t="shared" ref="AD37" si="71">AB37-AC37</f>
        <v>0.32687999999998851</v>
      </c>
    </row>
    <row r="38" spans="1:30" x14ac:dyDescent="0.25">
      <c r="A38" t="s">
        <v>126</v>
      </c>
      <c r="B38" t="s">
        <v>1737</v>
      </c>
      <c r="C38" t="s">
        <v>212</v>
      </c>
      <c r="D38" t="s">
        <v>1762</v>
      </c>
      <c r="E38" t="s">
        <v>1739</v>
      </c>
      <c r="F38" t="str">
        <f>VLOOKUP(A38,'[1]Dublin funds'!$B$2:$AS$153,2,FALSE)</f>
        <v>From Risk - Fund Responsibility - Dublin Funds</v>
      </c>
      <c r="G38" t="str">
        <f>VLOOKUP($A38,'[2]Total AUM Data'!$A:$I,5,FALSE)</f>
        <v>Service Fund</v>
      </c>
      <c r="H38" t="str">
        <f>VLOOKUP($A38,'[2]Total AUM Data'!$A:$I,6,FALSE)</f>
        <v>Equity</v>
      </c>
      <c r="I38" t="str">
        <f>VLOOKUP($A38,'[1]Dublin funds'!$B$2:$AS$153,3,FALSE)</f>
        <v>TBD</v>
      </c>
      <c r="J38" t="str">
        <f>VLOOKUP($A38,'[1]Dublin funds'!$B$2:$AS$153,4,FALSE)</f>
        <v>Agreed a light touch with VaR and Leverage limits</v>
      </c>
      <c r="K38" t="s">
        <v>229</v>
      </c>
      <c r="L38" t="s">
        <v>234</v>
      </c>
      <c r="M38" t="s">
        <v>236</v>
      </c>
      <c r="N38" t="s">
        <v>254</v>
      </c>
      <c r="O38" s="3">
        <f>VLOOKUP(A38,'Audit AUM File'!A:B,2,FALSE)</f>
        <v>103113709.33</v>
      </c>
      <c r="P38" s="3">
        <f>VLOOKUP(A38,[3]AUM!$A$3:$B$131,2,0)</f>
        <v>53160977.919999994</v>
      </c>
      <c r="R38" s="15" t="b">
        <f>+IF(D38="",VLOOKUP(A38,'[2]Pivot for Jun AUM'!$A$5:$B$121,2,FALSE))</f>
        <v>0</v>
      </c>
      <c r="S38" s="15">
        <f>+IF(D38&lt;&gt;"",VLOOKUP(A38,'[2]Total AUM Data'!$A$2:$G$48,7,FALSE))</f>
        <v>316671363.03000009</v>
      </c>
      <c r="T38" s="23">
        <f>VLOOKUP(A38,[4]Flows!$A$3:$D$1206,4,0)</f>
        <v>-446651.58000000013</v>
      </c>
      <c r="U38" s="23">
        <f>VLOOKUP(A38,'[3]Last Aum File'!$A$2:$B$1262,2,0)</f>
        <v>56764604.780000001</v>
      </c>
      <c r="V38" s="14">
        <f t="shared" si="1"/>
        <v>56.764604779999999</v>
      </c>
      <c r="W38" s="9">
        <f t="shared" si="47"/>
        <v>-3603626.8600000069</v>
      </c>
      <c r="X38" s="24">
        <f t="shared" si="6"/>
        <v>-3603626.8600000069</v>
      </c>
      <c r="Y38" s="14">
        <f t="shared" si="2"/>
        <v>53.160977919999993</v>
      </c>
      <c r="Z38" s="14">
        <f t="shared" si="3"/>
        <v>-3.603626860000007</v>
      </c>
      <c r="AA38" s="14">
        <f t="shared" si="4"/>
        <v>-0.44665158000000016</v>
      </c>
      <c r="AB38" s="14">
        <f>VLOOKUP(A38,[3]AUM!$A$3:$B$131,2,0)/1000000</f>
        <v>53.160977919999993</v>
      </c>
      <c r="AC38" s="14">
        <f>VLOOKUP(A38,'[3]Last Aum File'!$A$2:$B$126,2,0)/1000000</f>
        <v>56.764604779999999</v>
      </c>
      <c r="AD38" s="14">
        <f t="shared" si="5"/>
        <v>-3.6036268600000056</v>
      </c>
    </row>
    <row r="39" spans="1:30" x14ac:dyDescent="0.25">
      <c r="A39" t="s">
        <v>829</v>
      </c>
      <c r="B39" t="s">
        <v>1737</v>
      </c>
      <c r="C39" t="str">
        <f>VLOOKUP(A39,'[1]Dublin funds'!$B:$AY,7,FALSE)</f>
        <v>Amundi Fund Solutions - Diversified Income Best Select 2022</v>
      </c>
      <c r="D39" t="s">
        <v>1762</v>
      </c>
      <c r="E39" t="s">
        <v>1741</v>
      </c>
      <c r="F39" t="str">
        <f>VLOOKUP(A39,'[1]Dublin funds'!$B$2:$AS$153,2,FALSE)</f>
        <v>From Risk - Fund Responsibility - Dublin Funds</v>
      </c>
      <c r="G39" t="str">
        <f>VLOOKUP($A39,'[2]Total AUM Data'!$A:$I,5,FALSE)</f>
        <v>Outcome Oriented Strategies</v>
      </c>
      <c r="H39" t="str">
        <f>VLOOKUP($A39,'[2]Total AUM Data'!$A:$I,6,FALSE)</f>
        <v>Income</v>
      </c>
      <c r="I39" t="str">
        <f>VLOOKUP($A39,'[1]Dublin funds'!$B$2:$AS$153,3,FALSE)</f>
        <v>BAL Multimanagement</v>
      </c>
      <c r="J39" t="str">
        <f>VLOOKUP($A39,'[1]Dublin funds'!$B$2:$AS$153,4,FALSE)</f>
        <v>AMU BAL SDA Fds de Fds (used absolute limits mixed medium/High risk)</v>
      </c>
      <c r="P39" s="3">
        <f>VLOOKUP(A39,[3]AUM!$A$3:$B$131,2,0)</f>
        <v>136428638.49000001</v>
      </c>
      <c r="R39" s="15" t="b">
        <f>+IF(D39="",VLOOKUP(A39,'[2]Pivot for Jun AUM'!$A$5:$B$121,2,FALSE))</f>
        <v>0</v>
      </c>
      <c r="S39" s="15">
        <f>+IF(D39&lt;&gt;"",VLOOKUP(A39,'[2]Total AUM Data'!$A$2:$G$48,7,FALSE))</f>
        <v>294308339.36000001</v>
      </c>
      <c r="T39" s="23">
        <f>VLOOKUP(A39,[4]Flows!$A$3:$D$1206,4,0)</f>
        <v>-4867464.6900000013</v>
      </c>
      <c r="U39" s="23">
        <f>VLOOKUP(A39,'[3]Last Aum File'!$A$2:$B$1262,2,0)</f>
        <v>137814615.19000003</v>
      </c>
      <c r="V39" s="14">
        <f t="shared" si="1"/>
        <v>137.81461519000004</v>
      </c>
      <c r="W39" s="9">
        <f t="shared" si="47"/>
        <v>-1385976.7000000179</v>
      </c>
      <c r="X39" s="24">
        <f t="shared" si="6"/>
        <v>-1385976.7000000179</v>
      </c>
      <c r="Y39" s="14">
        <f t="shared" si="2"/>
        <v>136.42863849</v>
      </c>
      <c r="Z39" s="14">
        <f t="shared" si="3"/>
        <v>-1.3859767000000178</v>
      </c>
      <c r="AA39" s="14">
        <f t="shared" si="4"/>
        <v>-4.8674646900000011</v>
      </c>
      <c r="AB39" s="14">
        <f>VLOOKUP(A39,[3]AUM!$A$3:$B$131,2,0)/1000000</f>
        <v>136.42863849</v>
      </c>
      <c r="AC39" s="14">
        <f>VLOOKUP(A39,'[3]Last Aum File'!$A$2:$B$126,2,0)/1000000</f>
        <v>137.81461519000004</v>
      </c>
      <c r="AD39" s="14">
        <f t="shared" si="5"/>
        <v>-1.3859767000000431</v>
      </c>
    </row>
    <row r="40" spans="1:30" x14ac:dyDescent="0.25">
      <c r="A40" t="s">
        <v>42</v>
      </c>
      <c r="B40" t="s">
        <v>1737</v>
      </c>
      <c r="C40" t="s">
        <v>176</v>
      </c>
      <c r="D40" t="s">
        <v>1820</v>
      </c>
      <c r="E40" t="s">
        <v>1739</v>
      </c>
      <c r="F40" t="str">
        <f>VLOOKUP(A40,'[1]Model portfolios'!$A$2:$L$142,2,FALSE)</f>
        <v>From Risk - Fund Responsibility - Model Portfolios</v>
      </c>
      <c r="G40" t="str">
        <f>VLOOKUP($A40,'[2]Desk mapping'!$G:$L,5,FALSE)</f>
        <v>Allocation Driven Strategies</v>
      </c>
      <c r="H40" t="str">
        <f>VLOOKUP($A40,'[2]Desk mapping'!$G:$L,6,FALSE)</f>
        <v>Growth</v>
      </c>
      <c r="K40" t="s">
        <v>231</v>
      </c>
      <c r="L40" t="s">
        <v>233</v>
      </c>
      <c r="M40" t="s">
        <v>236</v>
      </c>
      <c r="O40" s="3">
        <f>VLOOKUP(A40,'Audit AUM File'!A:B,2,FALSE)</f>
        <v>232885137.42170599</v>
      </c>
      <c r="P40" s="3">
        <f>VLOOKUP(A40,[3]AUM!$A$1:$B$131,2,0)</f>
        <v>286172410</v>
      </c>
      <c r="R40" s="15" t="b">
        <f>+IF(D40="",VLOOKUP(A40,'[2]Pivot for Jun AUM'!$A$5:$B$121,2,FALSE))</f>
        <v>0</v>
      </c>
      <c r="T40" s="23">
        <f>VLOOKUP(A40,[4]Flows!$A$3:$D$1206,4,0)</f>
        <v>-8096631.620000002</v>
      </c>
      <c r="U40" s="23">
        <f>VLOOKUP(A40,'[3]Last Aum File'!$A$2:$B$1262,2,0)</f>
        <v>276712413</v>
      </c>
      <c r="V40" s="14">
        <f t="shared" si="1"/>
        <v>276.71241300000003</v>
      </c>
      <c r="W40" s="9">
        <f t="shared" si="47"/>
        <v>9459997</v>
      </c>
      <c r="X40" s="24">
        <f t="shared" si="6"/>
        <v>9459997</v>
      </c>
      <c r="Y40" s="14">
        <f t="shared" si="2"/>
        <v>286.17241000000001</v>
      </c>
      <c r="Z40" s="14">
        <f t="shared" si="3"/>
        <v>9.4599969999999995</v>
      </c>
      <c r="AA40" s="14">
        <f t="shared" si="4"/>
        <v>-8.0966316200000019</v>
      </c>
      <c r="AB40" s="14">
        <f>VLOOKUP(A40,[3]AUM!$A$2:$B$131,2,0)/1000000</f>
        <v>286.17241000000001</v>
      </c>
      <c r="AC40" s="14">
        <f>VLOOKUP(A40,'[3]Last Aum File'!$A$2:$B$126,2,0)/1000000</f>
        <v>276.71241300000003</v>
      </c>
      <c r="AD40" s="14">
        <f t="shared" si="5"/>
        <v>9.4599969999999871</v>
      </c>
    </row>
    <row r="41" spans="1:30" x14ac:dyDescent="0.25">
      <c r="A41" t="s">
        <v>51</v>
      </c>
      <c r="B41" t="s">
        <v>1737</v>
      </c>
      <c r="C41" t="s">
        <v>178</v>
      </c>
      <c r="D41" t="s">
        <v>1820</v>
      </c>
      <c r="E41" t="s">
        <v>1739</v>
      </c>
      <c r="F41" t="str">
        <f>VLOOKUP(A41,'[1]Model portfolios'!$A$2:$L$142,2,FALSE)</f>
        <v>From Risk - Fund Responsibility - Model Portfolios</v>
      </c>
      <c r="G41" t="str">
        <f>VLOOKUP($A41,'[2]Desk mapping'!$G:$L,5,FALSE)</f>
        <v>Allocation Driven Strategies</v>
      </c>
      <c r="H41" t="str">
        <f>VLOOKUP($A41,'[2]Desk mapping'!$G:$L,6,FALSE)</f>
        <v>Moderate</v>
      </c>
      <c r="K41" t="s">
        <v>231</v>
      </c>
      <c r="L41" t="s">
        <v>233</v>
      </c>
      <c r="M41" t="s">
        <v>236</v>
      </c>
      <c r="O41" s="3">
        <f>VLOOKUP(A41,'Audit AUM File'!A:B,2,FALSE)</f>
        <v>175215585.57200199</v>
      </c>
      <c r="P41" s="3">
        <f>VLOOKUP(A41,[3]AUM!$A$3:$B$131,2,0)</f>
        <v>44621309</v>
      </c>
      <c r="R41" s="15" t="b">
        <f>+IF(D41="",VLOOKUP(A41,'[2]Pivot for Jun AUM'!$A$5:$B$121,2,FALSE))</f>
        <v>0</v>
      </c>
      <c r="T41" s="23">
        <f>VLOOKUP(A41,[4]Flows!$A$3:$D$1206,4,0)</f>
        <v>-915885.27000000014</v>
      </c>
      <c r="U41" s="23">
        <f>VLOOKUP(A41,'[3]Last Aum File'!$A$2:$B$1262,2,0)</f>
        <v>44663645</v>
      </c>
      <c r="V41" s="14">
        <f t="shared" si="1"/>
        <v>44.663645000000002</v>
      </c>
      <c r="W41" s="9">
        <f t="shared" si="47"/>
        <v>-42336</v>
      </c>
      <c r="X41" s="24">
        <f t="shared" si="6"/>
        <v>-42336</v>
      </c>
      <c r="Y41" s="14">
        <f t="shared" si="2"/>
        <v>44.621308999999997</v>
      </c>
      <c r="Z41" s="14">
        <f t="shared" si="3"/>
        <v>-4.2335999999999999E-2</v>
      </c>
      <c r="AA41" s="14">
        <f t="shared" si="4"/>
        <v>-0.91588527000000008</v>
      </c>
      <c r="AB41" s="14">
        <f>VLOOKUP(A41,[3]AUM!$A$3:$B$131,2,0)/1000000</f>
        <v>44.621308999999997</v>
      </c>
      <c r="AC41" s="14">
        <f>VLOOKUP(A41,'[3]Last Aum File'!$A$2:$B$126,2,0)/1000000</f>
        <v>44.663645000000002</v>
      </c>
      <c r="AD41" s="14">
        <f t="shared" si="5"/>
        <v>-4.2336000000005924E-2</v>
      </c>
    </row>
    <row r="42" spans="1:30" x14ac:dyDescent="0.25">
      <c r="A42" t="s">
        <v>40</v>
      </c>
      <c r="B42" t="s">
        <v>1737</v>
      </c>
      <c r="C42" t="s">
        <v>175</v>
      </c>
      <c r="D42" t="s">
        <v>1820</v>
      </c>
      <c r="E42" t="s">
        <v>1739</v>
      </c>
      <c r="F42" t="str">
        <f>VLOOKUP(A42,'[1]Model portfolios'!$A$2:$L$142,2,FALSE)</f>
        <v>From Risk - Fund Responsibility - Model Portfolios</v>
      </c>
      <c r="G42" t="str">
        <f>VLOOKUP($A42,'[2]Desk mapping'!$G:$L,5,FALSE)</f>
        <v>Allocation Driven Strategies</v>
      </c>
      <c r="H42" t="str">
        <f>VLOOKUP($A42,'[2]Desk mapping'!$G:$L,6,FALSE)</f>
        <v>Conservative</v>
      </c>
      <c r="K42" t="s">
        <v>231</v>
      </c>
      <c r="L42" t="s">
        <v>233</v>
      </c>
      <c r="M42" t="s">
        <v>236</v>
      </c>
      <c r="O42" s="3">
        <f>VLOOKUP(A42,'Audit AUM File'!A:B,2,FALSE)</f>
        <v>150066014.82525399</v>
      </c>
      <c r="P42" s="3">
        <f>VLOOKUP(A42,[3]AUM!$A$3:$B$131,2,0)</f>
        <v>29605967</v>
      </c>
      <c r="R42" s="15" t="b">
        <f>+IF(D42="",VLOOKUP(A42,'[2]Pivot for Jun AUM'!$A$5:$B$121,2,FALSE))</f>
        <v>0</v>
      </c>
      <c r="T42" s="23">
        <f>VLOOKUP(A42,[4]Flows!$A$3:$D$1206,4,0)</f>
        <v>-567692.13</v>
      </c>
      <c r="U42" s="23">
        <f>VLOOKUP(A42,'[3]Last Aum File'!$A$2:$B$1262,2,0)</f>
        <v>29944309</v>
      </c>
      <c r="V42" s="14">
        <f t="shared" si="1"/>
        <v>29.944309000000001</v>
      </c>
      <c r="W42" s="9">
        <f t="shared" si="47"/>
        <v>-338342</v>
      </c>
      <c r="X42" s="24">
        <f t="shared" si="6"/>
        <v>-338342</v>
      </c>
      <c r="Y42" s="14">
        <f t="shared" si="2"/>
        <v>29.605967</v>
      </c>
      <c r="Z42" s="14">
        <f t="shared" si="3"/>
        <v>-0.33834199999999998</v>
      </c>
      <c r="AA42" s="14">
        <f t="shared" si="4"/>
        <v>-0.56769212999999996</v>
      </c>
      <c r="AB42" s="14">
        <f>VLOOKUP(A42,[3]AUM!$A$3:$B$131,2,0)/1000000</f>
        <v>29.605967</v>
      </c>
      <c r="AC42" s="14">
        <f>VLOOKUP(A42,'[3]Last Aum File'!$A$2:$B$126,2,0)/1000000</f>
        <v>29.944309000000001</v>
      </c>
      <c r="AD42" s="14">
        <f t="shared" si="5"/>
        <v>-0.33834200000000081</v>
      </c>
    </row>
    <row r="43" spans="1:30" x14ac:dyDescent="0.25">
      <c r="A43" t="s">
        <v>108</v>
      </c>
      <c r="B43" t="s">
        <v>1737</v>
      </c>
      <c r="C43" t="s">
        <v>207</v>
      </c>
      <c r="D43" t="s">
        <v>1820</v>
      </c>
      <c r="E43" t="s">
        <v>1739</v>
      </c>
      <c r="F43" t="str">
        <f>VLOOKUP(A43,'[1]Model portfolios'!$A$2:$L$142,2,FALSE)</f>
        <v>From Risk - Fund Responsibility - Model Portfolios</v>
      </c>
      <c r="G43" t="str">
        <f>VLOOKUP($A43,'[2]Desk mapping'!$G:$L,5,FALSE)</f>
        <v>Allocation Driven Strategies</v>
      </c>
      <c r="H43" t="str">
        <f>VLOOKUP($A43,'[2]Desk mapping'!$G:$L,6,FALSE)</f>
        <v>Growth</v>
      </c>
      <c r="K43" t="s">
        <v>231</v>
      </c>
      <c r="L43" t="s">
        <v>233</v>
      </c>
      <c r="M43" t="s">
        <v>236</v>
      </c>
      <c r="O43" s="3">
        <f>VLOOKUP(A43,'Audit AUM File'!A:B,2,FALSE)</f>
        <v>155352140.60327399</v>
      </c>
      <c r="P43" s="3">
        <f>VLOOKUP(A43,[3]AUM!$A$3:$B$131,2,0)</f>
        <v>20379176</v>
      </c>
      <c r="R43" s="15" t="b">
        <f>+IF(D43="",VLOOKUP(A43,'[2]Pivot for Jun AUM'!$A$5:$B$121,2,FALSE))</f>
        <v>0</v>
      </c>
      <c r="T43" s="23">
        <f>VLOOKUP(A43,[4]Flows!$A$3:$D$1206,4,0)</f>
        <v>-444459.29000000004</v>
      </c>
      <c r="U43" s="23">
        <f>VLOOKUP(A43,'[3]Last Aum File'!$A$2:$B$1262,2,0)</f>
        <v>20364888</v>
      </c>
      <c r="V43" s="14">
        <f t="shared" si="1"/>
        <v>20.364888000000001</v>
      </c>
      <c r="W43" s="9">
        <f t="shared" si="47"/>
        <v>14288</v>
      </c>
      <c r="X43" s="24">
        <f t="shared" si="6"/>
        <v>14288</v>
      </c>
      <c r="Y43" s="14">
        <f t="shared" si="2"/>
        <v>20.379176000000001</v>
      </c>
      <c r="Z43" s="14">
        <f t="shared" si="3"/>
        <v>1.4288E-2</v>
      </c>
      <c r="AA43" s="14">
        <f t="shared" si="4"/>
        <v>-0.44445929000000006</v>
      </c>
      <c r="AB43" s="14">
        <f>VLOOKUP(A43,[3]AUM!$A$3:$B$131,2,0)/1000000</f>
        <v>20.379176000000001</v>
      </c>
      <c r="AC43" s="14">
        <f>VLOOKUP(A43,'[3]Last Aum File'!$A$2:$B$126,2,0)/1000000</f>
        <v>20.364888000000001</v>
      </c>
      <c r="AD43" s="14">
        <f t="shared" si="5"/>
        <v>1.4288000000000523E-2</v>
      </c>
    </row>
    <row r="44" spans="1:30" x14ac:dyDescent="0.25">
      <c r="A44" t="s">
        <v>131</v>
      </c>
      <c r="B44" t="s">
        <v>1737</v>
      </c>
      <c r="C44" t="s">
        <v>214</v>
      </c>
      <c r="D44" t="s">
        <v>1820</v>
      </c>
      <c r="E44" t="s">
        <v>1739</v>
      </c>
      <c r="F44" t="str">
        <f>VLOOKUP(A44,'[1]Model portfolios'!$A$2:$L$142,2,FALSE)</f>
        <v>From Risk - Fund Responsibility - Model Portfolios</v>
      </c>
      <c r="G44" t="str">
        <f>VLOOKUP($A44,'[2]Desk mapping'!$G:$L,5,FALSE)</f>
        <v>Allocation Driven Strategies</v>
      </c>
      <c r="H44" t="str">
        <f>VLOOKUP($A44,'[2]Desk mapping'!$G:$L,6,FALSE)</f>
        <v>Growth</v>
      </c>
      <c r="K44" t="s">
        <v>231</v>
      </c>
      <c r="L44" t="s">
        <v>233</v>
      </c>
      <c r="M44" t="s">
        <v>236</v>
      </c>
      <c r="O44" s="3">
        <f>VLOOKUP(A44,'Audit AUM File'!A:B,2,FALSE)</f>
        <v>244033874.81555301</v>
      </c>
      <c r="P44" s="3">
        <f>VLOOKUP(A44,[3]AUM!$A$3:$B$131,2,0)</f>
        <v>1259071</v>
      </c>
      <c r="R44" s="15" t="b">
        <f>+IF(D44="",VLOOKUP(A44,'[2]Pivot for Jun AUM'!$A$5:$B$121,2,FALSE))</f>
        <v>0</v>
      </c>
      <c r="T44" s="23">
        <f>VLOOKUP(A44,[4]Flows!$A$3:$D$1206,4,0)</f>
        <v>-19473.099999999995</v>
      </c>
      <c r="U44" s="23">
        <f>VLOOKUP(A44,'[3]Last Aum File'!$A$2:$B$1262,2,0)</f>
        <v>1226192</v>
      </c>
      <c r="V44" s="14">
        <f t="shared" si="1"/>
        <v>1.2261919999999999</v>
      </c>
      <c r="W44" s="9">
        <f t="shared" si="47"/>
        <v>32879</v>
      </c>
      <c r="X44" s="24">
        <f t="shared" si="6"/>
        <v>32879</v>
      </c>
      <c r="Y44" s="14">
        <f t="shared" si="2"/>
        <v>1.2590710000000001</v>
      </c>
      <c r="Z44" s="14">
        <f t="shared" si="3"/>
        <v>3.2878999999999999E-2</v>
      </c>
      <c r="AA44" s="14">
        <f t="shared" si="4"/>
        <v>-1.9473099999999993E-2</v>
      </c>
      <c r="AB44" s="14">
        <f>VLOOKUP(A44,[3]AUM!$A$3:$B$131,2,0)/1000000</f>
        <v>1.2590710000000001</v>
      </c>
      <c r="AC44" s="14">
        <f>VLOOKUP(A44,'[3]Last Aum File'!$A$2:$B$126,2,0)/1000000</f>
        <v>1.2261919999999999</v>
      </c>
      <c r="AD44" s="14">
        <f t="shared" si="5"/>
        <v>3.2879000000000103E-2</v>
      </c>
    </row>
    <row r="45" spans="1:30" x14ac:dyDescent="0.25">
      <c r="A45" t="s">
        <v>85</v>
      </c>
      <c r="B45" t="s">
        <v>1737</v>
      </c>
      <c r="C45" t="s">
        <v>199</v>
      </c>
      <c r="D45" t="s">
        <v>1820</v>
      </c>
      <c r="E45" t="s">
        <v>1739</v>
      </c>
      <c r="F45" t="str">
        <f>VLOOKUP(A45,'[1]Model portfolios'!$A$2:$L$142,2,FALSE)</f>
        <v>From Risk - Fund Responsibility - Model Portfolios</v>
      </c>
      <c r="G45" s="8" t="str">
        <f>VLOOKUP($A45,'[2]Desk mapping'!$G:$L,5,FALSE)</f>
        <v>Allocation Driven Strategies</v>
      </c>
      <c r="H45" t="str">
        <f>VLOOKUP($A45,'[2]Desk mapping'!$G:$L,6,FALSE)</f>
        <v>Moderate</v>
      </c>
      <c r="K45" t="s">
        <v>231</v>
      </c>
      <c r="L45" t="s">
        <v>233</v>
      </c>
      <c r="M45" t="s">
        <v>236</v>
      </c>
      <c r="O45" s="3">
        <f>VLOOKUP(A45,'Audit AUM File'!A:B,2,FALSE)</f>
        <v>164099154.06433299</v>
      </c>
      <c r="P45" s="3">
        <f>VLOOKUP(A45,[3]AUM!$A$3:$B$131,2,0)</f>
        <v>221348</v>
      </c>
      <c r="R45" s="15" t="b">
        <f>+IF(D45="",VLOOKUP(A45,'[2]Pivot for Jun AUM'!$A$5:$B$121,2,FALSE))</f>
        <v>0</v>
      </c>
      <c r="T45" s="23"/>
      <c r="U45" s="23">
        <f>VLOOKUP(A45,'[3]Last Aum File'!$A$2:$B$1262,2,0)</f>
        <v>215898</v>
      </c>
      <c r="V45" s="14">
        <f t="shared" si="1"/>
        <v>0.21589800000000001</v>
      </c>
      <c r="W45" s="9">
        <f t="shared" si="47"/>
        <v>5450</v>
      </c>
      <c r="X45" s="24">
        <f t="shared" si="6"/>
        <v>5450</v>
      </c>
      <c r="Y45" s="14">
        <f t="shared" si="2"/>
        <v>0.22134799999999999</v>
      </c>
      <c r="Z45" s="14">
        <f t="shared" si="3"/>
        <v>5.45E-3</v>
      </c>
      <c r="AA45" s="14">
        <f t="shared" si="4"/>
        <v>0</v>
      </c>
      <c r="AB45" s="14">
        <f>VLOOKUP(A45,[3]AUM!$A$3:$B$131,2,0)/1000000</f>
        <v>0.22134799999999999</v>
      </c>
      <c r="AC45" s="14">
        <f>VLOOKUP(A45,'[3]Last Aum File'!$A$2:$B$126,2,0)/1000000</f>
        <v>0.21589800000000001</v>
      </c>
      <c r="AD45" s="14">
        <f t="shared" si="5"/>
        <v>5.4499999999999826E-3</v>
      </c>
    </row>
    <row r="46" spans="1:30" x14ac:dyDescent="0.25">
      <c r="A46" t="s">
        <v>87</v>
      </c>
      <c r="B46" t="s">
        <v>1737</v>
      </c>
      <c r="C46" t="s">
        <v>201</v>
      </c>
      <c r="D46" t="s">
        <v>1820</v>
      </c>
      <c r="E46" t="s">
        <v>1739</v>
      </c>
      <c r="F46" t="str">
        <f>VLOOKUP(A46,'[1]Model portfolios'!$A$2:$L$142,2,FALSE)</f>
        <v>From Risk - Fund Responsibility - Model Portfolios</v>
      </c>
      <c r="G46" s="8" t="str">
        <f>VLOOKUP($A46,'[2]Desk mapping'!$G:$L,5,FALSE)</f>
        <v>Allocation Driven Strategies</v>
      </c>
      <c r="H46" t="str">
        <f>VLOOKUP($A46,'[2]Desk mapping'!$G:$L,6,FALSE)</f>
        <v>Conservative</v>
      </c>
      <c r="K46" t="s">
        <v>231</v>
      </c>
      <c r="L46" t="s">
        <v>233</v>
      </c>
      <c r="M46" t="s">
        <v>236</v>
      </c>
      <c r="O46" s="3">
        <f>VLOOKUP(A46,'Audit AUM File'!A:B,2,FALSE)</f>
        <v>151327249.913721</v>
      </c>
      <c r="P46" s="3">
        <f>VLOOKUP(A46,[3]AUM!$A$3:$B$131,2,0)</f>
        <v>2649</v>
      </c>
      <c r="R46" s="15" t="b">
        <f>+IF(D46="",VLOOKUP(A46,'[2]Pivot for Jun AUM'!$A$5:$B$121,2,FALSE))</f>
        <v>0</v>
      </c>
      <c r="T46" s="23"/>
      <c r="U46" s="23">
        <f>VLOOKUP(A46,'[3]Last Aum File'!$A$2:$B$1262,2,0)</f>
        <v>2649</v>
      </c>
      <c r="V46" s="14">
        <f t="shared" si="1"/>
        <v>2.6489999999999999E-3</v>
      </c>
      <c r="W46" s="9">
        <f t="shared" si="47"/>
        <v>0</v>
      </c>
      <c r="X46" s="24">
        <f t="shared" si="6"/>
        <v>0</v>
      </c>
      <c r="Y46" s="14">
        <f t="shared" si="2"/>
        <v>2.6489999999999999E-3</v>
      </c>
      <c r="Z46" s="14">
        <f t="shared" si="3"/>
        <v>0</v>
      </c>
      <c r="AA46" s="14">
        <f t="shared" si="4"/>
        <v>0</v>
      </c>
      <c r="AB46" s="14">
        <f>VLOOKUP(A46,[3]AUM!$A$3:$B$131,2,0)/1000000</f>
        <v>2.6489999999999999E-3</v>
      </c>
      <c r="AC46" s="14">
        <f>VLOOKUP(A46,'[3]Last Aum File'!$A$2:$B$126,2,0)/1000000</f>
        <v>2.6489999999999999E-3</v>
      </c>
      <c r="AD46" s="14">
        <f t="shared" si="5"/>
        <v>0</v>
      </c>
    </row>
    <row r="47" spans="1:30" x14ac:dyDescent="0.25">
      <c r="A47" t="s">
        <v>99</v>
      </c>
      <c r="B47" t="s">
        <v>1737</v>
      </c>
      <c r="C47" t="s">
        <v>202</v>
      </c>
      <c r="D47" t="s">
        <v>1820</v>
      </c>
      <c r="E47" t="s">
        <v>1739</v>
      </c>
      <c r="F47" t="str">
        <f>VLOOKUP(A47,'[1]Model portfolios'!$A$2:$L$142,2,FALSE)</f>
        <v>From Risk - Fund Responsibility - Model Portfolios</v>
      </c>
      <c r="G47" s="8" t="str">
        <f>VLOOKUP($A47,'[2]Desk mapping'!$G:$L,5,FALSE)</f>
        <v>Allocation Driven Strategies</v>
      </c>
      <c r="H47" t="str">
        <f>VLOOKUP($A47,'[2]Desk mapping'!$G:$L,6,FALSE)</f>
        <v>Conservative</v>
      </c>
      <c r="K47" t="s">
        <v>231</v>
      </c>
      <c r="L47" t="s">
        <v>233</v>
      </c>
      <c r="M47" t="s">
        <v>236</v>
      </c>
      <c r="O47" s="3">
        <f>VLOOKUP(A47,'Audit AUM File'!A:B,2,FALSE)</f>
        <v>158785755.166821</v>
      </c>
      <c r="P47" s="3">
        <f>VLOOKUP(A47,[3]AUM!$A$3:$B$131,2,0)</f>
        <v>83275</v>
      </c>
      <c r="R47" s="15" t="b">
        <f>+IF(D47="",VLOOKUP(A47,'[2]Pivot for Jun AUM'!$A$5:$B$121,2,FALSE))</f>
        <v>0</v>
      </c>
      <c r="T47" s="23"/>
      <c r="U47" s="23">
        <f>VLOOKUP(A47,'[3]Last Aum File'!$A$2:$B$1262,2,0)</f>
        <v>82952</v>
      </c>
      <c r="V47" s="14">
        <f t="shared" si="1"/>
        <v>8.2951999999999998E-2</v>
      </c>
      <c r="W47" s="9">
        <f t="shared" si="47"/>
        <v>323</v>
      </c>
      <c r="X47" s="24">
        <f t="shared" si="6"/>
        <v>323</v>
      </c>
      <c r="Y47" s="14">
        <f t="shared" si="2"/>
        <v>8.3275000000000002E-2</v>
      </c>
      <c r="Z47" s="14">
        <f t="shared" si="3"/>
        <v>3.2299999999999999E-4</v>
      </c>
      <c r="AA47" s="14">
        <f t="shared" si="4"/>
        <v>0</v>
      </c>
      <c r="AB47" s="14">
        <f>VLOOKUP(A47,[3]AUM!$A$3:$B$131,2,0)/1000000</f>
        <v>8.3275000000000002E-2</v>
      </c>
      <c r="AC47" s="14">
        <f>VLOOKUP(A47,'[3]Last Aum File'!$A$2:$B$126,2,0)/1000000</f>
        <v>8.2951999999999998E-2</v>
      </c>
      <c r="AD47" s="14">
        <f t="shared" si="5"/>
        <v>3.2300000000000384E-4</v>
      </c>
    </row>
    <row r="48" spans="1:30" x14ac:dyDescent="0.25">
      <c r="A48" t="s">
        <v>10</v>
      </c>
      <c r="B48" t="s">
        <v>1737</v>
      </c>
      <c r="C48" t="s">
        <v>161</v>
      </c>
      <c r="D48" t="s">
        <v>1820</v>
      </c>
      <c r="E48" t="s">
        <v>1739</v>
      </c>
      <c r="F48" t="str">
        <f>VLOOKUP(A48,'[1]Model portfolios'!$A$2:$L$142,2,FALSE)</f>
        <v>From Risk - Fund Responsibility - Model Portfolios</v>
      </c>
      <c r="G48" s="8" t="str">
        <f>VLOOKUP($A48,'[2]Desk mapping'!$G:$L,5,FALSE)</f>
        <v>Allocation Driven Strategies</v>
      </c>
      <c r="H48" t="str">
        <f>VLOOKUP($A48,'[2]Desk mapping'!$G:$L,6,FALSE)</f>
        <v>Conservative</v>
      </c>
      <c r="K48" t="s">
        <v>231</v>
      </c>
      <c r="L48" t="s">
        <v>233</v>
      </c>
      <c r="M48" t="s">
        <v>236</v>
      </c>
      <c r="O48" s="3">
        <f>VLOOKUP(A48,'Audit AUM File'!A:B,2,FALSE)</f>
        <v>122766479.464708</v>
      </c>
      <c r="P48" s="3">
        <f>VLOOKUP(A48,[3]AUM!$A$3:$B$131,2,0)</f>
        <v>78465</v>
      </c>
      <c r="R48" s="15" t="b">
        <f>+IF(D48="",VLOOKUP(A48,'[2]Pivot for Jun AUM'!$A$5:$B$121,2,FALSE))</f>
        <v>0</v>
      </c>
      <c r="T48" s="23"/>
      <c r="U48" s="23">
        <f>VLOOKUP(A48,'[3]Last Aum File'!$A$2:$B$1262,2,0)</f>
        <v>77392</v>
      </c>
      <c r="V48" s="14">
        <f t="shared" si="1"/>
        <v>7.7392000000000002E-2</v>
      </c>
      <c r="W48" s="9">
        <f t="shared" si="47"/>
        <v>1073</v>
      </c>
      <c r="X48" s="24">
        <f t="shared" si="6"/>
        <v>1073</v>
      </c>
      <c r="Y48" s="14">
        <f t="shared" si="2"/>
        <v>7.8464999999999993E-2</v>
      </c>
      <c r="Z48" s="14">
        <f t="shared" si="3"/>
        <v>1.073E-3</v>
      </c>
      <c r="AA48" s="14">
        <f t="shared" si="4"/>
        <v>0</v>
      </c>
      <c r="AB48" s="14">
        <f>VLOOKUP(A48,[3]AUM!$A$3:$B$131,2,0)/1000000</f>
        <v>7.8464999999999993E-2</v>
      </c>
      <c r="AC48" s="14">
        <f>VLOOKUP(A48,'[3]Last Aum File'!$A$2:$B$126,2,0)/1000000</f>
        <v>7.7392000000000002E-2</v>
      </c>
      <c r="AD48" s="14">
        <f t="shared" si="5"/>
        <v>1.0729999999999906E-3</v>
      </c>
    </row>
    <row r="49" spans="1:30" x14ac:dyDescent="0.25">
      <c r="A49" t="s">
        <v>7</v>
      </c>
      <c r="B49" t="s">
        <v>1737</v>
      </c>
      <c r="C49" t="s">
        <v>159</v>
      </c>
      <c r="D49" t="s">
        <v>1820</v>
      </c>
      <c r="E49" t="s">
        <v>1739</v>
      </c>
      <c r="F49" t="str">
        <f>VLOOKUP(A49,'[1]Model portfolios'!$A$2:$L$142,2,FALSE)</f>
        <v>From Risk - Fund Responsibility - Model Portfolios</v>
      </c>
      <c r="G49" s="8" t="str">
        <f>VLOOKUP($A49,'[2]Desk mapping'!$G:$L,5,FALSE)</f>
        <v>Allocation Driven Strategies</v>
      </c>
      <c r="H49" t="str">
        <f>VLOOKUP($A49,'[2]Desk mapping'!$G:$L,6,FALSE)</f>
        <v>Growth</v>
      </c>
      <c r="K49" t="s">
        <v>231</v>
      </c>
      <c r="L49" t="s">
        <v>233</v>
      </c>
      <c r="M49" t="s">
        <v>236</v>
      </c>
      <c r="O49" s="3">
        <f>VLOOKUP(A49,'Audit AUM File'!A:B,2,FALSE)</f>
        <v>220197773.695786</v>
      </c>
      <c r="P49" s="3">
        <f>VLOOKUP(A49,[3]AUM!$A$3:$B$131,2,0)</f>
        <v>33771</v>
      </c>
      <c r="R49" s="15" t="b">
        <f>+IF(D49="",VLOOKUP(A49,'[2]Pivot for Jun AUM'!$A$5:$B$121,2,FALSE))</f>
        <v>0</v>
      </c>
      <c r="T49" s="23"/>
      <c r="U49" s="23">
        <f>VLOOKUP(A49,'[3]Last Aum File'!$A$2:$B$1262,2,0)</f>
        <v>33771</v>
      </c>
      <c r="V49" s="14">
        <f t="shared" si="1"/>
        <v>3.3771000000000002E-2</v>
      </c>
      <c r="W49" s="9">
        <f t="shared" si="47"/>
        <v>0</v>
      </c>
      <c r="X49" s="24">
        <f t="shared" si="6"/>
        <v>0</v>
      </c>
      <c r="Y49" s="14">
        <f t="shared" si="2"/>
        <v>3.3771000000000002E-2</v>
      </c>
      <c r="Z49" s="14">
        <f t="shared" si="3"/>
        <v>0</v>
      </c>
      <c r="AA49" s="14">
        <f t="shared" si="4"/>
        <v>0</v>
      </c>
      <c r="AB49" s="14">
        <f>VLOOKUP(A49,[3]AUM!$A$3:$B$131,2,0)/1000000</f>
        <v>3.3771000000000002E-2</v>
      </c>
      <c r="AC49" s="14">
        <f>VLOOKUP(A49,'[3]Last Aum File'!$A$2:$B$126,2,0)/1000000</f>
        <v>3.3771000000000002E-2</v>
      </c>
      <c r="AD49" s="14">
        <f t="shared" si="5"/>
        <v>0</v>
      </c>
    </row>
    <row r="50" spans="1:30" x14ac:dyDescent="0.25">
      <c r="A50" t="s">
        <v>5</v>
      </c>
      <c r="B50" t="s">
        <v>1737</v>
      </c>
      <c r="C50" t="s">
        <v>158</v>
      </c>
      <c r="D50" t="s">
        <v>1820</v>
      </c>
      <c r="E50" t="s">
        <v>1739</v>
      </c>
      <c r="F50" t="str">
        <f>VLOOKUP(A50,'[1]Model portfolios'!$A$2:$L$142,2,FALSE)</f>
        <v>From Risk - Fund Responsibility - Model Portfolios</v>
      </c>
      <c r="G50" s="8" t="str">
        <f>VLOOKUP($A50,'[2]Desk mapping'!$G:$L,5,FALSE)</f>
        <v>Allocation Driven Strategies</v>
      </c>
      <c r="H50" t="str">
        <f>VLOOKUP($A50,'[2]Desk mapping'!$G:$L,6,FALSE)</f>
        <v>Conservative</v>
      </c>
      <c r="K50" t="s">
        <v>231</v>
      </c>
      <c r="L50" t="s">
        <v>233</v>
      </c>
      <c r="M50" t="s">
        <v>236</v>
      </c>
      <c r="O50" s="3">
        <f>VLOOKUP(A50,'Audit AUM File'!A:B,2,FALSE)</f>
        <v>126520197.485156</v>
      </c>
      <c r="P50" s="3">
        <f>VLOOKUP(A50,[3]AUM!$A$3:$B$131,2,0)</f>
        <v>23564</v>
      </c>
      <c r="R50" s="15" t="b">
        <f>+IF(D50="",VLOOKUP(A50,'[2]Pivot for Jun AUM'!$A$5:$B$121,2,FALSE))</f>
        <v>0</v>
      </c>
      <c r="T50" s="23"/>
      <c r="U50" s="23">
        <f>VLOOKUP(A50,'[3]Last Aum File'!$A$2:$B$1262,2,0)</f>
        <v>23564</v>
      </c>
      <c r="V50" s="14">
        <f t="shared" si="1"/>
        <v>2.3564000000000002E-2</v>
      </c>
      <c r="W50" s="9">
        <f t="shared" si="47"/>
        <v>0</v>
      </c>
      <c r="X50" s="24">
        <f t="shared" si="6"/>
        <v>0</v>
      </c>
      <c r="Y50" s="14">
        <f t="shared" si="2"/>
        <v>2.3564000000000002E-2</v>
      </c>
      <c r="Z50" s="14">
        <f t="shared" si="3"/>
        <v>0</v>
      </c>
      <c r="AA50" s="14">
        <f t="shared" si="4"/>
        <v>0</v>
      </c>
      <c r="AB50" s="14">
        <f>VLOOKUP(A50,[3]AUM!$A$3:$B$131,2,0)/1000000</f>
        <v>2.3564000000000002E-2</v>
      </c>
      <c r="AC50" s="14">
        <f>VLOOKUP(A50,'[3]Last Aum File'!$A$2:$B$126,2,0)/1000000</f>
        <v>2.3564000000000002E-2</v>
      </c>
      <c r="AD50" s="14">
        <f t="shared" si="5"/>
        <v>0</v>
      </c>
    </row>
    <row r="51" spans="1:30" x14ac:dyDescent="0.25">
      <c r="A51" t="s">
        <v>153</v>
      </c>
      <c r="B51" t="s">
        <v>1737</v>
      </c>
      <c r="C51" t="s">
        <v>228</v>
      </c>
      <c r="D51" t="s">
        <v>1820</v>
      </c>
      <c r="E51" t="s">
        <v>1739</v>
      </c>
      <c r="F51" t="str">
        <f>VLOOKUP(A51,'[1]Model portfolios'!$A$2:$L$142,2,FALSE)</f>
        <v>From Risk - Fund Responsibility - Model Portfolios</v>
      </c>
      <c r="G51" t="str">
        <f>VLOOKUP($A51,'[2]Desk mapping'!$G:$L,5,FALSE)</f>
        <v>Allocation Driven Strategies</v>
      </c>
      <c r="H51" t="str">
        <f>VLOOKUP($A51,'[2]Desk mapping'!$G:$L,6,FALSE)</f>
        <v>Conservative</v>
      </c>
      <c r="K51" t="s">
        <v>231</v>
      </c>
      <c r="L51" t="s">
        <v>233</v>
      </c>
      <c r="M51" t="s">
        <v>236</v>
      </c>
      <c r="O51" s="3">
        <f>VLOOKUP(A51,'Audit AUM File'!A:B,2,FALSE)</f>
        <v>156344307.007341</v>
      </c>
      <c r="P51" s="3">
        <f>VLOOKUP(A51,[3]AUM!$A$3:$B$131,2,0)</f>
        <v>86278219</v>
      </c>
      <c r="R51" s="15" t="b">
        <f>+IF(D51="",VLOOKUP(A51,'[2]Pivot for Jun AUM'!$A$5:$B$121,2,FALSE))</f>
        <v>0</v>
      </c>
      <c r="T51" s="23">
        <f>VLOOKUP(A51,[4]Flows!$A$3:$D$1206,4,0)</f>
        <v>-4047481.4800000009</v>
      </c>
      <c r="U51" s="23">
        <f>VLOOKUP(A51,'[3]Last Aum File'!$A$2:$B$1262,2,0)</f>
        <v>89492990</v>
      </c>
      <c r="V51" s="14">
        <f t="shared" si="1"/>
        <v>89.492990000000006</v>
      </c>
      <c r="W51" s="9">
        <f t="shared" si="47"/>
        <v>-3214771</v>
      </c>
      <c r="X51" s="24">
        <f t="shared" si="6"/>
        <v>-3214771</v>
      </c>
      <c r="Y51" s="14">
        <f t="shared" si="2"/>
        <v>86.278219000000007</v>
      </c>
      <c r="Z51" s="14">
        <f t="shared" si="3"/>
        <v>-3.2147709999999998</v>
      </c>
      <c r="AA51" s="14">
        <f t="shared" si="4"/>
        <v>-4.047481480000001</v>
      </c>
      <c r="AB51" s="14">
        <f>VLOOKUP(A51,[3]AUM!$A$3:$B$131,2,0)/1000000</f>
        <v>86.278219000000007</v>
      </c>
      <c r="AC51" s="14">
        <f>VLOOKUP(A51,'[3]Last Aum File'!$A$2:$B$126,2,0)/1000000</f>
        <v>89.492990000000006</v>
      </c>
      <c r="AD51" s="14">
        <f t="shared" si="5"/>
        <v>-3.2147709999999989</v>
      </c>
    </row>
    <row r="52" spans="1:30" x14ac:dyDescent="0.25">
      <c r="A52" t="s">
        <v>16</v>
      </c>
      <c r="B52" t="s">
        <v>1737</v>
      </c>
      <c r="C52" t="s">
        <v>164</v>
      </c>
      <c r="D52" t="s">
        <v>1820</v>
      </c>
      <c r="E52" t="s">
        <v>1739</v>
      </c>
      <c r="F52" t="str">
        <f>VLOOKUP(A52,'[1]Model portfolios'!$A$2:$L$142,2,FALSE)</f>
        <v>From Risk - Fund Responsibility - Model Portfolios</v>
      </c>
      <c r="G52" t="str">
        <f>VLOOKUP($A52,'[2]Desk mapping'!$G:$L,5,FALSE)</f>
        <v>Allocation Driven Strategies</v>
      </c>
      <c r="H52" t="str">
        <f>VLOOKUP($A52,'[2]Desk mapping'!$G:$L,6,FALSE)</f>
        <v>Flexible</v>
      </c>
      <c r="K52" t="s">
        <v>231</v>
      </c>
      <c r="L52" t="s">
        <v>233</v>
      </c>
      <c r="M52" t="s">
        <v>236</v>
      </c>
      <c r="O52" s="3">
        <f>VLOOKUP(A52,'Audit AUM File'!A:B,2,FALSE)</f>
        <v>123139636.995855</v>
      </c>
      <c r="P52" s="3">
        <f>VLOOKUP(A52,[3]AUM!$A$3:$B$131,2,0)</f>
        <v>24819922</v>
      </c>
      <c r="R52" s="15" t="b">
        <f>+IF(D52="",VLOOKUP(A52,'[2]Pivot for Jun AUM'!$A$5:$B$121,2,FALSE))</f>
        <v>0</v>
      </c>
      <c r="T52" s="23">
        <f>VLOOKUP(A52,[4]Flows!$A$3:$D$1206,4,0)</f>
        <v>-916591.71999999974</v>
      </c>
      <c r="U52" s="23">
        <f>VLOOKUP(A52,'[3]Last Aum File'!$A$2:$B$1262,2,0)</f>
        <v>25631869</v>
      </c>
      <c r="V52" s="14">
        <f t="shared" si="1"/>
        <v>25.631868999999998</v>
      </c>
      <c r="W52" s="9">
        <f t="shared" si="47"/>
        <v>-811947</v>
      </c>
      <c r="X52" s="24">
        <f t="shared" si="6"/>
        <v>-811947</v>
      </c>
      <c r="Y52" s="14">
        <f t="shared" si="2"/>
        <v>24.819921999999998</v>
      </c>
      <c r="Z52" s="14">
        <f t="shared" si="3"/>
        <v>-0.81194699999999997</v>
      </c>
      <c r="AA52" s="14">
        <f t="shared" si="4"/>
        <v>-0.91659171999999978</v>
      </c>
      <c r="AB52" s="14">
        <f>VLOOKUP(A52,[3]AUM!$A$3:$B$131,2,0)/1000000</f>
        <v>24.819921999999998</v>
      </c>
      <c r="AC52" s="14">
        <f>VLOOKUP(A52,'[3]Last Aum File'!$A$2:$B$126,2,0)/1000000</f>
        <v>25.631868999999998</v>
      </c>
      <c r="AD52" s="14">
        <f t="shared" si="5"/>
        <v>-0.81194699999999997</v>
      </c>
    </row>
    <row r="53" spans="1:30" x14ac:dyDescent="0.25">
      <c r="A53" t="s">
        <v>15</v>
      </c>
      <c r="B53" t="s">
        <v>1737</v>
      </c>
      <c r="C53" t="s">
        <v>163</v>
      </c>
      <c r="D53" t="s">
        <v>1820</v>
      </c>
      <c r="E53" t="s">
        <v>1739</v>
      </c>
      <c r="F53" t="str">
        <f>VLOOKUP(A53,'[1]Model portfolios'!$A$2:$L$142,2,FALSE)</f>
        <v>From Risk - Fund Responsibility - Model Portfolios</v>
      </c>
      <c r="G53" t="str">
        <f>VLOOKUP($A53,'[2]Desk mapping'!$G:$L,5,FALSE)</f>
        <v>Allocation Driven Strategies</v>
      </c>
      <c r="H53" t="str">
        <f>VLOOKUP($A53,'[2]Desk mapping'!$G:$L,6,FALSE)</f>
        <v>Conservative</v>
      </c>
      <c r="K53" t="s">
        <v>231</v>
      </c>
      <c r="L53" t="s">
        <v>233</v>
      </c>
      <c r="M53" t="s">
        <v>236</v>
      </c>
      <c r="O53" s="3">
        <f>VLOOKUP(A53,'Audit AUM File'!A:B,2,FALSE)</f>
        <v>121277565.483007</v>
      </c>
      <c r="P53" s="3">
        <f>VLOOKUP(A53,[3]AUM!$A$3:$B$131,2,0)</f>
        <v>87573063</v>
      </c>
      <c r="R53" s="15" t="b">
        <f>+IF(D53="",VLOOKUP(A53,'[2]Pivot for Jun AUM'!$A$5:$B$121,2,FALSE))</f>
        <v>0</v>
      </c>
      <c r="T53" s="23">
        <f>VLOOKUP(A53,[4]Flows!$A$3:$D$1206,4,0)</f>
        <v>-4628998.620000001</v>
      </c>
      <c r="U53" s="23">
        <f>VLOOKUP(A53,'[3]Last Aum File'!$A$2:$B$1262,2,0)</f>
        <v>91452737</v>
      </c>
      <c r="V53" s="14">
        <f t="shared" si="1"/>
        <v>91.452736999999999</v>
      </c>
      <c r="W53" s="9">
        <f t="shared" si="47"/>
        <v>-3879674</v>
      </c>
      <c r="X53" s="24">
        <f t="shared" si="6"/>
        <v>-3879674</v>
      </c>
      <c r="Y53" s="14">
        <f t="shared" si="2"/>
        <v>87.573063000000005</v>
      </c>
      <c r="Z53" s="14">
        <f t="shared" si="3"/>
        <v>-3.8796740000000001</v>
      </c>
      <c r="AA53" s="14">
        <f t="shared" si="4"/>
        <v>-4.6289986200000008</v>
      </c>
      <c r="AB53" s="14">
        <f>VLOOKUP(A53,[3]AUM!$A$3:$B$131,2,0)/1000000</f>
        <v>87.573063000000005</v>
      </c>
      <c r="AC53" s="14">
        <f>VLOOKUP(A53,'[3]Last Aum File'!$A$2:$B$126,2,0)/1000000</f>
        <v>91.452736999999999</v>
      </c>
      <c r="AD53" s="14">
        <f t="shared" si="5"/>
        <v>-3.8796739999999943</v>
      </c>
    </row>
    <row r="54" spans="1:30" x14ac:dyDescent="0.25">
      <c r="A54" t="s">
        <v>23</v>
      </c>
      <c r="B54" t="s">
        <v>1737</v>
      </c>
      <c r="C54" t="s">
        <v>168</v>
      </c>
      <c r="D54" t="s">
        <v>1820</v>
      </c>
      <c r="E54" t="s">
        <v>1739</v>
      </c>
      <c r="F54" t="str">
        <f>VLOOKUP(A54,'[1]Model portfolios'!$A$2:$L$142,2,FALSE)</f>
        <v>From Risk - Fund Responsibility - Model Portfolios</v>
      </c>
      <c r="G54" t="str">
        <f>VLOOKUP($A54,'[2]Desk mapping'!$G:$L,5,FALSE)</f>
        <v>Allocation Driven Strategies</v>
      </c>
      <c r="H54" t="str">
        <f>VLOOKUP($A54,'[2]Desk mapping'!$G:$L,6,FALSE)</f>
        <v>Flexible</v>
      </c>
      <c r="K54" t="s">
        <v>231</v>
      </c>
      <c r="L54" t="s">
        <v>233</v>
      </c>
      <c r="M54" t="s">
        <v>236</v>
      </c>
      <c r="O54" s="3">
        <f>VLOOKUP(A54,'Audit AUM File'!A:B,2,FALSE)</f>
        <v>203127455.50508699</v>
      </c>
      <c r="P54" s="3">
        <f>VLOOKUP(A54,[3]AUM!$A$3:$B$131,2,0)</f>
        <v>33652386</v>
      </c>
      <c r="R54" s="15" t="b">
        <f>+IF(D54="",VLOOKUP(A54,'[2]Pivot for Jun AUM'!$A$5:$B$121,2,FALSE))</f>
        <v>0</v>
      </c>
      <c r="T54" s="23">
        <f>VLOOKUP(A54,[4]Flows!$A$3:$D$1206,4,0)</f>
        <v>-373108.55999999994</v>
      </c>
      <c r="U54" s="23">
        <f>VLOOKUP(A54,'[3]Last Aum File'!$A$2:$B$1262,2,0)</f>
        <v>33951455</v>
      </c>
      <c r="V54" s="14">
        <f t="shared" si="1"/>
        <v>33.951455000000003</v>
      </c>
      <c r="W54" s="9">
        <f t="shared" si="47"/>
        <v>-299069</v>
      </c>
      <c r="X54" s="24">
        <f t="shared" si="6"/>
        <v>-299069</v>
      </c>
      <c r="Y54" s="14">
        <f t="shared" si="2"/>
        <v>33.652386</v>
      </c>
      <c r="Z54" s="14">
        <f t="shared" si="3"/>
        <v>-0.29906899999999997</v>
      </c>
      <c r="AA54" s="14">
        <f t="shared" si="4"/>
        <v>-0.37310855999999992</v>
      </c>
      <c r="AB54" s="14">
        <f>VLOOKUP(A54,[3]AUM!$A$3:$B$131,2,0)/1000000</f>
        <v>33.652386</v>
      </c>
      <c r="AC54" s="14">
        <f>VLOOKUP(A54,'[3]Last Aum File'!$A$2:$B$126,2,0)/1000000</f>
        <v>33.951455000000003</v>
      </c>
      <c r="AD54" s="14">
        <f t="shared" si="5"/>
        <v>-0.29906900000000292</v>
      </c>
    </row>
    <row r="55" spans="1:30" x14ac:dyDescent="0.25">
      <c r="A55" t="s">
        <v>31</v>
      </c>
      <c r="B55" t="s">
        <v>1737</v>
      </c>
      <c r="C55" t="s">
        <v>170</v>
      </c>
      <c r="D55" t="s">
        <v>1820</v>
      </c>
      <c r="E55" t="s">
        <v>1739</v>
      </c>
      <c r="F55" t="str">
        <f>VLOOKUP(A55,'[1]Model portfolios'!$A$2:$L$142,2,FALSE)</f>
        <v>From Risk - Fund Responsibility - Model Portfolios</v>
      </c>
      <c r="G55" t="str">
        <f>VLOOKUP($A55,'[2]Desk mapping'!$G:$L,5,FALSE)</f>
        <v>Allocation Driven Strategies</v>
      </c>
      <c r="H55" t="str">
        <f>VLOOKUP($A55,'[2]Desk mapping'!$G:$L,6,FALSE)</f>
        <v>Moderate</v>
      </c>
      <c r="K55" t="s">
        <v>231</v>
      </c>
      <c r="L55" t="s">
        <v>233</v>
      </c>
      <c r="M55" t="s">
        <v>236</v>
      </c>
      <c r="O55" s="3">
        <f>VLOOKUP(A55,'Audit AUM File'!A:B,2,FALSE)</f>
        <v>171772844.79818401</v>
      </c>
      <c r="P55" s="3">
        <f>VLOOKUP(A55,[3]AUM!$A$3:$B$131,2,0)</f>
        <v>10517233</v>
      </c>
      <c r="R55" s="15" t="b">
        <f>+IF(D55="",VLOOKUP(A55,'[2]Pivot for Jun AUM'!$A$5:$B$121,2,FALSE))</f>
        <v>0</v>
      </c>
      <c r="T55" s="23">
        <f>VLOOKUP(A55,[4]Flows!$A$3:$D$1206,4,0)</f>
        <v>-614112.52</v>
      </c>
      <c r="U55" s="23">
        <f>VLOOKUP(A55,'[3]Last Aum File'!$A$2:$B$1262,2,0)</f>
        <v>11114645</v>
      </c>
      <c r="V55" s="14">
        <f t="shared" si="1"/>
        <v>11.114644999999999</v>
      </c>
      <c r="W55" s="9">
        <f t="shared" si="47"/>
        <v>-597412</v>
      </c>
      <c r="X55" s="24">
        <f t="shared" si="6"/>
        <v>-597412</v>
      </c>
      <c r="Y55" s="14">
        <f t="shared" si="2"/>
        <v>10.517232999999999</v>
      </c>
      <c r="Z55" s="14">
        <f t="shared" si="3"/>
        <v>-0.59741200000000005</v>
      </c>
      <c r="AA55" s="14">
        <f t="shared" si="4"/>
        <v>-0.61411252000000005</v>
      </c>
      <c r="AB55" s="14">
        <f>VLOOKUP(A55,[3]AUM!$A$3:$B$131,2,0)/1000000</f>
        <v>10.517232999999999</v>
      </c>
      <c r="AC55" s="14">
        <f>VLOOKUP(A55,'[3]Last Aum File'!$A$2:$B$126,2,0)/1000000</f>
        <v>11.114644999999999</v>
      </c>
      <c r="AD55" s="14">
        <f t="shared" si="5"/>
        <v>-0.59741200000000028</v>
      </c>
    </row>
    <row r="56" spans="1:30" x14ac:dyDescent="0.25">
      <c r="A56" t="s">
        <v>104</v>
      </c>
      <c r="B56" t="s">
        <v>1737</v>
      </c>
      <c r="C56" t="s">
        <v>203</v>
      </c>
      <c r="D56" t="s">
        <v>1820</v>
      </c>
      <c r="E56" t="s">
        <v>1739</v>
      </c>
      <c r="F56" t="str">
        <f>VLOOKUP(A56,'[1]Model portfolios'!$A$2:$L$142,2,FALSE)</f>
        <v>From Risk - Fund Responsibility - Model Portfolios</v>
      </c>
      <c r="G56" t="str">
        <f>VLOOKUP($A56,'[2]Desk mapping'!$G:$L,5,FALSE)</f>
        <v>Allocation Driven Strategies</v>
      </c>
      <c r="H56" t="str">
        <f>VLOOKUP($A56,'[2]Desk mapping'!$G:$L,6,FALSE)</f>
        <v>Moderate</v>
      </c>
      <c r="K56" t="s">
        <v>231</v>
      </c>
      <c r="L56" t="s">
        <v>233</v>
      </c>
      <c r="M56" t="s">
        <v>236</v>
      </c>
      <c r="O56" s="3">
        <f>VLOOKUP(A56,'Audit AUM File'!A:B,2,FALSE)</f>
        <v>173815813.46287501</v>
      </c>
      <c r="P56" s="3">
        <f>VLOOKUP(A56,[3]AUM!$A$3:$B$131,2,0)</f>
        <v>17251250</v>
      </c>
      <c r="R56" s="15" t="b">
        <f>+IF(D56="",VLOOKUP(A56,'[2]Pivot for Jun AUM'!$A$5:$B$121,2,FALSE))</f>
        <v>0</v>
      </c>
      <c r="T56" s="23">
        <f>VLOOKUP(A56,[4]Flows!$A$3:$D$1206,4,0)</f>
        <v>-514722.49999999988</v>
      </c>
      <c r="U56" s="23">
        <f>VLOOKUP(A56,'[3]Last Aum File'!$A$2:$B$1262,2,0)</f>
        <v>17726631</v>
      </c>
      <c r="V56" s="14">
        <f t="shared" si="1"/>
        <v>17.726631000000001</v>
      </c>
      <c r="W56" s="9">
        <f t="shared" si="47"/>
        <v>-475381</v>
      </c>
      <c r="X56" s="24">
        <f t="shared" si="6"/>
        <v>-475381</v>
      </c>
      <c r="Y56" s="14">
        <f t="shared" si="2"/>
        <v>17.251249999999999</v>
      </c>
      <c r="Z56" s="14">
        <f t="shared" si="3"/>
        <v>-0.475381</v>
      </c>
      <c r="AA56" s="14">
        <f t="shared" si="4"/>
        <v>-0.51472249999999986</v>
      </c>
      <c r="AB56" s="14">
        <f>VLOOKUP(A56,[3]AUM!$A$3:$B$131,2,0)/1000000</f>
        <v>17.251249999999999</v>
      </c>
      <c r="AC56" s="14">
        <f>VLOOKUP(A56,'[3]Last Aum File'!$A$2:$B$126,2,0)/1000000</f>
        <v>17.726631000000001</v>
      </c>
      <c r="AD56" s="14">
        <f t="shared" si="5"/>
        <v>-0.47538100000000227</v>
      </c>
    </row>
    <row r="57" spans="1:30" x14ac:dyDescent="0.25">
      <c r="A57" t="s">
        <v>57</v>
      </c>
      <c r="B57" t="s">
        <v>1737</v>
      </c>
      <c r="C57" t="s">
        <v>181</v>
      </c>
      <c r="D57" t="s">
        <v>1820</v>
      </c>
      <c r="E57" t="s">
        <v>1739</v>
      </c>
      <c r="F57" t="str">
        <f>VLOOKUP(A57,'[1]Model portfolios'!$A$2:$L$142,2,FALSE)</f>
        <v>From Risk - Fund Responsibility - Model Portfolios</v>
      </c>
      <c r="G57" t="str">
        <f>VLOOKUP($A57,'[2]Desk mapping'!$G:$L,5,FALSE)</f>
        <v>Allocation Driven Strategies</v>
      </c>
      <c r="H57" t="str">
        <f>VLOOKUP($A57,'[2]Desk mapping'!$G:$L,6,FALSE)</f>
        <v>Growth</v>
      </c>
      <c r="K57" t="s">
        <v>231</v>
      </c>
      <c r="L57" t="s">
        <v>233</v>
      </c>
      <c r="M57" t="s">
        <v>236</v>
      </c>
      <c r="O57" s="3">
        <f>VLOOKUP(A57,'Audit AUM File'!A:B,2,FALSE)</f>
        <v>178110589.65588099</v>
      </c>
      <c r="P57" s="3">
        <f>VLOOKUP(A57,[3]AUM!$A$3:$B$131,2,0)</f>
        <v>18063937</v>
      </c>
      <c r="R57" s="15" t="b">
        <f>+IF(D57="",VLOOKUP(A57,'[2]Pivot for Jun AUM'!$A$5:$B$121,2,FALSE))</f>
        <v>0</v>
      </c>
      <c r="T57" s="23">
        <f>VLOOKUP(A57,[4]Flows!$A$3:$D$1206,4,0)</f>
        <v>-905874.80999999994</v>
      </c>
      <c r="U57" s="23">
        <f>VLOOKUP(A57,'[3]Last Aum File'!$A$2:$B$1262,2,0)</f>
        <v>19013976</v>
      </c>
      <c r="V57" s="14">
        <f t="shared" si="1"/>
        <v>19.013976</v>
      </c>
      <c r="W57" s="9">
        <f t="shared" ref="W57:W88" si="72">+IF(OR(A57="HF11",A57="PACIFAI"),0,IF(A57="MUSG",P57-U57/2,P57-U57))</f>
        <v>-950039</v>
      </c>
      <c r="X57" s="24">
        <f t="shared" si="6"/>
        <v>-950039</v>
      </c>
      <c r="Y57" s="14">
        <f t="shared" si="2"/>
        <v>18.063936999999999</v>
      </c>
      <c r="Z57" s="14">
        <f t="shared" si="3"/>
        <v>-0.95003899999999997</v>
      </c>
      <c r="AA57" s="14">
        <f t="shared" si="4"/>
        <v>-0.90587480999999992</v>
      </c>
      <c r="AB57" s="14">
        <f>VLOOKUP(A57,[3]AUM!$A$3:$B$131,2,0)/1000000</f>
        <v>18.063936999999999</v>
      </c>
      <c r="AC57" s="14">
        <f>VLOOKUP(A57,'[3]Last Aum File'!$A$2:$B$126,2,0)/1000000</f>
        <v>19.013976</v>
      </c>
      <c r="AD57" s="14">
        <f t="shared" si="5"/>
        <v>-0.9500390000000003</v>
      </c>
    </row>
    <row r="58" spans="1:30" x14ac:dyDescent="0.25">
      <c r="A58" t="s">
        <v>55</v>
      </c>
      <c r="B58" t="s">
        <v>1737</v>
      </c>
      <c r="C58" t="s">
        <v>179</v>
      </c>
      <c r="D58" t="s">
        <v>1820</v>
      </c>
      <c r="E58" t="s">
        <v>1739</v>
      </c>
      <c r="F58" t="str">
        <f>VLOOKUP(A58,'[1]Model portfolios'!$A$2:$L$142,2,FALSE)</f>
        <v>From Risk - Fund Responsibility - Model Portfolios</v>
      </c>
      <c r="G58" t="str">
        <f>VLOOKUP($A58,'[2]Desk mapping'!$G:$L,5,FALSE)</f>
        <v>Allocation Driven Strategies</v>
      </c>
      <c r="H58" t="str">
        <f>VLOOKUP($A58,'[2]Desk mapping'!$G:$L,6,FALSE)</f>
        <v>Conservative</v>
      </c>
      <c r="K58" t="s">
        <v>231</v>
      </c>
      <c r="L58" t="s">
        <v>233</v>
      </c>
      <c r="M58" t="s">
        <v>236</v>
      </c>
      <c r="O58" s="3">
        <f>VLOOKUP(A58,'Audit AUM File'!A:B,2,FALSE)</f>
        <v>160292239.99039599</v>
      </c>
      <c r="P58" s="3">
        <f>VLOOKUP(A58,[3]AUM!$A$3:$B$131,2,0)</f>
        <v>12030736</v>
      </c>
      <c r="R58" s="15" t="b">
        <f>+IF(D58="",VLOOKUP(A58,'[2]Pivot for Jun AUM'!$A$5:$B$121,2,FALSE))</f>
        <v>0</v>
      </c>
      <c r="T58" s="23">
        <f>VLOOKUP(A58,[4]Flows!$A$3:$D$1206,4,0)</f>
        <v>-668763.87000000011</v>
      </c>
      <c r="U58" s="23">
        <f>VLOOKUP(A58,'[3]Last Aum File'!$A$2:$B$1262,2,0)</f>
        <v>12689996</v>
      </c>
      <c r="V58" s="14">
        <f t="shared" si="1"/>
        <v>12.689996000000001</v>
      </c>
      <c r="W58" s="9">
        <f t="shared" si="72"/>
        <v>-659260</v>
      </c>
      <c r="X58" s="24">
        <f t="shared" si="6"/>
        <v>-659260</v>
      </c>
      <c r="Y58" s="14">
        <f t="shared" si="2"/>
        <v>12.030735999999999</v>
      </c>
      <c r="Z58" s="14">
        <f t="shared" si="3"/>
        <v>-0.65925999999999996</v>
      </c>
      <c r="AA58" s="14">
        <f t="shared" si="4"/>
        <v>-0.66876387000000015</v>
      </c>
      <c r="AB58" s="14">
        <f>VLOOKUP(A58,[3]AUM!$A$3:$B$131,2,0)/1000000</f>
        <v>12.030735999999999</v>
      </c>
      <c r="AC58" s="14">
        <f>VLOOKUP(A58,'[3]Last Aum File'!$A$2:$B$126,2,0)/1000000</f>
        <v>12.689996000000001</v>
      </c>
      <c r="AD58" s="14">
        <f t="shared" si="5"/>
        <v>-0.65926000000000151</v>
      </c>
    </row>
    <row r="59" spans="1:30" x14ac:dyDescent="0.25">
      <c r="A59" t="s">
        <v>56</v>
      </c>
      <c r="B59" t="s">
        <v>1737</v>
      </c>
      <c r="C59" t="s">
        <v>180</v>
      </c>
      <c r="D59" t="s">
        <v>1820</v>
      </c>
      <c r="E59" t="s">
        <v>1739</v>
      </c>
      <c r="F59" t="str">
        <f>VLOOKUP(A59,'[1]Model portfolios'!$A$2:$L$142,2,FALSE)</f>
        <v>From Risk - Fund Responsibility - Model Portfolios</v>
      </c>
      <c r="G59" t="str">
        <f>VLOOKUP($A59,'[2]Desk mapping'!$G:$L,5,FALSE)</f>
        <v>Allocation Driven Strategies</v>
      </c>
      <c r="H59" t="str">
        <f>VLOOKUP($A59,'[2]Desk mapping'!$G:$L,6,FALSE)</f>
        <v>Conservative</v>
      </c>
      <c r="K59" t="s">
        <v>231</v>
      </c>
      <c r="L59" t="s">
        <v>233</v>
      </c>
      <c r="M59" t="s">
        <v>236</v>
      </c>
      <c r="O59" s="3">
        <f>VLOOKUP(A59,'Audit AUM File'!A:B,2,FALSE)</f>
        <v>170166928.79846799</v>
      </c>
      <c r="P59" s="3">
        <f>VLOOKUP(A59,[3]AUM!$A$3:$B$131,2,0)</f>
        <v>15554245</v>
      </c>
      <c r="R59" s="15" t="b">
        <f>+IF(D59="",VLOOKUP(A59,'[2]Pivot for Jun AUM'!$A$5:$B$121,2,FALSE))</f>
        <v>0</v>
      </c>
      <c r="T59" s="23">
        <f>VLOOKUP(A59,[4]Flows!$A$3:$D$1206,4,0)</f>
        <v>-673150.85</v>
      </c>
      <c r="U59" s="23">
        <f>VLOOKUP(A59,'[3]Last Aum File'!$A$2:$B$1262,2,0)</f>
        <v>16167560</v>
      </c>
      <c r="V59" s="14">
        <f t="shared" si="1"/>
        <v>16.167560000000002</v>
      </c>
      <c r="W59" s="9">
        <f t="shared" si="72"/>
        <v>-613315</v>
      </c>
      <c r="X59" s="24">
        <f t="shared" si="6"/>
        <v>-613315</v>
      </c>
      <c r="Y59" s="14">
        <f t="shared" si="2"/>
        <v>15.554245</v>
      </c>
      <c r="Z59" s="14">
        <f t="shared" si="3"/>
        <v>-0.61331500000000005</v>
      </c>
      <c r="AA59" s="14">
        <f t="shared" si="4"/>
        <v>-0.67315084999999997</v>
      </c>
      <c r="AB59" s="14">
        <f>VLOOKUP(A59,[3]AUM!$A$3:$B$131,2,0)/1000000</f>
        <v>15.554245</v>
      </c>
      <c r="AC59" s="14">
        <f>VLOOKUP(A59,'[3]Last Aum File'!$A$2:$B$1026,2,0)/1000000</f>
        <v>16.167560000000002</v>
      </c>
      <c r="AD59" s="14">
        <f t="shared" si="5"/>
        <v>-0.61331500000000183</v>
      </c>
    </row>
    <row r="60" spans="1:30" x14ac:dyDescent="0.25">
      <c r="A60" t="s">
        <v>32</v>
      </c>
      <c r="B60" t="s">
        <v>1737</v>
      </c>
      <c r="C60" t="s">
        <v>171</v>
      </c>
      <c r="D60" t="s">
        <v>1820</v>
      </c>
      <c r="E60" t="s">
        <v>1739</v>
      </c>
      <c r="F60" t="str">
        <f>VLOOKUP(A60,'[1]Model portfolios'!$A$2:$L$142,2,FALSE)</f>
        <v>From Risk - Fund Responsibility - Model Portfolios</v>
      </c>
      <c r="G60" t="str">
        <f>VLOOKUP($A60,'[2]Desk mapping'!$G:$L,5,FALSE)</f>
        <v>Allocation Driven Strategies</v>
      </c>
      <c r="H60" t="str">
        <f>VLOOKUP($A60,'[2]Desk mapping'!$G:$L,6,FALSE)</f>
        <v>Moderate</v>
      </c>
      <c r="K60" t="s">
        <v>231</v>
      </c>
      <c r="L60" t="s">
        <v>233</v>
      </c>
      <c r="M60" t="s">
        <v>236</v>
      </c>
      <c r="O60" s="3">
        <f>VLOOKUP(A60,'Audit AUM File'!A:B,2,FALSE)</f>
        <v>143350273.71078199</v>
      </c>
      <c r="P60" s="3">
        <f>VLOOKUP(A60,[3]AUM!$A$3:$B$131,2,0)</f>
        <v>1363503</v>
      </c>
      <c r="R60" s="15" t="b">
        <f>+IF(D60="",VLOOKUP(A60,'[2]Pivot for Jun AUM'!$A$5:$B$121,2,FALSE))</f>
        <v>0</v>
      </c>
      <c r="T60" s="23">
        <f>VLOOKUP(A60,[4]Flows!$A$3:$D$1206,4,0)</f>
        <v>-8576.35</v>
      </c>
      <c r="U60" s="23">
        <f>VLOOKUP(A60,'[3]Last Aum File'!$A$2:$B$1262,2,0)</f>
        <v>1364632</v>
      </c>
      <c r="V60" s="14">
        <f t="shared" si="1"/>
        <v>1.3646320000000001</v>
      </c>
      <c r="W60" s="9">
        <f t="shared" si="72"/>
        <v>-1129</v>
      </c>
      <c r="X60" s="24">
        <f t="shared" si="6"/>
        <v>-1129</v>
      </c>
      <c r="Y60" s="14">
        <f t="shared" si="2"/>
        <v>1.3635029999999999</v>
      </c>
      <c r="Z60" s="14">
        <f t="shared" si="3"/>
        <v>-1.129E-3</v>
      </c>
      <c r="AA60" s="14">
        <f t="shared" si="4"/>
        <v>-8.5763499999999999E-3</v>
      </c>
      <c r="AB60" s="14">
        <f>VLOOKUP(A60,[3]AUM!$A$3:$B$131,2,0)/1000000</f>
        <v>1.3635029999999999</v>
      </c>
      <c r="AC60" s="14">
        <f>VLOOKUP(A60,'[3]Last Aum File'!$A$2:$B$126,2,0)/1000000</f>
        <v>1.3646320000000001</v>
      </c>
      <c r="AD60" s="14">
        <f t="shared" si="5"/>
        <v>-1.1290000000001577E-3</v>
      </c>
    </row>
    <row r="61" spans="1:30" x14ac:dyDescent="0.25">
      <c r="A61" t="s">
        <v>58</v>
      </c>
      <c r="B61" t="s">
        <v>1737</v>
      </c>
      <c r="C61" t="s">
        <v>182</v>
      </c>
      <c r="D61" t="s">
        <v>1820</v>
      </c>
      <c r="E61" t="s">
        <v>1739</v>
      </c>
      <c r="F61" t="str">
        <f>VLOOKUP(A61,'[1]Model portfolios'!$A$2:$L$142,2,FALSE)</f>
        <v>From Risk - Fund Responsibility - Model Portfolios</v>
      </c>
      <c r="G61" t="str">
        <f>VLOOKUP($A61,'[2]Desk mapping'!$G:$L,5,FALSE)</f>
        <v>Allocation Driven Strategies</v>
      </c>
      <c r="H61" t="str">
        <f>VLOOKUP($A61,'[2]Desk mapping'!$G:$L,6,FALSE)</f>
        <v>Moderate</v>
      </c>
      <c r="K61" t="s">
        <v>231</v>
      </c>
      <c r="L61" t="s">
        <v>233</v>
      </c>
      <c r="M61" t="s">
        <v>236</v>
      </c>
      <c r="O61" s="3">
        <f>VLOOKUP(A61,'Audit AUM File'!A:B,2,FALSE)</f>
        <v>152499167.475393</v>
      </c>
      <c r="P61" s="3">
        <f>VLOOKUP(A61,[3]AUM!$A$3:$B$131,2,0)</f>
        <v>26945800</v>
      </c>
      <c r="R61" s="15" t="b">
        <f>+IF(D61="",VLOOKUP(A61,'[2]Pivot for Jun AUM'!$A$5:$B$121,2,FALSE))</f>
        <v>0</v>
      </c>
      <c r="T61" s="23">
        <f>VLOOKUP(A61,[4]Flows!$A$3:$D$1206,4,0)</f>
        <v>-155507.10000000009</v>
      </c>
      <c r="U61" s="23">
        <f>VLOOKUP(A61,'[3]Last Aum File'!$A$2:$B$1262,2,0)</f>
        <v>26955727</v>
      </c>
      <c r="V61" s="14">
        <f t="shared" si="1"/>
        <v>26.955727</v>
      </c>
      <c r="W61" s="9">
        <f t="shared" si="72"/>
        <v>-9927</v>
      </c>
      <c r="X61" s="24">
        <f t="shared" si="6"/>
        <v>-9927</v>
      </c>
      <c r="Y61" s="14">
        <f t="shared" si="2"/>
        <v>26.945799999999998</v>
      </c>
      <c r="Z61" s="14">
        <f t="shared" si="3"/>
        <v>-9.9270000000000001E-3</v>
      </c>
      <c r="AA61" s="14">
        <f t="shared" si="4"/>
        <v>-0.15550710000000009</v>
      </c>
      <c r="AB61" s="14">
        <f>VLOOKUP(A61,[3]AUM!$A$3:$B$131,2,0)/1000000</f>
        <v>26.945799999999998</v>
      </c>
      <c r="AC61" s="14">
        <f>VLOOKUP(A61,'[3]Last Aum File'!$A$2:$B$126,2,0)/1000000</f>
        <v>26.955727</v>
      </c>
      <c r="AD61" s="14">
        <f t="shared" si="5"/>
        <v>-9.9270000000011294E-3</v>
      </c>
    </row>
    <row r="62" spans="1:30" x14ac:dyDescent="0.25">
      <c r="A62" t="s">
        <v>105</v>
      </c>
      <c r="B62" t="s">
        <v>1737</v>
      </c>
      <c r="C62" t="s">
        <v>204</v>
      </c>
      <c r="D62" t="s">
        <v>1820</v>
      </c>
      <c r="E62" t="s">
        <v>1739</v>
      </c>
      <c r="F62" t="str">
        <f>VLOOKUP(A62,'[1]Model portfolios'!$A$2:$L$142,2,FALSE)</f>
        <v>From Risk - Fund Responsibility - Model Portfolios</v>
      </c>
      <c r="G62" t="str">
        <f>VLOOKUP($A62,'[2]Desk mapping'!$G:$L,5,FALSE)</f>
        <v>Allocation Driven Strategies</v>
      </c>
      <c r="H62" t="str">
        <f>VLOOKUP($A62,'[2]Desk mapping'!$G:$L,6,FALSE)</f>
        <v>Moderate</v>
      </c>
      <c r="K62" t="s">
        <v>231</v>
      </c>
      <c r="L62" t="s">
        <v>233</v>
      </c>
      <c r="M62" t="s">
        <v>236</v>
      </c>
      <c r="O62" s="3">
        <f>VLOOKUP(A62,'Audit AUM File'!A:B,2,FALSE)</f>
        <v>157395061.84757999</v>
      </c>
      <c r="P62" s="3">
        <f>VLOOKUP(A62,[3]AUM!$A$3:$B$131,2,0)</f>
        <v>795570</v>
      </c>
      <c r="R62" s="15" t="b">
        <f>+IF(D62="",VLOOKUP(A62,'[2]Pivot for Jun AUM'!$A$5:$B$121,2,FALSE))</f>
        <v>0</v>
      </c>
      <c r="T62" s="23">
        <f>VLOOKUP(A62,[4]Flows!$A$3:$D$1206,4,0)</f>
        <v>-3761.6500000000005</v>
      </c>
      <c r="U62" s="23">
        <f>VLOOKUP(A62,'[3]Last Aum File'!$A$2:$B$1262,2,0)</f>
        <v>794524</v>
      </c>
      <c r="V62" s="14">
        <f t="shared" si="1"/>
        <v>0.79452400000000001</v>
      </c>
      <c r="W62" s="9">
        <f t="shared" si="72"/>
        <v>1046</v>
      </c>
      <c r="X62" s="24">
        <f t="shared" si="6"/>
        <v>1046</v>
      </c>
      <c r="Y62" s="14">
        <f t="shared" si="2"/>
        <v>0.79557</v>
      </c>
      <c r="Z62" s="14">
        <f t="shared" si="3"/>
        <v>1.0460000000000001E-3</v>
      </c>
      <c r="AA62" s="14">
        <f t="shared" si="4"/>
        <v>-3.7616500000000005E-3</v>
      </c>
      <c r="AB62" s="14">
        <f>VLOOKUP(A62,[3]AUM!$A$3:$B$131,2,0)/1000000</f>
        <v>0.79557</v>
      </c>
      <c r="AC62" s="14">
        <f>VLOOKUP(A62,'[3]Last Aum File'!$A$2:$B$126,2,0)/1000000</f>
        <v>0.79452400000000001</v>
      </c>
      <c r="AD62" s="14">
        <f t="shared" si="5"/>
        <v>1.0459999999999914E-3</v>
      </c>
    </row>
    <row r="63" spans="1:30" x14ac:dyDescent="0.25">
      <c r="A63" t="s">
        <v>14</v>
      </c>
      <c r="B63" t="s">
        <v>1737</v>
      </c>
      <c r="C63" t="s">
        <v>162</v>
      </c>
      <c r="D63" t="s">
        <v>1820</v>
      </c>
      <c r="E63" t="s">
        <v>1739</v>
      </c>
      <c r="F63" t="str">
        <f>VLOOKUP(A63,'[1]Model portfolios'!$A$2:$L$142,2,FALSE)</f>
        <v>From Risk - Fund Responsibility - Model Portfolios</v>
      </c>
      <c r="G63" t="str">
        <f>VLOOKUP($A63,'[2]Desk mapping'!$G:$L,5,FALSE)</f>
        <v>Allocation Driven Strategies</v>
      </c>
      <c r="H63" t="str">
        <f>VLOOKUP($A63,'[2]Desk mapping'!$G:$L,6,FALSE)</f>
        <v>Flexible</v>
      </c>
      <c r="K63" t="s">
        <v>231</v>
      </c>
      <c r="L63" t="s">
        <v>233</v>
      </c>
      <c r="M63" t="s">
        <v>236</v>
      </c>
      <c r="O63" s="3">
        <f>VLOOKUP(A63,'Audit AUM File'!A:B,2,FALSE)</f>
        <v>123986749.370975</v>
      </c>
      <c r="P63" s="3">
        <f>VLOOKUP(A63,[3]AUM!$A$3:$B$131,2,0)</f>
        <v>12280450</v>
      </c>
      <c r="R63" s="15" t="b">
        <f>+IF(D63="",VLOOKUP(A63,'[2]Pivot for Jun AUM'!$A$5:$B$121,2,FALSE))</f>
        <v>0</v>
      </c>
      <c r="T63" s="23">
        <f>VLOOKUP(A63,[4]Flows!$A$3:$D$1206,4,0)</f>
        <v>-644373.75999999989</v>
      </c>
      <c r="U63" s="23">
        <f>VLOOKUP(A63,'[3]Last Aum File'!$A$2:$B$1262,2,0)</f>
        <v>12897265</v>
      </c>
      <c r="V63" s="14">
        <f t="shared" si="1"/>
        <v>12.897265000000001</v>
      </c>
      <c r="W63" s="9">
        <f t="shared" si="72"/>
        <v>-616815</v>
      </c>
      <c r="X63" s="24">
        <f t="shared" si="6"/>
        <v>-616815</v>
      </c>
      <c r="Y63" s="14">
        <f t="shared" si="2"/>
        <v>12.28045</v>
      </c>
      <c r="Z63" s="14">
        <f t="shared" si="3"/>
        <v>-0.616815</v>
      </c>
      <c r="AA63" s="14">
        <f t="shared" si="4"/>
        <v>-0.64437375999999991</v>
      </c>
      <c r="AB63" s="14">
        <f>VLOOKUP(A63,[3]AUM!$A$3:$B$131,2,0)/1000000</f>
        <v>12.28045</v>
      </c>
      <c r="AC63" s="14">
        <f>VLOOKUP(A63,'[3]Last Aum File'!$A$2:$B$126,2,0)/1000000</f>
        <v>12.897265000000001</v>
      </c>
      <c r="AD63" s="14">
        <f t="shared" si="5"/>
        <v>-0.61681500000000078</v>
      </c>
    </row>
    <row r="64" spans="1:30" x14ac:dyDescent="0.25">
      <c r="A64" t="s">
        <v>9</v>
      </c>
      <c r="B64" t="s">
        <v>1737</v>
      </c>
      <c r="C64" t="s">
        <v>160</v>
      </c>
      <c r="D64" t="s">
        <v>1820</v>
      </c>
      <c r="E64" t="s">
        <v>1739</v>
      </c>
      <c r="F64" t="str">
        <f>VLOOKUP(A64,'[1]Model portfolios'!$A$2:$L$142,2,FALSE)</f>
        <v>From Risk - Fund Responsibility - Model Portfolios</v>
      </c>
      <c r="G64" t="str">
        <f>VLOOKUP($A64,'[2]Desk mapping'!$G:$L,5,FALSE)</f>
        <v>Allocation Driven Strategies</v>
      </c>
      <c r="H64" t="str">
        <f>VLOOKUP($A64,'[2]Desk mapping'!$G:$L,6,FALSE)</f>
        <v>Moderate</v>
      </c>
      <c r="K64" t="s">
        <v>231</v>
      </c>
      <c r="L64" t="s">
        <v>233</v>
      </c>
      <c r="M64" t="s">
        <v>236</v>
      </c>
      <c r="O64" s="3">
        <f>VLOOKUP(A64,'Audit AUM File'!A:B,2,FALSE)</f>
        <v>162393071.78226301</v>
      </c>
      <c r="P64" s="3">
        <f>VLOOKUP(A64,[3]AUM!$A$3:$B$131,2,0)</f>
        <v>255343</v>
      </c>
      <c r="R64" s="15" t="b">
        <f>+IF(D64="",VLOOKUP(A64,'[2]Pivot for Jun AUM'!$A$5:$B$121,2,FALSE))</f>
        <v>0</v>
      </c>
      <c r="T64" s="23">
        <f>VLOOKUP(A64,[4]Flows!$A$3:$D$1206,4,0)</f>
        <v>-17807.07</v>
      </c>
      <c r="U64" s="23">
        <f>VLOOKUP(A64,'[3]Last Aum File'!$A$2:$B$1262,2,0)</f>
        <v>272765</v>
      </c>
      <c r="V64" s="14">
        <f t="shared" si="1"/>
        <v>0.27276499999999998</v>
      </c>
      <c r="W64" s="9">
        <f t="shared" si="72"/>
        <v>-17422</v>
      </c>
      <c r="X64" s="24">
        <f t="shared" si="6"/>
        <v>-17422</v>
      </c>
      <c r="Y64" s="14">
        <f t="shared" si="2"/>
        <v>0.25534299999999999</v>
      </c>
      <c r="Z64" s="14">
        <f t="shared" si="3"/>
        <v>-1.7422E-2</v>
      </c>
      <c r="AA64" s="14">
        <f t="shared" si="4"/>
        <v>-1.7807070000000001E-2</v>
      </c>
      <c r="AB64" s="14">
        <f>VLOOKUP(A64,[3]AUM!$A$3:$B$131,2,0)/1000000</f>
        <v>0.25534299999999999</v>
      </c>
      <c r="AC64" s="14">
        <f>VLOOKUP(A64,'[3]Last Aum File'!$A$2:$B$126,2,0)/1000000</f>
        <v>0.27276499999999998</v>
      </c>
      <c r="AD64" s="14">
        <f t="shared" si="5"/>
        <v>-1.7421999999999993E-2</v>
      </c>
    </row>
    <row r="65" spans="1:30" x14ac:dyDescent="0.25">
      <c r="A65" t="s">
        <v>26</v>
      </c>
      <c r="B65" t="s">
        <v>1737</v>
      </c>
      <c r="C65" t="s">
        <v>169</v>
      </c>
      <c r="D65" t="s">
        <v>1820</v>
      </c>
      <c r="E65" t="s">
        <v>1739</v>
      </c>
      <c r="F65" t="str">
        <f>VLOOKUP(A65,'[1]Model portfolios'!$A$2:$L$142,2,FALSE)</f>
        <v>From Risk - Fund Responsibility - Model Portfolios</v>
      </c>
      <c r="G65" t="str">
        <f>VLOOKUP($A65,'[2]Desk mapping'!$G:$L,5,FALSE)</f>
        <v>Allocation Driven Strategies</v>
      </c>
      <c r="H65" t="str">
        <f>VLOOKUP($A65,'[2]Desk mapping'!$G:$L,6,FALSE)</f>
        <v>Conservative</v>
      </c>
      <c r="K65" t="s">
        <v>231</v>
      </c>
      <c r="L65" t="s">
        <v>233</v>
      </c>
      <c r="M65" t="s">
        <v>236</v>
      </c>
      <c r="O65" s="3">
        <f>VLOOKUP(A65,'Audit AUM File'!A:B,2,FALSE)</f>
        <v>156117570.69861901</v>
      </c>
      <c r="P65" s="3">
        <f>VLOOKUP(A65,[3]AUM!$A$3:$B$131,2,0)</f>
        <v>7616069</v>
      </c>
      <c r="R65" s="15" t="b">
        <f>+IF(D65="",VLOOKUP(A65,'[2]Pivot for Jun AUM'!$A$5:$B$121,2,FALSE))</f>
        <v>0</v>
      </c>
      <c r="T65" s="23">
        <f>VLOOKUP(A65,[4]Flows!$A$3:$D$1206,4,0)</f>
        <v>-350635.67999999988</v>
      </c>
      <c r="U65" s="23">
        <f>VLOOKUP(A65,'[3]Last Aum File'!$A$2:$B$1262,2,0)</f>
        <v>7920799</v>
      </c>
      <c r="V65" s="14">
        <f t="shared" si="1"/>
        <v>7.9207989999999997</v>
      </c>
      <c r="W65" s="9">
        <f t="shared" si="72"/>
        <v>-304730</v>
      </c>
      <c r="X65" s="24">
        <f t="shared" si="6"/>
        <v>-304730</v>
      </c>
      <c r="Y65" s="14">
        <f t="shared" si="2"/>
        <v>7.6160690000000004</v>
      </c>
      <c r="Z65" s="14">
        <f t="shared" si="3"/>
        <v>-0.30473</v>
      </c>
      <c r="AA65" s="14">
        <f t="shared" si="4"/>
        <v>-0.35063567999999989</v>
      </c>
      <c r="AB65" s="14">
        <f>VLOOKUP(A65,[3]AUM!$A$3:$B$131,2,0)/1000000</f>
        <v>7.6160690000000004</v>
      </c>
      <c r="AC65" s="14">
        <f>VLOOKUP(A65,'[3]Last Aum File'!$A$2:$B$126,2,0)/1000000</f>
        <v>7.9207989999999997</v>
      </c>
      <c r="AD65" s="14">
        <f t="shared" si="5"/>
        <v>-0.30472999999999928</v>
      </c>
    </row>
    <row r="66" spans="1:30" x14ac:dyDescent="0.25">
      <c r="A66" t="s">
        <v>39</v>
      </c>
      <c r="B66" t="s">
        <v>1737</v>
      </c>
      <c r="C66" t="s">
        <v>174</v>
      </c>
      <c r="D66" t="s">
        <v>1820</v>
      </c>
      <c r="E66" t="s">
        <v>1739</v>
      </c>
      <c r="F66" t="str">
        <f>VLOOKUP(A66,'[1]Model portfolios'!$A$2:$L$142,2,FALSE)</f>
        <v>From Risk - Fund Responsibility - Model Portfolios</v>
      </c>
      <c r="G66" t="str">
        <f>VLOOKUP($A66,'[2]Desk mapping'!$G:$L,5,FALSE)</f>
        <v>Allocation Driven Strategies</v>
      </c>
      <c r="H66" t="str">
        <f>VLOOKUP($A66,'[2]Desk mapping'!$G:$L,6,FALSE)</f>
        <v>Conservative</v>
      </c>
      <c r="K66" t="s">
        <v>231</v>
      </c>
      <c r="L66" t="s">
        <v>233</v>
      </c>
      <c r="M66" t="s">
        <v>236</v>
      </c>
      <c r="O66" s="3">
        <f>VLOOKUP(A66,'Audit AUM File'!A:B,2,FALSE)</f>
        <v>166141402.92062801</v>
      </c>
      <c r="P66" s="3">
        <f>VLOOKUP(A66,[3]AUM!$A$3:$B$131,2,0)</f>
        <v>72484395</v>
      </c>
      <c r="R66" s="15" t="b">
        <f>+IF(D66="",VLOOKUP(A66,'[2]Pivot for Jun AUM'!$A$5:$B$121,2,FALSE))</f>
        <v>0</v>
      </c>
      <c r="T66" s="23">
        <f>VLOOKUP(A66,[4]Flows!$A$3:$D$1206,4,0)</f>
        <v>-1379157.7200000009</v>
      </c>
      <c r="U66" s="23">
        <f>VLOOKUP(A66,'[3]Last Aum File'!$A$2:$B$1262,2,0)</f>
        <v>73864832</v>
      </c>
      <c r="V66" s="14">
        <f t="shared" si="1"/>
        <v>73.864832000000007</v>
      </c>
      <c r="W66" s="9">
        <f t="shared" si="72"/>
        <v>-1380437</v>
      </c>
      <c r="X66" s="24">
        <f t="shared" si="6"/>
        <v>-1380437</v>
      </c>
      <c r="Y66" s="14">
        <f t="shared" si="2"/>
        <v>72.484395000000006</v>
      </c>
      <c r="Z66" s="14">
        <f t="shared" si="3"/>
        <v>-1.3804369999999999</v>
      </c>
      <c r="AA66" s="14">
        <f t="shared" si="4"/>
        <v>-1.3791577200000009</v>
      </c>
      <c r="AB66" s="14">
        <f>VLOOKUP(A66,[3]AUM!$A$3:$B$131,2,0)/1000000</f>
        <v>72.484395000000006</v>
      </c>
      <c r="AC66" s="14">
        <f>VLOOKUP(A66,'[3]Last Aum File'!$A$2:$B$126,2,0)/1000000</f>
        <v>73.864832000000007</v>
      </c>
      <c r="AD66" s="14">
        <f t="shared" si="5"/>
        <v>-1.3804370000000006</v>
      </c>
    </row>
    <row r="67" spans="1:30" x14ac:dyDescent="0.25">
      <c r="A67" t="s">
        <v>49</v>
      </c>
      <c r="B67" t="s">
        <v>1737</v>
      </c>
      <c r="C67" t="s">
        <v>177</v>
      </c>
      <c r="D67" t="s">
        <v>1820</v>
      </c>
      <c r="E67" t="s">
        <v>1739</v>
      </c>
      <c r="F67" t="str">
        <f>VLOOKUP(A67,'[1]Model portfolios'!$A$2:$L$142,2,FALSE)</f>
        <v>From Risk - Fund Responsibility - Model Portfolios</v>
      </c>
      <c r="G67" t="str">
        <f>VLOOKUP($A67,'[2]Desk mapping'!$G:$L,5,FALSE)</f>
        <v>Allocation Driven Strategies</v>
      </c>
      <c r="H67" t="str">
        <f>VLOOKUP($A67,'[2]Desk mapping'!$G:$L,6,FALSE)</f>
        <v>Moderate</v>
      </c>
      <c r="K67" t="s">
        <v>231</v>
      </c>
      <c r="L67" t="s">
        <v>233</v>
      </c>
      <c r="M67" t="s">
        <v>236</v>
      </c>
      <c r="O67" s="3">
        <f>VLOOKUP(A67,'Audit AUM File'!A:B,2,FALSE)</f>
        <v>158113575.86113399</v>
      </c>
      <c r="P67" s="3">
        <f>VLOOKUP(A67,[3]AUM!$A$3:$B$131,2,0)</f>
        <v>64408792</v>
      </c>
      <c r="R67" s="15" t="b">
        <f>+IF(D67="",VLOOKUP(A67,'[2]Pivot for Jun AUM'!$A$5:$B$121,2,FALSE))</f>
        <v>0</v>
      </c>
      <c r="T67" s="23">
        <f>VLOOKUP(A67,[4]Flows!$A$3:$D$1206,4,0)</f>
        <v>-1481691.5300000005</v>
      </c>
      <c r="U67" s="23">
        <f>VLOOKUP(A67,'[3]Last Aum File'!$A$2:$B$1262,2,0)</f>
        <v>65910670</v>
      </c>
      <c r="V67" s="14">
        <f t="shared" si="1"/>
        <v>65.910669999999996</v>
      </c>
      <c r="W67" s="9">
        <f t="shared" si="72"/>
        <v>-1501878</v>
      </c>
      <c r="X67" s="24">
        <f t="shared" si="6"/>
        <v>-1501878</v>
      </c>
      <c r="Y67" s="14">
        <f t="shared" si="2"/>
        <v>64.408792000000005</v>
      </c>
      <c r="Z67" s="14">
        <f t="shared" si="3"/>
        <v>-1.501878</v>
      </c>
      <c r="AA67" s="14">
        <f t="shared" si="4"/>
        <v>-1.4816915300000004</v>
      </c>
      <c r="AB67" s="14">
        <f>VLOOKUP(A67,[3]AUM!$A$3:$B$131,2,0)/1000000</f>
        <v>64.408792000000005</v>
      </c>
      <c r="AC67" s="14">
        <f>VLOOKUP(A67,'[3]Last Aum File'!$A$2:$B$126,2,0)/1000000</f>
        <v>65.910669999999996</v>
      </c>
      <c r="AD67" s="14">
        <f t="shared" si="5"/>
        <v>-1.5018779999999907</v>
      </c>
    </row>
    <row r="68" spans="1:30" x14ac:dyDescent="0.25">
      <c r="A68" t="s">
        <v>38</v>
      </c>
      <c r="B68" t="s">
        <v>1737</v>
      </c>
      <c r="C68" t="s">
        <v>173</v>
      </c>
      <c r="D68" t="s">
        <v>1820</v>
      </c>
      <c r="E68" t="s">
        <v>1739</v>
      </c>
      <c r="F68" t="str">
        <f>VLOOKUP(A68,'[1]Model portfolios'!$A$2:$L$142,2,FALSE)</f>
        <v>From Risk - Fund Responsibility - Model Portfolios</v>
      </c>
      <c r="G68" t="str">
        <f>VLOOKUP($A68,'[2]Desk mapping'!$G:$L,5,FALSE)</f>
        <v>Allocation Driven Strategies</v>
      </c>
      <c r="H68" t="str">
        <f>VLOOKUP($A68,'[2]Desk mapping'!$G:$L,6,FALSE)</f>
        <v>Growth</v>
      </c>
      <c r="K68" t="s">
        <v>231</v>
      </c>
      <c r="L68" t="s">
        <v>233</v>
      </c>
      <c r="M68" t="s">
        <v>236</v>
      </c>
      <c r="O68" s="3">
        <f>VLOOKUP(A68,'Audit AUM File'!A:B,2,FALSE)</f>
        <v>144184151.890834</v>
      </c>
      <c r="P68" s="3">
        <f>VLOOKUP(A68,[3]AUM!$A$3:$B$131,2,0)</f>
        <v>128787502</v>
      </c>
      <c r="R68" s="15" t="b">
        <f>+IF(D68="",VLOOKUP(A68,'[2]Pivot for Jun AUM'!$A$5:$B$121,2,FALSE))</f>
        <v>0</v>
      </c>
      <c r="T68" s="23">
        <f>VLOOKUP(A68,[4]Flows!$A$3:$D$1206,4,0)</f>
        <v>-2446438.419999999</v>
      </c>
      <c r="U68" s="23">
        <f>VLOOKUP(A68,'[3]Last Aum File'!$A$2:$B$1262,2,0)</f>
        <v>132733973</v>
      </c>
      <c r="V68" s="14">
        <f t="shared" si="1"/>
        <v>132.73397299999999</v>
      </c>
      <c r="W68" s="9">
        <f t="shared" si="72"/>
        <v>-3946471</v>
      </c>
      <c r="X68" s="24">
        <f t="shared" si="6"/>
        <v>-3946471</v>
      </c>
      <c r="Y68" s="14">
        <f t="shared" si="2"/>
        <v>128.78750199999999</v>
      </c>
      <c r="Z68" s="14">
        <f t="shared" si="3"/>
        <v>-3.9464709999999998</v>
      </c>
      <c r="AA68" s="14">
        <f t="shared" si="4"/>
        <v>-2.4464384199999989</v>
      </c>
      <c r="AB68" s="14">
        <f>VLOOKUP(A68,[3]AUM!$A$3:$B$131,2,0)/1000000</f>
        <v>128.78750199999999</v>
      </c>
      <c r="AC68" s="14">
        <f>VLOOKUP(A68,'[3]Last Aum File'!$A$2:$B$126,2,0)/1000000</f>
        <v>132.73397299999999</v>
      </c>
      <c r="AD68" s="14">
        <f t="shared" si="5"/>
        <v>-3.9464710000000025</v>
      </c>
    </row>
    <row r="69" spans="1:30" x14ac:dyDescent="0.25">
      <c r="A69" t="s">
        <v>107</v>
      </c>
      <c r="B69" t="s">
        <v>1737</v>
      </c>
      <c r="C69" t="s">
        <v>206</v>
      </c>
      <c r="D69" t="s">
        <v>1820</v>
      </c>
      <c r="E69" t="s">
        <v>1739</v>
      </c>
      <c r="F69" t="str">
        <f>VLOOKUP(A69,'[1]Model portfolios'!$A$2:$L$142,2,FALSE)</f>
        <v>From Risk - Fund Responsibility - Model Portfolios</v>
      </c>
      <c r="G69" t="str">
        <f>VLOOKUP($A69,'[2]Desk mapping'!$G:$L,5,FALSE)</f>
        <v>Allocation Driven Strategies</v>
      </c>
      <c r="H69" t="str">
        <f>VLOOKUP($A69,'[2]Desk mapping'!$G:$L,6,FALSE)</f>
        <v>Growth</v>
      </c>
      <c r="K69" t="s">
        <v>231</v>
      </c>
      <c r="L69" t="s">
        <v>233</v>
      </c>
      <c r="M69" t="s">
        <v>236</v>
      </c>
      <c r="O69" s="3">
        <f>VLOOKUP(A69,'Audit AUM File'!A:B,2,FALSE)</f>
        <v>196970719.92772499</v>
      </c>
      <c r="P69" s="3">
        <f>VLOOKUP(A69,[3]AUM!$A$3:$B$131,2,0)</f>
        <v>411051</v>
      </c>
      <c r="R69" s="15" t="b">
        <f>+IF(D69="",VLOOKUP(A69,'[2]Pivot for Jun AUM'!$A$5:$B$121,2,FALSE))</f>
        <v>0</v>
      </c>
      <c r="T69" s="23">
        <f>VLOOKUP(A69,[4]Flows!$A$3:$D$1206,4,0)</f>
        <v>-681.71</v>
      </c>
      <c r="U69" s="23">
        <f>VLOOKUP(A69,'[3]Last Aum File'!$A$2:$B$1262,2,0)</f>
        <v>406916</v>
      </c>
      <c r="V69" s="14">
        <f t="shared" si="1"/>
        <v>0.406916</v>
      </c>
      <c r="W69" s="9">
        <f t="shared" si="72"/>
        <v>4135</v>
      </c>
      <c r="X69" s="24">
        <f t="shared" si="6"/>
        <v>4135</v>
      </c>
      <c r="Y69" s="14">
        <f t="shared" si="2"/>
        <v>0.411051</v>
      </c>
      <c r="Z69" s="14">
        <f t="shared" si="3"/>
        <v>4.1349999999999998E-3</v>
      </c>
      <c r="AA69" s="14">
        <f t="shared" si="4"/>
        <v>-6.8171000000000008E-4</v>
      </c>
      <c r="AB69" s="14">
        <f>VLOOKUP(A69,[3]AUM!$A$3:$B$131,2,0)/1000000</f>
        <v>0.411051</v>
      </c>
      <c r="AC69" s="14">
        <f>VLOOKUP(A69,'[3]Last Aum File'!$A$2:$B$126,2,0)/1000000</f>
        <v>0.406916</v>
      </c>
      <c r="AD69" s="14">
        <f t="shared" si="5"/>
        <v>4.1349999999999998E-3</v>
      </c>
    </row>
    <row r="70" spans="1:30" x14ac:dyDescent="0.25">
      <c r="A70" t="s">
        <v>106</v>
      </c>
      <c r="B70" t="s">
        <v>1737</v>
      </c>
      <c r="C70" t="s">
        <v>205</v>
      </c>
      <c r="D70" t="s">
        <v>1820</v>
      </c>
      <c r="E70" t="s">
        <v>1739</v>
      </c>
      <c r="F70" t="str">
        <f>VLOOKUP(A70,'[1]Model portfolios'!$A$2:$L$142,2,FALSE)</f>
        <v>From Risk - Fund Responsibility - Model Portfolios</v>
      </c>
      <c r="G70" t="str">
        <f>VLOOKUP($A70,'[2]Desk mapping'!$G:$L,5,FALSE)</f>
        <v>Allocation Driven Strategies</v>
      </c>
      <c r="H70" t="str">
        <f>VLOOKUP($A70,'[2]Desk mapping'!$G:$L,6,FALSE)</f>
        <v>Growth</v>
      </c>
      <c r="K70" t="s">
        <v>231</v>
      </c>
      <c r="L70" t="s">
        <v>233</v>
      </c>
      <c r="M70" t="s">
        <v>236</v>
      </c>
      <c r="O70" s="3">
        <f>VLOOKUP(A70,'Audit AUM File'!A:B,2,FALSE)</f>
        <v>1639044963.34446</v>
      </c>
      <c r="P70" s="3">
        <f>VLOOKUP(A70,[3]AUM!$A$3:$B$131,2,0)</f>
        <v>395535</v>
      </c>
      <c r="R70" s="15" t="b">
        <f>+IF(D70="",VLOOKUP(A70,'[2]Pivot for Jun AUM'!$A$5:$B$121,2,FALSE))</f>
        <v>0</v>
      </c>
      <c r="T70" s="23">
        <f>VLOOKUP(A70,[4]Flows!$A$3:$D$1206,4,0)</f>
        <v>-1323.0099999999998</v>
      </c>
      <c r="U70" s="23">
        <f>VLOOKUP(A70,'[3]Last Aum File'!$A$2:$B$1262,2,0)</f>
        <v>393174</v>
      </c>
      <c r="V70" s="14">
        <f t="shared" si="1"/>
        <v>0.39317400000000002</v>
      </c>
      <c r="W70" s="9">
        <f t="shared" si="72"/>
        <v>2361</v>
      </c>
      <c r="X70" s="24">
        <f t="shared" si="6"/>
        <v>2361</v>
      </c>
      <c r="Y70" s="14">
        <f t="shared" si="2"/>
        <v>0.39553500000000003</v>
      </c>
      <c r="Z70" s="14">
        <f t="shared" si="3"/>
        <v>2.3609999999999998E-3</v>
      </c>
      <c r="AA70" s="14">
        <f t="shared" si="4"/>
        <v>-1.3230099999999997E-3</v>
      </c>
      <c r="AB70" s="14">
        <f>VLOOKUP(A70,[3]AUM!$A$3:$B$131,2,0)/1000000</f>
        <v>0.39553500000000003</v>
      </c>
      <c r="AC70" s="14">
        <f>VLOOKUP(A70,'[3]Last Aum File'!$A$2:$B$126,2,0)/1000000</f>
        <v>0.39317400000000002</v>
      </c>
      <c r="AD70" s="14">
        <f t="shared" si="5"/>
        <v>2.361000000000002E-3</v>
      </c>
    </row>
    <row r="71" spans="1:30" x14ac:dyDescent="0.25">
      <c r="A71" t="s">
        <v>22</v>
      </c>
      <c r="B71" t="s">
        <v>1737</v>
      </c>
      <c r="C71" t="s">
        <v>167</v>
      </c>
      <c r="D71" t="s">
        <v>1820</v>
      </c>
      <c r="E71" t="s">
        <v>1739</v>
      </c>
      <c r="F71" t="str">
        <f>VLOOKUP(A71,'[1]Model portfolios'!$A$2:$L$142,2,FALSE)</f>
        <v>From Risk - Fund Responsibility - Model Portfolios</v>
      </c>
      <c r="G71" t="str">
        <f>VLOOKUP($A71,'[2]Desk mapping'!$G:$L,5,FALSE)</f>
        <v>Allocation Driven Strategies</v>
      </c>
      <c r="H71" t="str">
        <f>VLOOKUP($A71,'[2]Desk mapping'!$G:$L,6,FALSE)</f>
        <v>Conservative</v>
      </c>
      <c r="K71" t="s">
        <v>231</v>
      </c>
      <c r="L71" t="s">
        <v>233</v>
      </c>
      <c r="M71" t="s">
        <v>236</v>
      </c>
      <c r="O71" s="3">
        <f>VLOOKUP(A71,'Audit AUM File'!A:B,2,FALSE)</f>
        <v>159879073.65219</v>
      </c>
      <c r="P71" s="3">
        <f>VLOOKUP(A71,[3]AUM!$A$3:$B$131,2,0)</f>
        <v>1067361</v>
      </c>
      <c r="R71" s="15" t="b">
        <f>+IF(D71="",VLOOKUP(A71,'[2]Pivot for Jun AUM'!$A$5:$B$121,2,FALSE))</f>
        <v>0</v>
      </c>
      <c r="T71" s="23">
        <f>VLOOKUP(A71,[4]Flows!$A$3:$D$1206,4,0)</f>
        <v>-182908.58999999997</v>
      </c>
      <c r="U71" s="23">
        <f>VLOOKUP(A71,'[3]Last Aum File'!$A$2:$B$1262,2,0)</f>
        <v>1249574</v>
      </c>
      <c r="V71" s="14">
        <f t="shared" si="1"/>
        <v>1.249574</v>
      </c>
      <c r="W71" s="9">
        <f t="shared" si="72"/>
        <v>-182213</v>
      </c>
      <c r="X71" s="24">
        <f t="shared" si="6"/>
        <v>-182213</v>
      </c>
      <c r="Y71" s="14">
        <f t="shared" si="2"/>
        <v>1.067361</v>
      </c>
      <c r="Z71" s="14">
        <f t="shared" si="3"/>
        <v>-0.18221300000000001</v>
      </c>
      <c r="AA71" s="14">
        <f t="shared" si="4"/>
        <v>-0.18290858999999995</v>
      </c>
      <c r="AB71" s="14">
        <f>VLOOKUP(A71,[3]AUM!$A$3:$B$131,2,0)/1000000</f>
        <v>1.067361</v>
      </c>
      <c r="AC71" s="14">
        <f>VLOOKUP(A71,'[3]Last Aum File'!$A$2:$B$126,2,0)/1000000</f>
        <v>1.249574</v>
      </c>
      <c r="AD71" s="14">
        <f t="shared" si="5"/>
        <v>-0.18221299999999996</v>
      </c>
    </row>
    <row r="72" spans="1:30" x14ac:dyDescent="0.25">
      <c r="A72" t="s">
        <v>145</v>
      </c>
      <c r="B72" t="s">
        <v>1737</v>
      </c>
      <c r="C72" t="s">
        <v>223</v>
      </c>
      <c r="D72" t="s">
        <v>1820</v>
      </c>
      <c r="E72" t="s">
        <v>1739</v>
      </c>
      <c r="F72" t="str">
        <f>VLOOKUP(A72,'[1]Model portfolios'!$A$2:$L$142,2,FALSE)</f>
        <v>From Risk - Fund Responsibility - Model Portfolios</v>
      </c>
      <c r="G72" t="str">
        <f>VLOOKUP($A72,'[2]Desk mapping'!$G:$L,5,FALSE)</f>
        <v>Allocation Driven Strategies</v>
      </c>
      <c r="H72" t="str">
        <f>VLOOKUP($A72,'[2]Desk mapping'!$G:$L,6,FALSE)</f>
        <v>Flexible</v>
      </c>
      <c r="K72" t="s">
        <v>231</v>
      </c>
      <c r="L72" t="s">
        <v>233</v>
      </c>
      <c r="M72" t="s">
        <v>236</v>
      </c>
      <c r="O72" s="3">
        <f>VLOOKUP(A72,'Audit AUM File'!A:B,2,FALSE)</f>
        <v>117530297.356382</v>
      </c>
      <c r="P72" s="3">
        <f>VLOOKUP(A72,[3]AUM!$A$3:$B$131,2,0)</f>
        <v>23044548</v>
      </c>
      <c r="R72" s="15" t="b">
        <f>+IF(D72="",VLOOKUP(A72,'[2]Pivot for Jun AUM'!$A$5:$B$121,2,FALSE))</f>
        <v>0</v>
      </c>
      <c r="T72" s="23">
        <f>VLOOKUP(A72,[4]Flows!$A$3:$D$1206,4,0)</f>
        <v>-1652714.3599999989</v>
      </c>
      <c r="U72" s="23">
        <f>VLOOKUP(A72,'[3]Last Aum File'!$A$2:$B$1262,2,0)</f>
        <v>24509694</v>
      </c>
      <c r="V72" s="14">
        <f t="shared" si="1"/>
        <v>24.509694</v>
      </c>
      <c r="W72" s="9">
        <f t="shared" si="72"/>
        <v>-1465146</v>
      </c>
      <c r="X72" s="24">
        <f t="shared" si="6"/>
        <v>-1465146</v>
      </c>
      <c r="Y72" s="14">
        <f t="shared" si="2"/>
        <v>23.044547999999999</v>
      </c>
      <c r="Z72" s="14">
        <f t="shared" si="3"/>
        <v>-1.4651460000000001</v>
      </c>
      <c r="AA72" s="14">
        <f t="shared" si="4"/>
        <v>-1.6527143599999989</v>
      </c>
      <c r="AB72" s="14">
        <f>VLOOKUP(A72,[3]AUM!$A$3:$B$131,2,0)/1000000</f>
        <v>23.044547999999999</v>
      </c>
      <c r="AC72" s="14">
        <f>VLOOKUP(A72,'[3]Last Aum File'!$A$2:$B$126,2,0)/1000000</f>
        <v>24.509694</v>
      </c>
      <c r="AD72" s="14">
        <f t="shared" si="5"/>
        <v>-1.4651460000000007</v>
      </c>
    </row>
    <row r="73" spans="1:30" x14ac:dyDescent="0.25">
      <c r="A73" t="s">
        <v>141</v>
      </c>
      <c r="B73" t="s">
        <v>1737</v>
      </c>
      <c r="C73" t="s">
        <v>219</v>
      </c>
      <c r="D73" t="s">
        <v>1820</v>
      </c>
      <c r="E73" t="s">
        <v>1739</v>
      </c>
      <c r="F73" t="str">
        <f>VLOOKUP(A73,'[1]Model portfolios'!$A$2:$L$142,2,FALSE)</f>
        <v>From Risk - Fund Responsibility - Model Portfolios</v>
      </c>
      <c r="G73" t="str">
        <f>VLOOKUP($A73,'[2]Desk mapping'!$G:$L,5,FALSE)</f>
        <v>Allocation Driven Strategies</v>
      </c>
      <c r="H73" t="str">
        <f>VLOOKUP($A73,'[2]Desk mapping'!$G:$L,6,FALSE)</f>
        <v>Flexible</v>
      </c>
      <c r="K73" t="s">
        <v>231</v>
      </c>
      <c r="L73" t="s">
        <v>233</v>
      </c>
      <c r="M73" t="s">
        <v>236</v>
      </c>
      <c r="O73" s="3">
        <f>VLOOKUP(A73,'Audit AUM File'!A:B,2,FALSE)</f>
        <v>118165044.484503</v>
      </c>
      <c r="P73" s="3">
        <f>VLOOKUP(A73,[3]AUM!$A$3:$B$131,2,0)</f>
        <v>234658014</v>
      </c>
      <c r="R73" s="15" t="b">
        <f>+IF(D73="",VLOOKUP(A73,'[2]Pivot for Jun AUM'!$A$5:$B$121,2,FALSE))</f>
        <v>0</v>
      </c>
      <c r="T73" s="23">
        <f>VLOOKUP(A73,[4]Flows!$A$3:$D$1206,4,0)</f>
        <v>-17940993.880000018</v>
      </c>
      <c r="U73" s="23">
        <f>VLOOKUP(A73,'[3]Last Aum File'!$A$2:$B$1262,2,0)</f>
        <v>250680875</v>
      </c>
      <c r="V73" s="14">
        <f t="shared" si="1"/>
        <v>250.68087499999999</v>
      </c>
      <c r="W73" s="9">
        <f t="shared" si="72"/>
        <v>-16022861</v>
      </c>
      <c r="X73" s="24">
        <f t="shared" si="6"/>
        <v>-16022861</v>
      </c>
      <c r="Y73" s="14">
        <f t="shared" si="2"/>
        <v>234.65801400000001</v>
      </c>
      <c r="Z73" s="14">
        <f t="shared" si="3"/>
        <v>-16.022860999999999</v>
      </c>
      <c r="AA73" s="14">
        <f t="shared" si="4"/>
        <v>-17.940993880000018</v>
      </c>
      <c r="AB73" s="14">
        <f>VLOOKUP(A73,[3]AUM!$A$3:$B$131,2,0)/1000000</f>
        <v>234.65801400000001</v>
      </c>
      <c r="AC73" s="14">
        <f>VLOOKUP(A73,'[3]Last Aum File'!$A$2:$B$126,2,0)/1000000</f>
        <v>250.68087499999999</v>
      </c>
      <c r="AD73" s="14">
        <f t="shared" si="5"/>
        <v>-16.022860999999978</v>
      </c>
    </row>
    <row r="74" spans="1:30" x14ac:dyDescent="0.25">
      <c r="A74" t="s">
        <v>86</v>
      </c>
      <c r="B74" t="s">
        <v>1737</v>
      </c>
      <c r="C74" t="s">
        <v>200</v>
      </c>
      <c r="D74" t="s">
        <v>1820</v>
      </c>
      <c r="E74" t="s">
        <v>1739</v>
      </c>
      <c r="F74" t="str">
        <f>VLOOKUP(A74,'[1]Model portfolios'!$A$2:$L$142,2,FALSE)</f>
        <v>From Risk - Fund Responsibility - Model Portfolios</v>
      </c>
      <c r="G74" t="str">
        <f>VLOOKUP($A74,'[2]Desk mapping'!$G:$L,5,FALSE)</f>
        <v>Allocation Driven Strategies</v>
      </c>
      <c r="H74" t="str">
        <f>VLOOKUP($A74,'[2]Desk mapping'!$G:$L,6,FALSE)</f>
        <v>Flexible</v>
      </c>
      <c r="K74" t="s">
        <v>231</v>
      </c>
      <c r="L74" t="s">
        <v>233</v>
      </c>
      <c r="M74" t="s">
        <v>236</v>
      </c>
      <c r="O74" s="3">
        <f>VLOOKUP(A74,'Audit AUM File'!A:B,2,FALSE)</f>
        <v>132504447.23408601</v>
      </c>
      <c r="P74" s="3">
        <f>VLOOKUP(A74,[3]AUM!$A$3:$B$131,2,0)</f>
        <v>17723615</v>
      </c>
      <c r="R74" s="15" t="b">
        <f>+IF(D74="",VLOOKUP(A74,'[2]Pivot for Jun AUM'!$A$5:$B$121,2,FALSE))</f>
        <v>0</v>
      </c>
      <c r="T74" s="23">
        <f>VLOOKUP(A74,[4]Flows!$A$3:$D$1206,4,0)</f>
        <v>-1681571.7899999993</v>
      </c>
      <c r="U74" s="23">
        <f>VLOOKUP(A74,'[3]Last Aum File'!$A$2:$B$1262,2,0)</f>
        <v>19212387</v>
      </c>
      <c r="V74" s="14">
        <f t="shared" si="1"/>
        <v>19.212387</v>
      </c>
      <c r="W74" s="9">
        <f t="shared" si="72"/>
        <v>-1488772</v>
      </c>
      <c r="X74" s="24">
        <f t="shared" si="6"/>
        <v>-1488772</v>
      </c>
      <c r="Y74" s="14">
        <f t="shared" si="2"/>
        <v>17.723614999999999</v>
      </c>
      <c r="Z74" s="14">
        <f t="shared" si="3"/>
        <v>-1.488772</v>
      </c>
      <c r="AA74" s="14">
        <f t="shared" si="4"/>
        <v>-1.6815717899999993</v>
      </c>
      <c r="AB74" s="14">
        <f>VLOOKUP(A74,[3]AUM!$A$3:$B$131,2,0)/1000000</f>
        <v>17.723614999999999</v>
      </c>
      <c r="AC74" s="14">
        <f>VLOOKUP(A74,'[3]Last Aum File'!$A$2:$B$126,2,0)/1000000</f>
        <v>19.212387</v>
      </c>
      <c r="AD74" s="14">
        <f t="shared" si="5"/>
        <v>-1.4887720000000009</v>
      </c>
    </row>
    <row r="75" spans="1:30" x14ac:dyDescent="0.25">
      <c r="A75" t="s">
        <v>142</v>
      </c>
      <c r="B75" t="s">
        <v>1737</v>
      </c>
      <c r="C75" t="s">
        <v>220</v>
      </c>
      <c r="D75" t="s">
        <v>1820</v>
      </c>
      <c r="E75" t="s">
        <v>1739</v>
      </c>
      <c r="F75" t="str">
        <f>VLOOKUP(A75,'[1]Model portfolios'!$A$2:$L$142,2,FALSE)</f>
        <v>From Risk - Fund Responsibility - Model Portfolios</v>
      </c>
      <c r="G75" t="str">
        <f>VLOOKUP($A75,'[2]Desk mapping'!$G:$L,5,FALSE)</f>
        <v>Allocation Driven Strategies</v>
      </c>
      <c r="H75" t="str">
        <f>VLOOKUP($A75,'[2]Desk mapping'!$G:$L,6,FALSE)</f>
        <v>Flexible</v>
      </c>
      <c r="K75" t="s">
        <v>231</v>
      </c>
      <c r="L75" t="s">
        <v>233</v>
      </c>
      <c r="M75" t="s">
        <v>236</v>
      </c>
      <c r="O75" s="3">
        <f>VLOOKUP(A75,'Audit AUM File'!A:B,2,FALSE)</f>
        <v>155309118.75409299</v>
      </c>
      <c r="P75" s="3">
        <f>VLOOKUP(A75,[3]AUM!$A$3:$B$131,2,0)</f>
        <v>328851184</v>
      </c>
      <c r="R75" s="15" t="b">
        <f>+IF(D75="",VLOOKUP(A75,'[2]Pivot for Jun AUM'!$A$5:$B$121,2,FALSE))</f>
        <v>0</v>
      </c>
      <c r="T75" s="23">
        <f>VLOOKUP(A75,[4]Flows!$A$3:$D$1206,4,0)</f>
        <v>-40659051.159999982</v>
      </c>
      <c r="U75" s="23">
        <f>VLOOKUP(A75,'[3]Last Aum File'!$A$2:$B$1262,2,0)</f>
        <v>366473118</v>
      </c>
      <c r="V75" s="14">
        <f t="shared" si="1"/>
        <v>366.473118</v>
      </c>
      <c r="W75" s="9">
        <f t="shared" si="72"/>
        <v>-37621934</v>
      </c>
      <c r="X75" s="24">
        <f t="shared" si="6"/>
        <v>-37621934</v>
      </c>
      <c r="Y75" s="14">
        <f t="shared" si="2"/>
        <v>328.85118399999999</v>
      </c>
      <c r="Z75" s="14">
        <f t="shared" si="3"/>
        <v>-37.621934000000003</v>
      </c>
      <c r="AA75" s="14">
        <f t="shared" si="4"/>
        <v>-40.659051159999983</v>
      </c>
      <c r="AB75" s="14">
        <f>VLOOKUP(A75,[3]AUM!$A$3:$B$131,2,0)/1000000</f>
        <v>328.85118399999999</v>
      </c>
      <c r="AC75" s="14">
        <f>VLOOKUP(A75,'[3]Last Aum File'!$A$2:$B$126,2,0)/1000000</f>
        <v>366.473118</v>
      </c>
      <c r="AD75" s="14">
        <f t="shared" si="5"/>
        <v>-37.62193400000001</v>
      </c>
    </row>
    <row r="76" spans="1:30" x14ac:dyDescent="0.25">
      <c r="A76" t="s">
        <v>20</v>
      </c>
      <c r="B76" t="s">
        <v>1737</v>
      </c>
      <c r="C76" t="s">
        <v>166</v>
      </c>
      <c r="D76" t="s">
        <v>1820</v>
      </c>
      <c r="E76" t="s">
        <v>1739</v>
      </c>
      <c r="F76" t="str">
        <f>VLOOKUP(A76,'[1]Model portfolios'!$A$2:$L$142,2,FALSE)</f>
        <v>From Risk - Fund Responsibility - Model Portfolios</v>
      </c>
      <c r="G76" t="str">
        <f>VLOOKUP($A76,'[2]Desk mapping'!$G:$L,5,FALSE)</f>
        <v>Allocation Driven Strategies</v>
      </c>
      <c r="H76" t="str">
        <f>VLOOKUP($A76,'[2]Desk mapping'!$G:$L,6,FALSE)</f>
        <v>Flexible</v>
      </c>
      <c r="K76" t="s">
        <v>231</v>
      </c>
      <c r="L76" t="s">
        <v>233</v>
      </c>
      <c r="M76" t="s">
        <v>236</v>
      </c>
      <c r="O76" s="3">
        <f>VLOOKUP(A76,'Audit AUM File'!A:B,2,FALSE)</f>
        <v>142608981.84143099</v>
      </c>
      <c r="P76" s="3">
        <f>VLOOKUP(A76,[3]AUM!$A$3:$B$131,2,0)</f>
        <v>550852602</v>
      </c>
      <c r="R76" s="15" t="b">
        <f>+IF(D76="",VLOOKUP(A76,'[2]Pivot for Jun AUM'!$A$5:$B$121,2,FALSE))</f>
        <v>0</v>
      </c>
      <c r="T76" s="23">
        <f>VLOOKUP(A76,[4]Flows!$A$3:$D$1206,4,0)</f>
        <v>-66777686.989999987</v>
      </c>
      <c r="U76" s="23">
        <f>VLOOKUP(A76,'[3]Last Aum File'!$A$2:$B$1262,2,0)</f>
        <v>613264658</v>
      </c>
      <c r="V76" s="14">
        <f t="shared" si="1"/>
        <v>613.26465800000005</v>
      </c>
      <c r="W76" s="9">
        <f t="shared" si="72"/>
        <v>-62412056</v>
      </c>
      <c r="X76" s="24">
        <f t="shared" si="6"/>
        <v>-62412056</v>
      </c>
      <c r="Y76" s="14">
        <f t="shared" si="2"/>
        <v>550.85260200000005</v>
      </c>
      <c r="Z76" s="14">
        <f t="shared" si="3"/>
        <v>-62.412056</v>
      </c>
      <c r="AA76" s="14">
        <f t="shared" si="4"/>
        <v>-66.777686989999992</v>
      </c>
      <c r="AB76" s="14">
        <f>VLOOKUP(A76,[3]AUM!$A$3:$B$131,2,0)/1000000</f>
        <v>550.85260200000005</v>
      </c>
      <c r="AC76" s="14">
        <f>VLOOKUP(A76,'[3]Last Aum File'!$A$2:$B$126,2,0)/1000000</f>
        <v>613.26465800000005</v>
      </c>
      <c r="AD76" s="14">
        <f t="shared" si="5"/>
        <v>-62.412056000000007</v>
      </c>
    </row>
    <row r="77" spans="1:30" x14ac:dyDescent="0.25">
      <c r="A77" t="s">
        <v>69</v>
      </c>
      <c r="B77" t="s">
        <v>1737</v>
      </c>
      <c r="C77" t="s">
        <v>188</v>
      </c>
      <c r="D77" t="s">
        <v>1820</v>
      </c>
      <c r="E77" t="s">
        <v>1739</v>
      </c>
      <c r="F77" t="str">
        <f>VLOOKUP(A77,'[1]Model portfolios'!$A$2:$L$142,2,FALSE)</f>
        <v>From Risk - Fund Responsibility - Model Portfolios</v>
      </c>
      <c r="G77" t="str">
        <f>VLOOKUP($A77,'[2]Desk mapping'!$G:$L,5,FALSE)</f>
        <v>Allocation Driven Strategies</v>
      </c>
      <c r="H77" t="str">
        <f>VLOOKUP($A77,'[2]Desk mapping'!$G:$L,6,FALSE)</f>
        <v>Conservative</v>
      </c>
      <c r="K77" t="s">
        <v>229</v>
      </c>
      <c r="L77" t="s">
        <v>235</v>
      </c>
      <c r="M77" t="s">
        <v>236</v>
      </c>
      <c r="O77" s="3">
        <f>VLOOKUP(A77,'Audit AUM File'!A:B,2,FALSE)</f>
        <v>173624542.66213301</v>
      </c>
      <c r="P77" s="3">
        <f>VLOOKUP(A77,[3]AUM!$A$3:$B$131,2,0)</f>
        <v>122521317</v>
      </c>
      <c r="R77" s="15" t="b">
        <f>+IF(D77="",VLOOKUP(A77,'[2]Pivot for Jun AUM'!$A$5:$B$121,2,FALSE))</f>
        <v>0</v>
      </c>
      <c r="T77" s="23">
        <f>VLOOKUP(A77,[4]Flows!$A$3:$D$1206,4,0)</f>
        <v>-188585.52999999974</v>
      </c>
      <c r="U77" s="23">
        <f>VLOOKUP(A77,'[3]Last Aum File'!$A$2:$B$1262,2,0)</f>
        <v>121839302</v>
      </c>
      <c r="V77" s="14">
        <f t="shared" ref="V77:V119" si="73">+U77/1000000</f>
        <v>121.839302</v>
      </c>
      <c r="W77" s="9">
        <f t="shared" si="72"/>
        <v>682015</v>
      </c>
      <c r="X77" s="24">
        <f t="shared" ref="X77:X121" si="74">+IF(ISNA(W77),0,W77)</f>
        <v>682015</v>
      </c>
      <c r="Y77" s="14">
        <f t="shared" ref="Y77:Y121" si="75">P77/1000000</f>
        <v>122.521317</v>
      </c>
      <c r="Z77" s="14">
        <f t="shared" ref="Z77:Z119" si="76">X77/1000000</f>
        <v>0.68201500000000004</v>
      </c>
      <c r="AA77" s="14">
        <f t="shared" si="4"/>
        <v>-0.18858552999999972</v>
      </c>
      <c r="AB77" s="14">
        <f>VLOOKUP(A77,[3]AUM!$A$3:$B$131,2,0)/1000000</f>
        <v>122.521317</v>
      </c>
      <c r="AC77" s="14">
        <f>VLOOKUP(A77,'[3]Last Aum File'!$A$2:$B$126,2,0)/1000000</f>
        <v>121.839302</v>
      </c>
      <c r="AD77" s="14">
        <f t="shared" si="5"/>
        <v>0.68201499999999271</v>
      </c>
    </row>
    <row r="78" spans="1:30" x14ac:dyDescent="0.25">
      <c r="A78" t="s">
        <v>80</v>
      </c>
      <c r="B78" t="s">
        <v>1737</v>
      </c>
      <c r="C78" t="s">
        <v>195</v>
      </c>
      <c r="D78" t="s">
        <v>1820</v>
      </c>
      <c r="E78" t="s">
        <v>1739</v>
      </c>
      <c r="F78" t="str">
        <f>VLOOKUP(A78,'[1]Model portfolios'!$A$2:$L$142,2,FALSE)</f>
        <v>From Risk - Fund Responsibility - Model Portfolios</v>
      </c>
      <c r="G78" t="str">
        <f>VLOOKUP($A78,'[2]Desk mapping'!$G:$L,5,FALSE)</f>
        <v>Outcome Oriented Strategies</v>
      </c>
      <c r="H78" t="str">
        <f>VLOOKUP($A78,'[2]Desk mapping'!$G:$L,6,FALSE)</f>
        <v>Capital Protection</v>
      </c>
      <c r="K78" t="s">
        <v>231</v>
      </c>
      <c r="L78" t="s">
        <v>233</v>
      </c>
      <c r="M78" t="s">
        <v>236</v>
      </c>
      <c r="O78" s="3">
        <f>VLOOKUP(A78,'Audit AUM File'!A:B,2,FALSE)</f>
        <v>108123064.31436101</v>
      </c>
      <c r="P78" s="3">
        <f>VLOOKUP(A78,[3]AUM!$A$3:$B$131,2,0)</f>
        <v>142698</v>
      </c>
      <c r="R78" s="15" t="b">
        <f>+IF(D78="",VLOOKUP(A78,'[2]Pivot for Jun AUM'!$A$5:$B$121,2,FALSE))</f>
        <v>0</v>
      </c>
      <c r="T78" s="23">
        <f>VLOOKUP(A78,[4]Flows!$A$3:$D$1206,4,0)</f>
        <v>-1625.16</v>
      </c>
      <c r="U78" s="23">
        <f>VLOOKUP(A78,'[3]Last Aum File'!$A$2:$B$1262,2,0)</f>
        <v>143073</v>
      </c>
      <c r="V78" s="14">
        <f t="shared" si="73"/>
        <v>0.14307300000000001</v>
      </c>
      <c r="W78" s="9">
        <f t="shared" si="72"/>
        <v>-375</v>
      </c>
      <c r="X78" s="24">
        <f t="shared" si="74"/>
        <v>-375</v>
      </c>
      <c r="Y78" s="14">
        <f t="shared" si="75"/>
        <v>0.14269799999999999</v>
      </c>
      <c r="Z78" s="14">
        <f t="shared" si="76"/>
        <v>-3.7500000000000001E-4</v>
      </c>
      <c r="AA78" s="14">
        <f t="shared" ref="AA78:AA122" si="77">T78/1000000</f>
        <v>-1.6251600000000001E-3</v>
      </c>
      <c r="AB78" s="14">
        <f>VLOOKUP(A78,[3]AUM!$A$3:$B$131,2,0)/1000000</f>
        <v>0.14269799999999999</v>
      </c>
      <c r="AC78" s="14">
        <f>VLOOKUP(A78,'[3]Last Aum File'!$A$2:$B$126,2,0)/1000000</f>
        <v>0.14307300000000001</v>
      </c>
      <c r="AD78" s="14">
        <f t="shared" ref="AD78:AD122" si="78">AB78-AC78</f>
        <v>-3.7500000000001421E-4</v>
      </c>
    </row>
    <row r="79" spans="1:30" x14ac:dyDescent="0.25">
      <c r="A79" t="s">
        <v>83</v>
      </c>
      <c r="B79" t="s">
        <v>1737</v>
      </c>
      <c r="C79" t="s">
        <v>198</v>
      </c>
      <c r="D79" t="s">
        <v>1820</v>
      </c>
      <c r="E79" t="s">
        <v>1739</v>
      </c>
      <c r="F79" t="str">
        <f>VLOOKUP(A79,'[1]Model portfolios'!$A$2:$L$142,2,FALSE)</f>
        <v>From Risk - Fund Responsibility - Model Portfolios</v>
      </c>
      <c r="G79" t="str">
        <f>VLOOKUP($A79,'[2]Desk mapping'!$G:$L,5,FALSE)</f>
        <v>Outcome Oriented Strategies</v>
      </c>
      <c r="H79" t="str">
        <f>VLOOKUP($A79,'[2]Desk mapping'!$G:$L,6,FALSE)</f>
        <v>Capital Protection</v>
      </c>
      <c r="K79" t="s">
        <v>231</v>
      </c>
      <c r="L79" t="s">
        <v>233</v>
      </c>
      <c r="M79" t="s">
        <v>236</v>
      </c>
      <c r="O79" s="3">
        <f>VLOOKUP(A79,'Audit AUM File'!A:B,2,FALSE)</f>
        <v>105431829.81326699</v>
      </c>
      <c r="P79" s="3">
        <f>VLOOKUP(A79,[3]AUM!$A$3:$B$131,2,0)</f>
        <v>87215</v>
      </c>
      <c r="R79" s="15" t="b">
        <f>+IF(D79="",VLOOKUP(A79,'[2]Pivot for Jun AUM'!$A$5:$B$121,2,FALSE))</f>
        <v>0</v>
      </c>
      <c r="T79" s="23">
        <f>VLOOKUP(A79,[4]Flows!$A$3:$D$1206,4,0)</f>
        <v>-1505.89</v>
      </c>
      <c r="U79" s="23">
        <f>VLOOKUP(A79,'[3]Last Aum File'!$A$2:$B$1262,2,0)</f>
        <v>87979</v>
      </c>
      <c r="V79" s="14">
        <f t="shared" si="73"/>
        <v>8.7979000000000002E-2</v>
      </c>
      <c r="W79" s="9">
        <f t="shared" si="72"/>
        <v>-764</v>
      </c>
      <c r="X79" s="24">
        <f t="shared" si="74"/>
        <v>-764</v>
      </c>
      <c r="Y79" s="14">
        <f t="shared" si="75"/>
        <v>8.7215000000000001E-2</v>
      </c>
      <c r="Z79" s="14">
        <f t="shared" si="76"/>
        <v>-7.6400000000000003E-4</v>
      </c>
      <c r="AA79" s="14">
        <f t="shared" si="77"/>
        <v>-1.5058900000000002E-3</v>
      </c>
      <c r="AB79" s="14">
        <f>VLOOKUP(A79,[3]AUM!$A$3:$B$131,2,0)/1000000</f>
        <v>8.7215000000000001E-2</v>
      </c>
      <c r="AC79" s="14">
        <f>VLOOKUP(A79,'[3]Last Aum File'!$A$2:$B$126,2,0)/1000000</f>
        <v>8.7979000000000002E-2</v>
      </c>
      <c r="AD79" s="14">
        <f t="shared" si="78"/>
        <v>-7.6400000000000079E-4</v>
      </c>
    </row>
    <row r="80" spans="1:30" x14ac:dyDescent="0.25">
      <c r="A80" t="s">
        <v>140</v>
      </c>
      <c r="B80" t="s">
        <v>1737</v>
      </c>
      <c r="C80" t="s">
        <v>218</v>
      </c>
      <c r="D80" t="s">
        <v>1820</v>
      </c>
      <c r="E80" t="s">
        <v>1739</v>
      </c>
      <c r="F80" t="str">
        <f>VLOOKUP(A80,'[1]Model portfolios'!$A$2:$L$142,2,FALSE)</f>
        <v>From Risk - Fund Responsibility - Model Portfolios</v>
      </c>
      <c r="G80" t="str">
        <f>VLOOKUP($A80,'[2]Desk mapping'!$G:$L,5,FALSE)</f>
        <v>Outcome Oriented Strategies</v>
      </c>
      <c r="H80" t="str">
        <f>VLOOKUP($A80,'[2]Desk mapping'!$G:$L,6,FALSE)</f>
        <v>Capital Protection</v>
      </c>
      <c r="K80" t="s">
        <v>231</v>
      </c>
      <c r="L80" t="s">
        <v>233</v>
      </c>
      <c r="M80" t="s">
        <v>236</v>
      </c>
      <c r="O80" s="3">
        <f>VLOOKUP(A80,'Audit AUM File'!A:B,2,FALSE)</f>
        <v>108257809.171958</v>
      </c>
      <c r="P80" s="3">
        <f>VLOOKUP(A80,[3]AUM!$A$3:$B$131,2,0)</f>
        <v>4871246</v>
      </c>
      <c r="R80" s="15" t="b">
        <f>+IF(D80="",VLOOKUP(A80,'[2]Pivot for Jun AUM'!$A$5:$B$121,2,FALSE))</f>
        <v>0</v>
      </c>
      <c r="T80" s="23">
        <f>VLOOKUP(A80,[4]Flows!$A$3:$D$1206,4,0)</f>
        <v>-70599.200000000041</v>
      </c>
      <c r="U80" s="23">
        <f>VLOOKUP(A80,'[3]Last Aum File'!$A$2:$B$1262,2,0)</f>
        <v>4891405</v>
      </c>
      <c r="V80" s="14">
        <f t="shared" si="73"/>
        <v>4.8914049999999998</v>
      </c>
      <c r="W80" s="9">
        <f t="shared" si="72"/>
        <v>-20159</v>
      </c>
      <c r="X80" s="24">
        <f t="shared" si="74"/>
        <v>-20159</v>
      </c>
      <c r="Y80" s="14">
        <f t="shared" si="75"/>
        <v>4.8712460000000002</v>
      </c>
      <c r="Z80" s="14">
        <f t="shared" si="76"/>
        <v>-2.0159E-2</v>
      </c>
      <c r="AA80" s="14">
        <f t="shared" si="77"/>
        <v>-7.0599200000000042E-2</v>
      </c>
      <c r="AB80" s="14">
        <f>VLOOKUP(A80,[3]AUM!$A$3:$B$131,2,0)/1000000</f>
        <v>4.8712460000000002</v>
      </c>
      <c r="AC80" s="14">
        <f>VLOOKUP(A80,'[3]Last Aum File'!$A$2:$B$126,2,0)/1000000</f>
        <v>4.8914049999999998</v>
      </c>
      <c r="AD80" s="14">
        <f t="shared" si="78"/>
        <v>-2.0158999999999594E-2</v>
      </c>
    </row>
    <row r="81" spans="1:30" x14ac:dyDescent="0.25">
      <c r="A81" t="s">
        <v>82</v>
      </c>
      <c r="B81" t="s">
        <v>1737</v>
      </c>
      <c r="C81" t="s">
        <v>197</v>
      </c>
      <c r="D81" t="s">
        <v>1820</v>
      </c>
      <c r="E81" t="s">
        <v>1739</v>
      </c>
      <c r="F81" t="str">
        <f>VLOOKUP(A81,'[1]Model portfolios'!$A$2:$L$142,2,FALSE)</f>
        <v>From Risk - Fund Responsibility - Model Portfolios</v>
      </c>
      <c r="G81" t="str">
        <f>VLOOKUP($A81,'[2]Desk mapping'!$G:$L,5,FALSE)</f>
        <v>Outcome Oriented Strategies</v>
      </c>
      <c r="H81" t="str">
        <f>VLOOKUP($A81,'[2]Desk mapping'!$G:$L,6,FALSE)</f>
        <v>Capital Protection</v>
      </c>
      <c r="K81" t="s">
        <v>231</v>
      </c>
      <c r="L81" t="s">
        <v>233</v>
      </c>
      <c r="M81" t="s">
        <v>236</v>
      </c>
      <c r="O81" s="3">
        <f>VLOOKUP(A81,'Audit AUM File'!A:B,2,FALSE)</f>
        <v>106304444.90159</v>
      </c>
      <c r="P81" s="3">
        <f>VLOOKUP(A81,[3]AUM!$A$3:$B$131,2,0)</f>
        <v>341235</v>
      </c>
      <c r="R81" s="15" t="b">
        <f>+IF(D81="",VLOOKUP(A81,'[2]Pivot for Jun AUM'!$A$5:$B$121,2,FALSE))</f>
        <v>0</v>
      </c>
      <c r="T81" s="23">
        <f>VLOOKUP(A81,[4]Flows!$A$3:$D$1206,4,0)</f>
        <v>-2087.83</v>
      </c>
      <c r="U81" s="23">
        <f>VLOOKUP(A81,'[3]Last Aum File'!$A$2:$B$1262,2,0)</f>
        <v>340831</v>
      </c>
      <c r="V81" s="14">
        <f t="shared" si="73"/>
        <v>0.340831</v>
      </c>
      <c r="W81" s="9">
        <f t="shared" si="72"/>
        <v>404</v>
      </c>
      <c r="X81" s="24">
        <f t="shared" si="74"/>
        <v>404</v>
      </c>
      <c r="Y81" s="14">
        <f t="shared" si="75"/>
        <v>0.34123500000000001</v>
      </c>
      <c r="Z81" s="14">
        <f t="shared" si="76"/>
        <v>4.0400000000000001E-4</v>
      </c>
      <c r="AA81" s="14">
        <f t="shared" si="77"/>
        <v>-2.0878299999999997E-3</v>
      </c>
      <c r="AB81" s="14">
        <f>VLOOKUP(A81,[3]AUM!$A$3:$B$131,2,0)/1000000</f>
        <v>0.34123500000000001</v>
      </c>
      <c r="AC81" s="14">
        <f>VLOOKUP(A81,'[3]Last Aum File'!$A$2:$B$126,2,0)/1000000</f>
        <v>0.340831</v>
      </c>
      <c r="AD81" s="14">
        <f t="shared" si="78"/>
        <v>4.0400000000001546E-4</v>
      </c>
    </row>
    <row r="82" spans="1:30" x14ac:dyDescent="0.25">
      <c r="A82" t="s">
        <v>74</v>
      </c>
      <c r="B82" t="s">
        <v>1737</v>
      </c>
      <c r="C82" t="s">
        <v>191</v>
      </c>
      <c r="D82" t="s">
        <v>1820</v>
      </c>
      <c r="E82" t="s">
        <v>1739</v>
      </c>
      <c r="F82" t="str">
        <f>VLOOKUP(A82,'[1]Model portfolios'!$A$2:$L$142,2,FALSE)</f>
        <v>From Risk - Fund Responsibility - Model Portfolios</v>
      </c>
      <c r="G82" t="str">
        <f>VLOOKUP($A82,'[2]Desk mapping'!$G:$L,5,FALSE)</f>
        <v>Outcome Oriented Strategies</v>
      </c>
      <c r="H82" t="str">
        <f>VLOOKUP($A82,'[2]Desk mapping'!$G:$L,6,FALSE)</f>
        <v>Capital Protection</v>
      </c>
      <c r="K82" t="s">
        <v>231</v>
      </c>
      <c r="L82" t="s">
        <v>233</v>
      </c>
      <c r="M82" t="s">
        <v>236</v>
      </c>
      <c r="O82" s="3">
        <f>VLOOKUP(A82,'Audit AUM File'!A:B,2,FALSE)</f>
        <v>105816999.138579</v>
      </c>
      <c r="P82" s="3">
        <f>VLOOKUP(A82,[3]AUM!$A$3:$B$131,2,0)</f>
        <v>187778</v>
      </c>
      <c r="R82" s="15" t="b">
        <f>+IF(D82="",VLOOKUP(A82,'[2]Pivot for Jun AUM'!$A$5:$B$121,2,FALSE))</f>
        <v>0</v>
      </c>
      <c r="T82" s="23">
        <f>VLOOKUP(A82,[4]Flows!$A$3:$D$1206,4,0)</f>
        <v>-1740.22</v>
      </c>
      <c r="U82" s="23">
        <f>VLOOKUP(A82,'[3]Last Aum File'!$A$2:$B$1262,2,0)</f>
        <v>187915</v>
      </c>
      <c r="V82" s="14">
        <f t="shared" si="73"/>
        <v>0.187915</v>
      </c>
      <c r="W82" s="9">
        <f t="shared" si="72"/>
        <v>-137</v>
      </c>
      <c r="X82" s="24">
        <f t="shared" si="74"/>
        <v>-137</v>
      </c>
      <c r="Y82" s="14">
        <f t="shared" si="75"/>
        <v>0.187778</v>
      </c>
      <c r="Z82" s="14">
        <f t="shared" si="76"/>
        <v>-1.37E-4</v>
      </c>
      <c r="AA82" s="14">
        <f t="shared" si="77"/>
        <v>-1.74022E-3</v>
      </c>
      <c r="AB82" s="14">
        <f>VLOOKUP(A82,[3]AUM!$A$3:$B$131,2,0)/1000000</f>
        <v>0.187778</v>
      </c>
      <c r="AC82" s="14">
        <f>VLOOKUP(A82,'[3]Last Aum File'!$A$2:$B$126,2,0)/1000000</f>
        <v>0.187915</v>
      </c>
      <c r="AD82" s="14">
        <f t="shared" si="78"/>
        <v>-1.3699999999999823E-4</v>
      </c>
    </row>
    <row r="83" spans="1:30" x14ac:dyDescent="0.25">
      <c r="A83" t="s">
        <v>138</v>
      </c>
      <c r="B83" t="s">
        <v>1737</v>
      </c>
      <c r="C83" t="s">
        <v>217</v>
      </c>
      <c r="D83" t="s">
        <v>1820</v>
      </c>
      <c r="E83" t="s">
        <v>1739</v>
      </c>
      <c r="F83" t="str">
        <f>VLOOKUP(A83,'[1]Model portfolios'!$A$2:$L$142,2,FALSE)</f>
        <v>From Risk - Fund Responsibility - Model Portfolios</v>
      </c>
      <c r="G83" t="str">
        <f>VLOOKUP($A83,'[2]Desk mapping'!$G:$L,5,FALSE)</f>
        <v>Outcome Oriented Strategies</v>
      </c>
      <c r="H83" t="str">
        <f>VLOOKUP($A83,'[2]Desk mapping'!$G:$L,6,FALSE)</f>
        <v>Capital Protection</v>
      </c>
      <c r="K83" t="s">
        <v>231</v>
      </c>
      <c r="L83" t="s">
        <v>233</v>
      </c>
      <c r="M83" t="s">
        <v>236</v>
      </c>
      <c r="O83" s="3">
        <f>VLOOKUP(A83,'Audit AUM File'!A:B,2,FALSE)</f>
        <v>107971611.001837</v>
      </c>
      <c r="P83" s="3">
        <f>VLOOKUP(A83,[3]AUM!$A$3:$B$131,2,0)</f>
        <v>634676</v>
      </c>
      <c r="R83" s="15" t="b">
        <f>+IF(D83="",VLOOKUP(A83,'[2]Pivot for Jun AUM'!$A$5:$B$121,2,FALSE))</f>
        <v>0</v>
      </c>
      <c r="T83" s="23">
        <f>VLOOKUP(A83,[4]Flows!$A$3:$D$1206,4,0)</f>
        <v>-2758.01</v>
      </c>
      <c r="U83" s="23">
        <f>VLOOKUP(A83,'[3]Last Aum File'!$A$2:$B$1262,2,0)</f>
        <v>631685</v>
      </c>
      <c r="V83" s="14">
        <f t="shared" si="73"/>
        <v>0.63168500000000005</v>
      </c>
      <c r="W83" s="9">
        <f t="shared" si="72"/>
        <v>2991</v>
      </c>
      <c r="X83" s="24">
        <f t="shared" si="74"/>
        <v>2991</v>
      </c>
      <c r="Y83" s="14">
        <f t="shared" si="75"/>
        <v>0.63467600000000002</v>
      </c>
      <c r="Z83" s="14">
        <f t="shared" si="76"/>
        <v>2.9910000000000002E-3</v>
      </c>
      <c r="AA83" s="14">
        <f t="shared" si="77"/>
        <v>-2.7580100000000004E-3</v>
      </c>
      <c r="AB83" s="14">
        <f>VLOOKUP(A83,[3]AUM!$A$3:$B$131,2,0)/1000000</f>
        <v>0.63467600000000002</v>
      </c>
      <c r="AC83" s="14">
        <f>VLOOKUP(A83,'[3]Last Aum File'!$A$2:$B$126,2,0)/1000000</f>
        <v>0.63168500000000005</v>
      </c>
      <c r="AD83" s="14">
        <f t="shared" si="78"/>
        <v>2.9909999999999659E-3</v>
      </c>
    </row>
    <row r="84" spans="1:30" x14ac:dyDescent="0.25">
      <c r="A84" t="s">
        <v>68</v>
      </c>
      <c r="B84" t="s">
        <v>1737</v>
      </c>
      <c r="C84" t="s">
        <v>187</v>
      </c>
      <c r="D84" t="s">
        <v>1820</v>
      </c>
      <c r="E84" t="s">
        <v>1739</v>
      </c>
      <c r="F84" t="str">
        <f>VLOOKUP(A84,'[1]Model portfolios'!$A$2:$L$142,2,FALSE)</f>
        <v>From Risk - Fund Responsibility - Model Portfolios</v>
      </c>
      <c r="G84" t="str">
        <f>VLOOKUP($A84,'[2]Desk mapping'!$G:$L,5,FALSE)</f>
        <v>Outcome Oriented Strategies</v>
      </c>
      <c r="H84" t="str">
        <f>VLOOKUP($A84,'[2]Desk mapping'!$G:$L,6,FALSE)</f>
        <v>Capital Protection</v>
      </c>
      <c r="K84" t="s">
        <v>231</v>
      </c>
      <c r="L84" t="s">
        <v>233</v>
      </c>
      <c r="M84" t="s">
        <v>236</v>
      </c>
      <c r="O84" s="3">
        <f>VLOOKUP(A84,'Audit AUM File'!A:B,2,FALSE)</f>
        <v>106807681.44795699</v>
      </c>
      <c r="P84" s="3">
        <f>VLOOKUP(A84,[3]AUM!$A$3:$B$131,2,0)</f>
        <v>134904</v>
      </c>
      <c r="R84" s="15" t="b">
        <f>+IF(D84="",VLOOKUP(A84,'[2]Pivot for Jun AUM'!$A$5:$B$121,2,FALSE))</f>
        <v>0</v>
      </c>
      <c r="T84" s="23">
        <f>VLOOKUP(A84,[4]Flows!$A$3:$D$1206,4,0)</f>
        <v>-1605.7</v>
      </c>
      <c r="U84" s="23">
        <f>VLOOKUP(A84,'[3]Last Aum File'!$A$2:$B$1262,2,0)</f>
        <v>135227</v>
      </c>
      <c r="V84" s="14">
        <f t="shared" si="73"/>
        <v>0.13522700000000001</v>
      </c>
      <c r="W84" s="9">
        <f t="shared" si="72"/>
        <v>-323</v>
      </c>
      <c r="X84" s="24">
        <f t="shared" si="74"/>
        <v>-323</v>
      </c>
      <c r="Y84" s="14">
        <f t="shared" si="75"/>
        <v>0.134904</v>
      </c>
      <c r="Z84" s="14">
        <f t="shared" si="76"/>
        <v>-3.2299999999999999E-4</v>
      </c>
      <c r="AA84" s="14">
        <f t="shared" si="77"/>
        <v>-1.6057000000000001E-3</v>
      </c>
      <c r="AB84" s="14">
        <f>VLOOKUP(A84,[3]AUM!$A$3:$B$131,2,0)/1000000</f>
        <v>0.134904</v>
      </c>
      <c r="AC84" s="14">
        <f>VLOOKUP(A84,'[3]Last Aum File'!$A$2:$B$126,2,0)/1000000</f>
        <v>0.13522700000000001</v>
      </c>
      <c r="AD84" s="14">
        <f t="shared" si="78"/>
        <v>-3.2300000000001772E-4</v>
      </c>
    </row>
    <row r="85" spans="1:30" x14ac:dyDescent="0.25">
      <c r="A85" t="s">
        <v>67</v>
      </c>
      <c r="B85" t="s">
        <v>1737</v>
      </c>
      <c r="C85" t="s">
        <v>186</v>
      </c>
      <c r="D85" t="s">
        <v>1820</v>
      </c>
      <c r="E85" t="s">
        <v>1739</v>
      </c>
      <c r="F85" t="str">
        <f>VLOOKUP(A85,'[1]Model portfolios'!$A$2:$L$142,2,FALSE)</f>
        <v>From Risk - Fund Responsibility - Model Portfolios</v>
      </c>
      <c r="G85" t="str">
        <f>VLOOKUP($A85,'[2]Desk mapping'!$G:$L,5,FALSE)</f>
        <v>Outcome Oriented Strategies</v>
      </c>
      <c r="H85" t="str">
        <f>VLOOKUP($A85,'[2]Desk mapping'!$G:$L,6,FALSE)</f>
        <v>Capital Protection</v>
      </c>
      <c r="K85" t="s">
        <v>231</v>
      </c>
      <c r="L85" t="s">
        <v>233</v>
      </c>
      <c r="M85" t="s">
        <v>236</v>
      </c>
      <c r="O85" s="3">
        <f>VLOOKUP(A85,'Audit AUM File'!A:B,2,FALSE)</f>
        <v>105199855.064237</v>
      </c>
      <c r="P85" s="3">
        <f>VLOOKUP(A85,[3]AUM!$A$3:$B$131,2,0)</f>
        <v>154948</v>
      </c>
      <c r="R85" s="15" t="b">
        <f>+IF(D85="",VLOOKUP(A85,'[2]Pivot for Jun AUM'!$A$5:$B$121,2,FALSE))</f>
        <v>0</v>
      </c>
      <c r="T85" s="23">
        <f>VLOOKUP(A85,[4]Flows!$A$3:$D$1206,4,0)</f>
        <v>-1644.49</v>
      </c>
      <c r="U85" s="23">
        <f>VLOOKUP(A85,'[3]Last Aum File'!$A$2:$B$1262,2,0)</f>
        <v>155214</v>
      </c>
      <c r="V85" s="14">
        <f t="shared" si="73"/>
        <v>0.15521399999999999</v>
      </c>
      <c r="W85" s="9">
        <f t="shared" si="72"/>
        <v>-266</v>
      </c>
      <c r="X85" s="24">
        <f t="shared" si="74"/>
        <v>-266</v>
      </c>
      <c r="Y85" s="14">
        <f t="shared" si="75"/>
        <v>0.154948</v>
      </c>
      <c r="Z85" s="14">
        <f t="shared" si="76"/>
        <v>-2.6600000000000001E-4</v>
      </c>
      <c r="AA85" s="14">
        <f t="shared" si="77"/>
        <v>-1.64449E-3</v>
      </c>
      <c r="AB85" s="14">
        <f>VLOOKUP(A85,[3]AUM!$A$3:$B$131,2,0)/1000000</f>
        <v>0.154948</v>
      </c>
      <c r="AC85" s="14">
        <f>VLOOKUP(A85,'[3]Last Aum File'!$A$2:$B$126,2,0)/1000000</f>
        <v>0.15521399999999999</v>
      </c>
      <c r="AD85" s="14">
        <f t="shared" si="78"/>
        <v>-2.6599999999998847E-4</v>
      </c>
    </row>
    <row r="86" spans="1:30" x14ac:dyDescent="0.25">
      <c r="A86" t="s">
        <v>73</v>
      </c>
      <c r="B86" t="s">
        <v>1737</v>
      </c>
      <c r="C86" t="s">
        <v>190</v>
      </c>
      <c r="D86" t="s">
        <v>1820</v>
      </c>
      <c r="E86" t="s">
        <v>1739</v>
      </c>
      <c r="F86" t="str">
        <f>VLOOKUP(A86,'[1]Model portfolios'!$A$2:$L$142,2,FALSE)</f>
        <v>From Risk - Fund Responsibility - Model Portfolios</v>
      </c>
      <c r="G86" t="str">
        <f>VLOOKUP($A86,'[2]Desk mapping'!$G:$L,5,FALSE)</f>
        <v>Outcome Oriented Strategies</v>
      </c>
      <c r="H86" t="str">
        <f>VLOOKUP($A86,'[2]Desk mapping'!$G:$L,6,FALSE)</f>
        <v>Capital Protection</v>
      </c>
      <c r="K86" t="s">
        <v>231</v>
      </c>
      <c r="L86" t="s">
        <v>233</v>
      </c>
      <c r="M86" t="s">
        <v>236</v>
      </c>
      <c r="O86" s="3">
        <f>VLOOKUP(A86,'Audit AUM File'!A:B,2,FALSE)</f>
        <v>111570275.28652801</v>
      </c>
      <c r="P86" s="3">
        <f>VLOOKUP(A86,[3]AUM!$A$3:$B$131,2,0)</f>
        <v>279016</v>
      </c>
      <c r="R86" s="15" t="b">
        <f>+IF(D86="",VLOOKUP(A86,'[2]Pivot for Jun AUM'!$A$5:$B$121,2,FALSE))</f>
        <v>0</v>
      </c>
      <c r="T86" s="23">
        <f>VLOOKUP(A86,[4]Flows!$A$3:$D$1206,4,0)</f>
        <v>-1958.1100000000001</v>
      </c>
      <c r="U86" s="23">
        <f>VLOOKUP(A86,'[3]Last Aum File'!$A$2:$B$1262,2,0)</f>
        <v>278072</v>
      </c>
      <c r="V86" s="14">
        <f t="shared" si="73"/>
        <v>0.27807199999999999</v>
      </c>
      <c r="W86" s="9">
        <f t="shared" si="72"/>
        <v>944</v>
      </c>
      <c r="X86" s="24">
        <f t="shared" si="74"/>
        <v>944</v>
      </c>
      <c r="Y86" s="14">
        <f t="shared" si="75"/>
        <v>0.27901599999999999</v>
      </c>
      <c r="Z86" s="14">
        <f t="shared" si="76"/>
        <v>9.4399999999999996E-4</v>
      </c>
      <c r="AA86" s="14">
        <f t="shared" si="77"/>
        <v>-1.9581100000000003E-3</v>
      </c>
      <c r="AB86" s="14">
        <f>VLOOKUP(A86,[3]AUM!$A$3:$B$131,2,0)/1000000</f>
        <v>0.27901599999999999</v>
      </c>
      <c r="AC86" s="14">
        <f>VLOOKUP(A86,'[3]Last Aum File'!$A$2:$B$126,2,0)/1000000</f>
        <v>0.27807199999999999</v>
      </c>
      <c r="AD86" s="14">
        <f t="shared" si="78"/>
        <v>9.4400000000000039E-4</v>
      </c>
    </row>
    <row r="87" spans="1:30" x14ac:dyDescent="0.25">
      <c r="A87" t="s">
        <v>81</v>
      </c>
      <c r="B87" t="s">
        <v>1737</v>
      </c>
      <c r="C87" t="s">
        <v>196</v>
      </c>
      <c r="D87" t="s">
        <v>1820</v>
      </c>
      <c r="E87" t="s">
        <v>1739</v>
      </c>
      <c r="F87" t="str">
        <f>VLOOKUP(A87,'[1]Model portfolios'!$A$2:$L$142,2,FALSE)</f>
        <v>From Risk - Fund Responsibility - Model Portfolios</v>
      </c>
      <c r="G87" t="str">
        <f>VLOOKUP($A87,'[2]Desk mapping'!$G:$L,5,FALSE)</f>
        <v>Outcome Oriented Strategies</v>
      </c>
      <c r="H87" t="str">
        <f>VLOOKUP($A87,'[2]Desk mapping'!$G:$L,6,FALSE)</f>
        <v>Capital Protection</v>
      </c>
      <c r="K87" t="s">
        <v>231</v>
      </c>
      <c r="L87" t="s">
        <v>233</v>
      </c>
      <c r="M87" t="s">
        <v>236</v>
      </c>
      <c r="O87" s="3">
        <f>VLOOKUP(A87,'Audit AUM File'!A:B,2,FALSE)</f>
        <v>111414919.584572</v>
      </c>
      <c r="P87" s="3">
        <f>VLOOKUP(A87,[3]AUM!$A$3:$B$131,2,0)</f>
        <v>28074</v>
      </c>
      <c r="R87" s="15" t="b">
        <f>+IF(D87="",VLOOKUP(A87,'[2]Pivot for Jun AUM'!$A$5:$B$121,2,FALSE))</f>
        <v>0</v>
      </c>
      <c r="T87" s="23">
        <f>VLOOKUP(A87,[4]Flows!$A$3:$D$1206,4,0)</f>
        <v>-1209.0000000000002</v>
      </c>
      <c r="U87" s="23">
        <f>VLOOKUP(A87,'[3]Last Aum File'!$A$2:$B$1262,2,0)</f>
        <v>29020</v>
      </c>
      <c r="V87" s="14">
        <f t="shared" si="73"/>
        <v>2.9020000000000001E-2</v>
      </c>
      <c r="W87" s="9">
        <f t="shared" si="72"/>
        <v>-946</v>
      </c>
      <c r="X87" s="24">
        <f t="shared" si="74"/>
        <v>-946</v>
      </c>
      <c r="Y87" s="14">
        <f t="shared" si="75"/>
        <v>2.8074000000000002E-2</v>
      </c>
      <c r="Z87" s="14">
        <f t="shared" si="76"/>
        <v>-9.4600000000000001E-4</v>
      </c>
      <c r="AA87" s="14">
        <f t="shared" si="77"/>
        <v>-1.2090000000000002E-3</v>
      </c>
      <c r="AB87" s="14">
        <f>VLOOKUP(A87,[3]AUM!$A$3:$B$131,2,0)/1000000</f>
        <v>2.8074000000000002E-2</v>
      </c>
      <c r="AC87" s="14">
        <f>VLOOKUP(A87,'[3]Last Aum File'!$A$2:$B$126,2,0)/1000000</f>
        <v>2.9020000000000001E-2</v>
      </c>
      <c r="AD87" s="14">
        <f t="shared" si="78"/>
        <v>-9.4599999999999893E-4</v>
      </c>
    </row>
    <row r="88" spans="1:30" x14ac:dyDescent="0.25">
      <c r="A88" t="s">
        <v>79</v>
      </c>
      <c r="B88" t="s">
        <v>1737</v>
      </c>
      <c r="C88" t="s">
        <v>194</v>
      </c>
      <c r="D88" t="s">
        <v>1820</v>
      </c>
      <c r="E88" t="s">
        <v>1739</v>
      </c>
      <c r="F88" t="str">
        <f>VLOOKUP(A88,'[1]Model portfolios'!$A$2:$L$142,2,FALSE)</f>
        <v>From Risk - Fund Responsibility - Model Portfolios</v>
      </c>
      <c r="G88" t="str">
        <f>VLOOKUP($A88,'[2]Desk mapping'!$G:$L,5,FALSE)</f>
        <v>Outcome Oriented Strategies</v>
      </c>
      <c r="H88" t="str">
        <f>VLOOKUP($A88,'[2]Desk mapping'!$G:$L,6,FALSE)</f>
        <v>Capital Protection</v>
      </c>
      <c r="K88" t="s">
        <v>231</v>
      </c>
      <c r="L88" t="s">
        <v>233</v>
      </c>
      <c r="M88" t="s">
        <v>236</v>
      </c>
      <c r="O88" s="3">
        <f>VLOOKUP(A88,'Audit AUM File'!A:B,2,FALSE)</f>
        <v>108977985.737858</v>
      </c>
      <c r="P88" s="3">
        <f>VLOOKUP(A88,[3]AUM!$A$3:$B$131,2,0)</f>
        <v>16557</v>
      </c>
      <c r="R88" s="15" t="b">
        <f>+IF(D88="",VLOOKUP(A88,'[2]Pivot for Jun AUM'!$A$5:$B$121,2,FALSE))</f>
        <v>0</v>
      </c>
      <c r="T88" s="23">
        <f>VLOOKUP(A88,[4]Flows!$A$3:$D$1206,4,0)</f>
        <v>-579.68999999999983</v>
      </c>
      <c r="U88" s="23">
        <f>VLOOKUP(A88,'[3]Last Aum File'!$A$2:$B$1262,2,0)</f>
        <v>16991</v>
      </c>
      <c r="V88" s="14">
        <f t="shared" si="73"/>
        <v>1.6990999999999999E-2</v>
      </c>
      <c r="W88" s="9">
        <f t="shared" si="72"/>
        <v>-434</v>
      </c>
      <c r="X88" s="24">
        <f t="shared" si="74"/>
        <v>-434</v>
      </c>
      <c r="Y88" s="14">
        <f t="shared" si="75"/>
        <v>1.6556999999999999E-2</v>
      </c>
      <c r="Z88" s="14">
        <f t="shared" si="76"/>
        <v>-4.3399999999999998E-4</v>
      </c>
      <c r="AA88" s="14">
        <f t="shared" si="77"/>
        <v>-5.7968999999999978E-4</v>
      </c>
      <c r="AB88" s="14">
        <f>VLOOKUP(A88,[3]AUM!$A$3:$B$131,2,0)/1000000</f>
        <v>1.6556999999999999E-2</v>
      </c>
      <c r="AC88" s="14">
        <f>VLOOKUP(A88,'[3]Last Aum File'!$A$2:$B$126,2,0)/1000000</f>
        <v>1.6990999999999999E-2</v>
      </c>
      <c r="AD88" s="14">
        <f t="shared" si="78"/>
        <v>-4.3400000000000036E-4</v>
      </c>
    </row>
    <row r="89" spans="1:30" x14ac:dyDescent="0.25">
      <c r="A89" t="s">
        <v>1803</v>
      </c>
      <c r="B89" t="s">
        <v>1737</v>
      </c>
      <c r="C89" t="s">
        <v>1805</v>
      </c>
      <c r="D89" t="s">
        <v>1820</v>
      </c>
      <c r="E89" t="s">
        <v>1739</v>
      </c>
      <c r="F89" t="s">
        <v>1807</v>
      </c>
      <c r="G89" t="s">
        <v>1757</v>
      </c>
      <c r="H89" t="s">
        <v>1771</v>
      </c>
      <c r="K89" t="s">
        <v>231</v>
      </c>
      <c r="L89" t="s">
        <v>233</v>
      </c>
      <c r="M89" t="s">
        <v>236</v>
      </c>
      <c r="P89" s="3">
        <f>VLOOKUP(A89,[3]AUM!$A$3:$B$131,2,0)</f>
        <v>195364106</v>
      </c>
      <c r="T89" s="23">
        <f>VLOOKUP(A89,[4]Flows!$A$3:$D$1206,4,0)</f>
        <v>-10521304.209999999</v>
      </c>
      <c r="U89" s="23">
        <f>VLOOKUP(A89,'[3]Last Aum File'!$A$2:$B$1262,2,0)</f>
        <v>201751089</v>
      </c>
      <c r="V89" s="14">
        <f t="shared" ref="V89:V90" si="79">+U89/1000000</f>
        <v>201.75108900000001</v>
      </c>
      <c r="W89" s="9">
        <f t="shared" ref="W89:W119" si="80">+IF(OR(A89="HF11",A89="PACIFAI"),0,IF(A89="MUSG",P89-U89/2,P89-U89))</f>
        <v>-6386983</v>
      </c>
      <c r="X89" s="24">
        <f t="shared" ref="X89:X90" si="81">+IF(ISNA(W89),0,W89)</f>
        <v>-6386983</v>
      </c>
      <c r="Y89" s="14">
        <f t="shared" ref="Y89" si="82">P89/1000000</f>
        <v>195.36410599999999</v>
      </c>
      <c r="Z89" s="14">
        <f t="shared" ref="Z89:Z90" si="83">X89/1000000</f>
        <v>-6.3869829999999999</v>
      </c>
      <c r="AA89" s="14">
        <f t="shared" si="77"/>
        <v>-10.521304209999998</v>
      </c>
      <c r="AB89" s="14">
        <f>VLOOKUP(A89,[3]AUM!$A$3:$B$131,2,0)/1000000</f>
        <v>195.36410599999999</v>
      </c>
      <c r="AC89" s="14">
        <v>0</v>
      </c>
      <c r="AD89" s="14">
        <f t="shared" ref="AD89:AD90" si="84">AB89-AC89</f>
        <v>195.36410599999999</v>
      </c>
    </row>
    <row r="90" spans="1:30" x14ac:dyDescent="0.25">
      <c r="A90" t="s">
        <v>1804</v>
      </c>
      <c r="B90" t="s">
        <v>1737</v>
      </c>
      <c r="C90" t="s">
        <v>1806</v>
      </c>
      <c r="D90" t="s">
        <v>1820</v>
      </c>
      <c r="E90" t="s">
        <v>1739</v>
      </c>
      <c r="F90" t="s">
        <v>1807</v>
      </c>
      <c r="G90" t="s">
        <v>1757</v>
      </c>
      <c r="H90" t="s">
        <v>1771</v>
      </c>
      <c r="K90" t="s">
        <v>231</v>
      </c>
      <c r="L90" t="s">
        <v>233</v>
      </c>
      <c r="M90" t="s">
        <v>236</v>
      </c>
      <c r="P90" s="3">
        <f>VLOOKUP(A90,[3]AUM!$A$3:$B$131,2,0)</f>
        <v>307505809</v>
      </c>
      <c r="T90" s="23">
        <f>VLOOKUP(A90,[4]Flows!$A$3:$D$1206,4,0)</f>
        <v>-11494400.819999998</v>
      </c>
      <c r="U90" s="23">
        <f>VLOOKUP(A90,'[3]Last Aum File'!$A$2:$B$1262,2,0)</f>
        <v>312423908</v>
      </c>
      <c r="V90" s="14">
        <f t="shared" si="79"/>
        <v>312.42390799999998</v>
      </c>
      <c r="W90" s="9">
        <f t="shared" si="80"/>
        <v>-4918099</v>
      </c>
      <c r="X90" s="24">
        <f t="shared" si="81"/>
        <v>-4918099</v>
      </c>
      <c r="Y90" s="14">
        <f>P90/1000000</f>
        <v>307.505809</v>
      </c>
      <c r="Z90" s="14">
        <f t="shared" si="83"/>
        <v>-4.9180989999999998</v>
      </c>
      <c r="AA90" s="14">
        <f t="shared" si="77"/>
        <v>-11.494400819999999</v>
      </c>
      <c r="AB90" s="14">
        <f>VLOOKUP(A90,[3]AUM!$A$3:$B$131,2,0)/1000000</f>
        <v>307.505809</v>
      </c>
      <c r="AC90" s="14">
        <v>0</v>
      </c>
      <c r="AD90" s="14">
        <f t="shared" si="84"/>
        <v>307.505809</v>
      </c>
    </row>
    <row r="91" spans="1:30" x14ac:dyDescent="0.25">
      <c r="A91" t="s">
        <v>64</v>
      </c>
      <c r="B91" t="s">
        <v>1737</v>
      </c>
      <c r="C91" t="s">
        <v>184</v>
      </c>
      <c r="D91" t="s">
        <v>1820</v>
      </c>
      <c r="E91" t="s">
        <v>1739</v>
      </c>
      <c r="F91" t="str">
        <f>VLOOKUP(A91,'[1]Model portfolios'!$A$2:$L$142,2,FALSE)</f>
        <v>From Risk - Fund Responsibility - Model Portfolios</v>
      </c>
      <c r="G91" t="str">
        <f>VLOOKUP($A91,'[2]Desk mapping'!$G:$L,5,FALSE)</f>
        <v>Outcome Oriented Strategies</v>
      </c>
      <c r="H91" t="str">
        <f>VLOOKUP($A91,'[2]Desk mapping'!$G:$L,6,FALSE)</f>
        <v>Capital Guaranteed</v>
      </c>
      <c r="K91" t="s">
        <v>231</v>
      </c>
      <c r="L91" t="s">
        <v>233</v>
      </c>
      <c r="M91" t="s">
        <v>236</v>
      </c>
      <c r="O91" s="3">
        <f>VLOOKUP(A91,'Audit AUM File'!A:B,2,FALSE)</f>
        <v>111167018.79302099</v>
      </c>
      <c r="P91" s="3">
        <f>VLOOKUP(A91,[3]AUM!$A$3:$B$131,2,0)</f>
        <v>116832547</v>
      </c>
      <c r="R91" s="15" t="b">
        <f>+IF(D91="",VLOOKUP(A91,'[2]Pivot for Jun AUM'!$A$5:$B$121,2,FALSE))</f>
        <v>0</v>
      </c>
      <c r="T91" s="23">
        <f>VLOOKUP(A91,[4]Flows!$A$3:$D$1206,4,0)</f>
        <v>-16088829.240000004</v>
      </c>
      <c r="U91" s="23">
        <f>VLOOKUP(A91,'[3]Last Aum File'!$A$2:$B$1262,2,0)</f>
        <v>132260888</v>
      </c>
      <c r="V91" s="14">
        <f t="shared" si="73"/>
        <v>132.26088799999999</v>
      </c>
      <c r="W91" s="9">
        <f t="shared" si="80"/>
        <v>-15428341</v>
      </c>
      <c r="X91" s="24">
        <f t="shared" si="74"/>
        <v>-15428341</v>
      </c>
      <c r="Y91" s="14">
        <f t="shared" si="75"/>
        <v>116.83254700000001</v>
      </c>
      <c r="Z91" s="14">
        <f t="shared" si="76"/>
        <v>-15.428341</v>
      </c>
      <c r="AA91" s="14">
        <f t="shared" si="77"/>
        <v>-16.088829240000003</v>
      </c>
      <c r="AB91" s="14">
        <f>VLOOKUP(A91,[3]AUM!$A$3:$B$131,2,0)/1000000</f>
        <v>116.83254700000001</v>
      </c>
      <c r="AC91" s="14">
        <f>VLOOKUP(A91,'[3]Last Aum File'!$A$2:$B$126,2,0)/1000000</f>
        <v>132.26088799999999</v>
      </c>
      <c r="AD91" s="14">
        <f t="shared" si="78"/>
        <v>-15.428340999999989</v>
      </c>
    </row>
    <row r="92" spans="1:30" x14ac:dyDescent="0.25">
      <c r="A92" t="s">
        <v>78</v>
      </c>
      <c r="B92" t="s">
        <v>1737</v>
      </c>
      <c r="C92" t="s">
        <v>193</v>
      </c>
      <c r="D92" t="s">
        <v>1820</v>
      </c>
      <c r="E92" t="s">
        <v>1739</v>
      </c>
      <c r="F92" t="str">
        <f>VLOOKUP(A92,'[1]Model portfolios'!$A$2:$L$142,2,FALSE)</f>
        <v>From Risk - Fund Responsibility - Model Portfolios</v>
      </c>
      <c r="G92" t="str">
        <f>VLOOKUP($A92,'[2]Desk mapping'!$G:$L,5,FALSE)</f>
        <v>Outcome Oriented Strategies</v>
      </c>
      <c r="H92" t="str">
        <f>VLOOKUP($A92,'[2]Desk mapping'!$G:$L,6,FALSE)</f>
        <v>Capital Guaranteed</v>
      </c>
      <c r="K92" t="s">
        <v>231</v>
      </c>
      <c r="L92" t="s">
        <v>233</v>
      </c>
      <c r="M92" t="s">
        <v>236</v>
      </c>
      <c r="O92" s="3">
        <f>VLOOKUP(A92,'Audit AUM File'!A:B,2,FALSE)</f>
        <v>110734811.618277</v>
      </c>
      <c r="P92" s="3">
        <f>VLOOKUP(A92,[3]AUM!$A$3:$B$131,2,0)</f>
        <v>279293562</v>
      </c>
      <c r="R92" s="15" t="b">
        <f>+IF(D92="",VLOOKUP(A92,'[2]Pivot for Jun AUM'!$A$5:$B$121,2,FALSE))</f>
        <v>0</v>
      </c>
      <c r="T92" s="23">
        <f>VLOOKUP(A92,[4]Flows!$A$3:$D$1206,4,0)</f>
        <v>-25728394.100000024</v>
      </c>
      <c r="U92" s="23">
        <f>VLOOKUP(A92,'[3]Last Aum File'!$A$2:$B$1262,2,0)</f>
        <v>303707882</v>
      </c>
      <c r="V92" s="14">
        <f t="shared" si="73"/>
        <v>303.70788199999998</v>
      </c>
      <c r="W92" s="9">
        <f t="shared" si="80"/>
        <v>-24414320</v>
      </c>
      <c r="X92" s="24">
        <f t="shared" si="74"/>
        <v>-24414320</v>
      </c>
      <c r="Y92" s="14">
        <f>P92/1000000</f>
        <v>279.29356200000001</v>
      </c>
      <c r="Z92" s="14">
        <f t="shared" si="76"/>
        <v>-24.41432</v>
      </c>
      <c r="AA92" s="14">
        <f t="shared" si="77"/>
        <v>-25.728394100000024</v>
      </c>
      <c r="AB92" s="14">
        <f>VLOOKUP(A92,[3]AUM!$A$3:$B$131,2,0)/1000000</f>
        <v>279.29356200000001</v>
      </c>
      <c r="AC92" s="14">
        <f>VLOOKUP(A92,'[3]Last Aum File'!$A$2:$B$126,2,0)/1000000</f>
        <v>303.70788199999998</v>
      </c>
      <c r="AD92" s="14">
        <f t="shared" si="78"/>
        <v>-24.414319999999975</v>
      </c>
    </row>
    <row r="93" spans="1:30" x14ac:dyDescent="0.25">
      <c r="A93" t="s">
        <v>1893</v>
      </c>
      <c r="B93" t="s">
        <v>1737</v>
      </c>
      <c r="C93" t="s">
        <v>1894</v>
      </c>
      <c r="D93" t="s">
        <v>1820</v>
      </c>
      <c r="E93" t="s">
        <v>1739</v>
      </c>
      <c r="F93" t="s">
        <v>1807</v>
      </c>
      <c r="G93" t="s">
        <v>1757</v>
      </c>
      <c r="H93" t="s">
        <v>1771</v>
      </c>
      <c r="K93" t="s">
        <v>231</v>
      </c>
      <c r="L93" t="s">
        <v>233</v>
      </c>
      <c r="M93" t="s">
        <v>236</v>
      </c>
      <c r="P93" s="3">
        <f>VLOOKUP(A93,[3]AUM!$A$3:$B$131,2,0)</f>
        <v>96897819</v>
      </c>
      <c r="R93" s="15" t="b">
        <f>+IF(D93="",VLOOKUP(A93,'[2]Pivot for Jun AUM'!$A$5:$B$121,2,FALSE))</f>
        <v>0</v>
      </c>
      <c r="T93" s="23">
        <f>VLOOKUP(A93,[4]Flows!$A$3:$D$1206,4,0)</f>
        <v>367906.5400000001</v>
      </c>
      <c r="U93" s="23">
        <f>VLOOKUP(A93,'[3]Last Aum File'!$A$2:$B$1262,2,0)</f>
        <v>92942418</v>
      </c>
      <c r="V93" s="14">
        <f t="shared" ref="V93:V94" si="85">+U93/1000000</f>
        <v>92.942418000000004</v>
      </c>
      <c r="W93" s="9">
        <f t="shared" si="80"/>
        <v>3955401</v>
      </c>
      <c r="X93" s="24">
        <f t="shared" ref="X93:X94" si="86">+IF(ISNA(W93),0,W93)</f>
        <v>3955401</v>
      </c>
      <c r="Y93" s="14">
        <f t="shared" ref="Y93" si="87">P93/1000000</f>
        <v>96.897818999999998</v>
      </c>
      <c r="Z93" s="14">
        <f t="shared" ref="Z93:Z94" si="88">X93/1000000</f>
        <v>3.9554010000000002</v>
      </c>
      <c r="AA93" s="14">
        <f t="shared" ref="AA93:AA94" si="89">T93/1000000</f>
        <v>0.36790654000000012</v>
      </c>
      <c r="AB93" s="14">
        <f>VLOOKUP(A93,[3]AUM!$A$3:$B$131,2,0)/1000000</f>
        <v>96.897818999999998</v>
      </c>
      <c r="AC93" s="14">
        <f>VLOOKUP(A93,'[3]Last Aum File'!$A$2:$B$126,2,0)/1000000</f>
        <v>92.942418000000004</v>
      </c>
      <c r="AD93" s="14">
        <f t="shared" ref="AD93:AD94" si="90">AB93-AC93</f>
        <v>3.9554009999999948</v>
      </c>
    </row>
    <row r="94" spans="1:30" x14ac:dyDescent="0.25">
      <c r="A94" t="s">
        <v>1892</v>
      </c>
      <c r="B94" t="s">
        <v>1737</v>
      </c>
      <c r="C94" t="s">
        <v>1895</v>
      </c>
      <c r="D94" t="s">
        <v>1820</v>
      </c>
      <c r="E94" t="s">
        <v>1739</v>
      </c>
      <c r="F94" t="s">
        <v>1807</v>
      </c>
      <c r="G94" t="s">
        <v>1757</v>
      </c>
      <c r="H94" t="s">
        <v>1771</v>
      </c>
      <c r="K94" t="s">
        <v>231</v>
      </c>
      <c r="L94" t="s">
        <v>233</v>
      </c>
      <c r="M94" t="s">
        <v>236</v>
      </c>
      <c r="P94" s="3">
        <f>VLOOKUP(A94,[3]AUM!$A$3:$B$131,2,0)</f>
        <v>106822030</v>
      </c>
      <c r="R94" s="15" t="b">
        <f>+IF(D94="",VLOOKUP(A94,'[2]Pivot for Jun AUM'!$A$5:$B$121,2,FALSE))</f>
        <v>0</v>
      </c>
      <c r="T94" s="23">
        <f>VLOOKUP(A94,[4]Flows!$A$3:$D$1206,4,0)</f>
        <v>1020637.6299999998</v>
      </c>
      <c r="U94" s="23">
        <f>VLOOKUP(A94,'[3]Last Aum File'!$A$2:$B$1262,2,0)</f>
        <v>101671056</v>
      </c>
      <c r="V94" s="14">
        <f t="shared" si="85"/>
        <v>101.67105599999999</v>
      </c>
      <c r="W94" s="9">
        <f t="shared" si="80"/>
        <v>5150974</v>
      </c>
      <c r="X94" s="24">
        <f t="shared" si="86"/>
        <v>5150974</v>
      </c>
      <c r="Y94" s="14">
        <f>P94/1000000</f>
        <v>106.82203</v>
      </c>
      <c r="Z94" s="14">
        <f t="shared" si="88"/>
        <v>5.1509739999999997</v>
      </c>
      <c r="AA94" s="14">
        <f t="shared" si="89"/>
        <v>1.0206376299999997</v>
      </c>
      <c r="AB94" s="14">
        <f>VLOOKUP(A94,[3]AUM!$A$3:$B$131,2,0)/1000000</f>
        <v>106.82203</v>
      </c>
      <c r="AC94" s="14">
        <f>VLOOKUP(A94,'[3]Last Aum File'!$A$2:$B$126,2,0)/1000000</f>
        <v>101.67105599999999</v>
      </c>
      <c r="AD94" s="14">
        <f t="shared" si="90"/>
        <v>5.150974000000005</v>
      </c>
    </row>
    <row r="95" spans="1:30" x14ac:dyDescent="0.25">
      <c r="A95" t="s">
        <v>149</v>
      </c>
      <c r="B95" t="s">
        <v>1737</v>
      </c>
      <c r="C95" t="s">
        <v>225</v>
      </c>
      <c r="D95" t="s">
        <v>1820</v>
      </c>
      <c r="E95" t="s">
        <v>1739</v>
      </c>
      <c r="F95" t="str">
        <f>VLOOKUP(A95,'[1]Model portfolios'!$A$2:$L$142,2,FALSE)</f>
        <v>From Risk - Fund Responsibility - Model Portfolios</v>
      </c>
      <c r="G95" t="str">
        <f>VLOOKUP($A95,'[2]Desk mapping'!$G:$L,5,FALSE)</f>
        <v>Outcome Oriented Strategies</v>
      </c>
      <c r="H95" t="str">
        <f>VLOOKUP($A95,'[2]Desk mapping'!$G:$L,6,FALSE)</f>
        <v>Income</v>
      </c>
      <c r="K95" t="s">
        <v>231</v>
      </c>
      <c r="L95" t="s">
        <v>233</v>
      </c>
      <c r="M95" t="s">
        <v>236</v>
      </c>
      <c r="O95" s="3">
        <f>VLOOKUP(A95,'Audit AUM File'!A:B,2,FALSE)</f>
        <v>123428954.947797</v>
      </c>
      <c r="P95" s="3">
        <f>VLOOKUP(A95,[3]AUM!$A$3:$B$131,2,0)</f>
        <v>215406941</v>
      </c>
      <c r="R95" s="15" t="b">
        <f>+IF(D95="",VLOOKUP(A95,'[2]Pivot for Jun AUM'!$A$5:$B$121,2,FALSE))</f>
        <v>0</v>
      </c>
      <c r="T95" s="23">
        <f>VLOOKUP(A95,[4]Flows!$A$3:$D$1206,4,0)</f>
        <v>-15247022.630000001</v>
      </c>
      <c r="U95" s="23">
        <f>VLOOKUP(A95,'[3]Last Aum File'!$A$2:$B$1262,2,0)</f>
        <v>230490457</v>
      </c>
      <c r="V95" s="14">
        <f t="shared" si="73"/>
        <v>230.49045699999999</v>
      </c>
      <c r="W95" s="9">
        <f t="shared" si="80"/>
        <v>-15083516</v>
      </c>
      <c r="X95" s="24">
        <f t="shared" si="74"/>
        <v>-15083516</v>
      </c>
      <c r="Y95" s="14">
        <f t="shared" si="75"/>
        <v>215.40694099999999</v>
      </c>
      <c r="Z95" s="14">
        <f t="shared" si="76"/>
        <v>-15.083515999999999</v>
      </c>
      <c r="AA95" s="14">
        <f t="shared" si="77"/>
        <v>-15.24702263</v>
      </c>
      <c r="AB95" s="14">
        <f>VLOOKUP(A95,[3]AUM!$A$3:$B$131,2,0)/1000000</f>
        <v>215.40694099999999</v>
      </c>
      <c r="AC95" s="14">
        <f>VLOOKUP(A95,'[3]Last Aum File'!$A$2:$B$126,2,0)/1000000</f>
        <v>230.49045699999999</v>
      </c>
      <c r="AD95" s="14">
        <f t="shared" si="78"/>
        <v>-15.083516000000003</v>
      </c>
    </row>
    <row r="96" spans="1:30" x14ac:dyDescent="0.25">
      <c r="A96" t="s">
        <v>148</v>
      </c>
      <c r="B96" t="s">
        <v>1737</v>
      </c>
      <c r="C96" t="s">
        <v>224</v>
      </c>
      <c r="D96" t="s">
        <v>1820</v>
      </c>
      <c r="E96" t="s">
        <v>1739</v>
      </c>
      <c r="F96" t="str">
        <f>VLOOKUP(A96,'[1]Model portfolios'!$A$2:$L$142,2,FALSE)</f>
        <v>From Risk - Fund Responsibility - Model Portfolios</v>
      </c>
      <c r="G96" t="str">
        <f>VLOOKUP($A96,'[2]Desk mapping'!$G:$L,5,FALSE)</f>
        <v>Outcome Oriented Strategies</v>
      </c>
      <c r="H96" t="str">
        <f>VLOOKUP($A96,'[2]Desk mapping'!$G:$L,6,FALSE)</f>
        <v>Income</v>
      </c>
      <c r="K96" t="s">
        <v>231</v>
      </c>
      <c r="L96" t="s">
        <v>233</v>
      </c>
      <c r="M96" t="s">
        <v>236</v>
      </c>
      <c r="O96" s="3">
        <f>VLOOKUP(A96,'Audit AUM File'!A:B,2,FALSE)</f>
        <v>121179752.07127599</v>
      </c>
      <c r="P96" s="3">
        <f>VLOOKUP(A96,[3]AUM!$A$3:$B$131,2,0)</f>
        <v>154991340</v>
      </c>
      <c r="R96" s="15" t="b">
        <f>+IF(D96="",VLOOKUP(A96,'[2]Pivot for Jun AUM'!$A$5:$B$121,2,FALSE))</f>
        <v>0</v>
      </c>
      <c r="T96" s="23">
        <f>VLOOKUP(A96,[4]Flows!$A$3:$D$1206,4,0)</f>
        <v>-14572498.070000004</v>
      </c>
      <c r="U96" s="23">
        <f>VLOOKUP(A96,'[3]Last Aum File'!$A$2:$B$1262,2,0)</f>
        <v>170018725</v>
      </c>
      <c r="V96" s="14">
        <f t="shared" si="73"/>
        <v>170.01872499999999</v>
      </c>
      <c r="W96" s="9">
        <f t="shared" si="80"/>
        <v>-15027385</v>
      </c>
      <c r="X96" s="24">
        <f t="shared" si="74"/>
        <v>-15027385</v>
      </c>
      <c r="Y96" s="14">
        <f t="shared" si="75"/>
        <v>154.99134000000001</v>
      </c>
      <c r="Z96" s="14">
        <f t="shared" si="76"/>
        <v>-15.027385000000001</v>
      </c>
      <c r="AA96" s="14">
        <f t="shared" si="77"/>
        <v>-14.572498070000004</v>
      </c>
      <c r="AB96" s="14">
        <f>VLOOKUP(A96,[3]AUM!$A$3:$B$131,2,0)/1000000</f>
        <v>154.99134000000001</v>
      </c>
      <c r="AC96" s="14">
        <f>VLOOKUP(A96,'[3]Last Aum File'!$A$2:$B$126,2,0)/1000000</f>
        <v>170.01872499999999</v>
      </c>
      <c r="AD96" s="14">
        <f t="shared" si="78"/>
        <v>-15.027384999999981</v>
      </c>
    </row>
    <row r="97" spans="1:30" x14ac:dyDescent="0.25">
      <c r="A97" t="s">
        <v>37</v>
      </c>
      <c r="B97" t="s">
        <v>1737</v>
      </c>
      <c r="C97" t="s">
        <v>172</v>
      </c>
      <c r="D97" t="s">
        <v>1820</v>
      </c>
      <c r="E97" t="s">
        <v>1739</v>
      </c>
      <c r="F97" t="str">
        <f>VLOOKUP(A97,'[1]Model portfolios'!$A$2:$L$142,2,FALSE)</f>
        <v>From Risk - Fund Responsibility - Model Portfolios</v>
      </c>
      <c r="G97" t="str">
        <f>VLOOKUP($A97,'[2]Desk mapping'!$G:$L,5,FALSE)</f>
        <v>Outcome Oriented Strategies</v>
      </c>
      <c r="H97" t="str">
        <f>VLOOKUP($A97,'[2]Desk mapping'!$G:$L,6,FALSE)</f>
        <v>Risk Accumulation</v>
      </c>
      <c r="K97" t="s">
        <v>231</v>
      </c>
      <c r="L97" t="s">
        <v>233</v>
      </c>
      <c r="M97" t="s">
        <v>236</v>
      </c>
      <c r="O97" s="3">
        <f>VLOOKUP(A97,'Audit AUM File'!A:B,2,FALSE)</f>
        <v>118882703.590166</v>
      </c>
      <c r="P97" s="3">
        <f>VLOOKUP(A97,[3]AUM!$A$3:$B$131,2,0)</f>
        <v>4704953</v>
      </c>
      <c r="R97" s="15" t="b">
        <f>+IF(D97="",VLOOKUP(A97,'[2]Pivot for Jun AUM'!$A$5:$B$121,2,FALSE))</f>
        <v>0</v>
      </c>
      <c r="T97" s="23">
        <f>VLOOKUP(A97,[4]Flows!$A$3:$D$1206,4,0)</f>
        <v>-340502.77</v>
      </c>
      <c r="U97" s="23">
        <f>VLOOKUP(A97,'[3]Last Aum File'!$A$2:$B$1262,2,0)</f>
        <v>5173858</v>
      </c>
      <c r="V97" s="14">
        <f t="shared" si="73"/>
        <v>5.1738580000000001</v>
      </c>
      <c r="W97" s="9">
        <f t="shared" si="80"/>
        <v>-468905</v>
      </c>
      <c r="X97" s="24">
        <f t="shared" si="74"/>
        <v>-468905</v>
      </c>
      <c r="Y97" s="14">
        <f t="shared" si="75"/>
        <v>4.7049529999999997</v>
      </c>
      <c r="Z97" s="14">
        <f t="shared" si="76"/>
        <v>-0.46890500000000002</v>
      </c>
      <c r="AA97" s="14">
        <f t="shared" si="77"/>
        <v>-0.34050277000000001</v>
      </c>
      <c r="AB97" s="14">
        <f>VLOOKUP(A97,[3]AUM!$A$3:$B$131,2,0)/1000000</f>
        <v>4.7049529999999997</v>
      </c>
      <c r="AC97" s="14">
        <f>VLOOKUP(A97,'[3]Last Aum File'!$A$2:$B$126,2,0)/1000000</f>
        <v>5.1738580000000001</v>
      </c>
      <c r="AD97" s="14">
        <f t="shared" si="78"/>
        <v>-0.46890500000000035</v>
      </c>
    </row>
    <row r="98" spans="1:30" x14ac:dyDescent="0.25">
      <c r="A98" t="s">
        <v>143</v>
      </c>
      <c r="B98" t="s">
        <v>1737</v>
      </c>
      <c r="C98" t="s">
        <v>221</v>
      </c>
      <c r="D98" t="s">
        <v>1820</v>
      </c>
      <c r="E98" t="s">
        <v>1739</v>
      </c>
      <c r="F98" t="str">
        <f>VLOOKUP(A98,'[1]Model portfolios'!$A$2:$L$142,2,FALSE)</f>
        <v>From Risk - Fund Responsibility - Model Portfolios</v>
      </c>
      <c r="G98" t="str">
        <f>VLOOKUP($A98,'[2]Desk mapping'!$G:$L,5,FALSE)</f>
        <v>Outcome Oriented Strategies</v>
      </c>
      <c r="H98" t="str">
        <f>VLOOKUP($A98,'[2]Desk mapping'!$G:$L,6,FALSE)</f>
        <v>Income</v>
      </c>
      <c r="K98" t="s">
        <v>231</v>
      </c>
      <c r="L98" t="s">
        <v>233</v>
      </c>
      <c r="M98" t="s">
        <v>236</v>
      </c>
      <c r="O98" s="3">
        <f>VLOOKUP(A98,'Audit AUM File'!A:B,2,FALSE)</f>
        <v>119055652.78436001</v>
      </c>
      <c r="P98" s="3">
        <f>VLOOKUP(A98,[3]AUM!$A$3:$B$131,2,0)</f>
        <v>239238036</v>
      </c>
      <c r="R98" s="15" t="b">
        <f>+IF(D98="",VLOOKUP(A98,'[2]Pivot for Jun AUM'!$A$5:$B$121,2,FALSE))</f>
        <v>0</v>
      </c>
      <c r="T98" s="23">
        <f>VLOOKUP(A98,[4]Flows!$A$3:$D$1206,4,0)</f>
        <v>-24530124.020000018</v>
      </c>
      <c r="U98" s="23">
        <f>VLOOKUP(A98,'[3]Last Aum File'!$A$2:$B$1262,2,0)</f>
        <v>263555955</v>
      </c>
      <c r="V98" s="14">
        <f t="shared" si="73"/>
        <v>263.55595499999998</v>
      </c>
      <c r="W98" s="9">
        <f t="shared" si="80"/>
        <v>-24317919</v>
      </c>
      <c r="X98" s="24">
        <f t="shared" si="74"/>
        <v>-24317919</v>
      </c>
      <c r="Y98" s="14">
        <f t="shared" si="75"/>
        <v>239.23803599999999</v>
      </c>
      <c r="Z98" s="14">
        <f t="shared" si="76"/>
        <v>-24.317919</v>
      </c>
      <c r="AA98" s="14">
        <f t="shared" si="77"/>
        <v>-24.530124020000017</v>
      </c>
      <c r="AB98" s="14">
        <f>VLOOKUP(A98,[3]AUM!$A$3:$B$131,2,0)/1000000</f>
        <v>239.23803599999999</v>
      </c>
      <c r="AC98" s="14">
        <f>VLOOKUP(A98,'[3]Last Aum File'!$A$2:$B$126,2,0)/1000000</f>
        <v>263.55595499999998</v>
      </c>
      <c r="AD98" s="14">
        <f t="shared" si="78"/>
        <v>-24.317918999999989</v>
      </c>
    </row>
    <row r="99" spans="1:30" x14ac:dyDescent="0.25">
      <c r="A99" t="s">
        <v>66</v>
      </c>
      <c r="B99" t="s">
        <v>1737</v>
      </c>
      <c r="C99" t="s">
        <v>185</v>
      </c>
      <c r="D99" t="s">
        <v>1820</v>
      </c>
      <c r="E99" t="s">
        <v>1739</v>
      </c>
      <c r="F99" t="str">
        <f>VLOOKUP(A99,'[1]Model portfolios'!$A$2:$L$142,2,FALSE)</f>
        <v>From Risk - Fund Responsibility - Model Portfolios</v>
      </c>
      <c r="G99" s="8" t="str">
        <f>VLOOKUP($A99,'[2]Total AUM Data'!$A:$I,5,FALSE)</f>
        <v>Outcome Oriented Strategies</v>
      </c>
      <c r="H99" s="7" t="str">
        <f>VLOOKUP($A99,'[2]Total AUM Data'!$A:$I,6,FALSE)</f>
        <v>Capital Protection</v>
      </c>
      <c r="K99" t="s">
        <v>231</v>
      </c>
      <c r="L99" t="s">
        <v>233</v>
      </c>
      <c r="M99" t="s">
        <v>236</v>
      </c>
      <c r="O99" s="3">
        <f>VLOOKUP(A99,'Audit AUM File'!A:B,2,FALSE)</f>
        <v>108446631.677074</v>
      </c>
      <c r="P99" s="3">
        <f>VLOOKUP(A99,[3]AUM!$A$3:$B$131,2,0)</f>
        <v>77561</v>
      </c>
      <c r="R99" s="15" t="b">
        <f>+IF(D99="",VLOOKUP(A99,'[2]Pivot for Jun AUM'!$A$5:$B$121,2,FALSE))</f>
        <v>0</v>
      </c>
      <c r="T99" s="23"/>
      <c r="U99" s="23">
        <f>VLOOKUP(A99,'[3]Last Aum File'!$A$2:$B$1262,2,0)</f>
        <v>78336</v>
      </c>
      <c r="V99" s="14">
        <f t="shared" si="73"/>
        <v>7.8336000000000003E-2</v>
      </c>
      <c r="W99" s="9">
        <f t="shared" si="80"/>
        <v>-775</v>
      </c>
      <c r="X99" s="24">
        <f t="shared" si="74"/>
        <v>-775</v>
      </c>
      <c r="Y99" s="14">
        <f t="shared" si="75"/>
        <v>7.7561000000000005E-2</v>
      </c>
      <c r="Z99" s="14">
        <f t="shared" si="76"/>
        <v>-7.7499999999999997E-4</v>
      </c>
      <c r="AA99" s="14">
        <f t="shared" si="77"/>
        <v>0</v>
      </c>
      <c r="AB99" s="14">
        <f>VLOOKUP(A99,[3]AUM!$A$3:$B$131,2,0)/1000000</f>
        <v>7.7561000000000005E-2</v>
      </c>
      <c r="AC99" s="14">
        <f>VLOOKUP(A99,'[3]Last Aum File'!$A$2:$B$126,2,0)/1000000</f>
        <v>7.8336000000000003E-2</v>
      </c>
      <c r="AD99" s="14">
        <f t="shared" si="78"/>
        <v>-7.7499999999999791E-4</v>
      </c>
    </row>
    <row r="100" spans="1:30" x14ac:dyDescent="0.25">
      <c r="A100" t="s">
        <v>127</v>
      </c>
      <c r="B100" t="s">
        <v>1737</v>
      </c>
      <c r="C100" t="s">
        <v>213</v>
      </c>
      <c r="D100" t="s">
        <v>1820</v>
      </c>
      <c r="E100" t="s">
        <v>1739</v>
      </c>
      <c r="F100" t="str">
        <f>VLOOKUP(A100,'[1]Model portfolios'!$A$2:$L$142,2,FALSE)</f>
        <v>From Risk - Fund Responsibility - Model Portfolios</v>
      </c>
      <c r="G100" s="8" t="str">
        <f>VLOOKUP($A100,'[2]Total AUM Data'!$A:$I,5,FALSE)</f>
        <v>Allocation Driven Strategies</v>
      </c>
      <c r="H100" s="7" t="str">
        <f>VLOOKUP($A100,'[2]Total AUM Data'!$A:$I,6,FALSE)</f>
        <v>Moderate</v>
      </c>
      <c r="K100" t="s">
        <v>231</v>
      </c>
      <c r="L100" t="s">
        <v>233</v>
      </c>
      <c r="M100" t="s">
        <v>236</v>
      </c>
      <c r="O100" s="3">
        <f>VLOOKUP(A100,'Audit AUM File'!A:B,2,FALSE)</f>
        <v>207709959.66864499</v>
      </c>
      <c r="P100" s="3">
        <v>5017578</v>
      </c>
      <c r="R100" s="15" t="b">
        <f>+IF(D100="",VLOOKUP(A100,'[2]Pivot for Jun AUM'!$A$5:$B$121,2,FALSE))</f>
        <v>0</v>
      </c>
      <c r="T100" s="23"/>
      <c r="U100" s="23">
        <v>5017578</v>
      </c>
      <c r="V100" s="14">
        <f t="shared" si="73"/>
        <v>5.0175780000000003</v>
      </c>
      <c r="W100" s="9">
        <f t="shared" si="80"/>
        <v>0</v>
      </c>
      <c r="X100" s="24">
        <f t="shared" si="74"/>
        <v>0</v>
      </c>
      <c r="Y100" s="14">
        <f t="shared" si="75"/>
        <v>5.0175780000000003</v>
      </c>
      <c r="Z100" s="14">
        <f t="shared" si="76"/>
        <v>0</v>
      </c>
      <c r="AA100" s="14">
        <f t="shared" si="77"/>
        <v>0</v>
      </c>
      <c r="AB100" s="14">
        <f>VLOOKUP(A100,[3]AUM!$A$3:$B$131,2,0)/1000000</f>
        <v>0</v>
      </c>
      <c r="AC100" s="14">
        <f>VLOOKUP(A100,'[3]Last Aum File'!$A$2:$B$126,2,0)/1000000</f>
        <v>0</v>
      </c>
      <c r="AD100" s="14">
        <f t="shared" si="78"/>
        <v>0</v>
      </c>
    </row>
    <row r="101" spans="1:30" x14ac:dyDescent="0.25">
      <c r="A101" t="s">
        <v>150</v>
      </c>
      <c r="B101" t="s">
        <v>1737</v>
      </c>
      <c r="C101" t="s">
        <v>226</v>
      </c>
      <c r="D101" t="s">
        <v>1820</v>
      </c>
      <c r="E101" t="s">
        <v>1739</v>
      </c>
      <c r="F101" t="str">
        <f>VLOOKUP(A101,'[1]Model portfolios'!$A$2:$L$142,2,FALSE)</f>
        <v>From Risk - Fund Responsibility - Model Portfolios</v>
      </c>
      <c r="G101" s="8" t="str">
        <f>VLOOKUP($A101,'[2]Total AUM Data'!$A:$I,5,FALSE)</f>
        <v>Allocation Driven Strategies</v>
      </c>
      <c r="H101" s="7" t="str">
        <f>VLOOKUP($A101,'[2]Total AUM Data'!$A:$I,6,FALSE)</f>
        <v>Growth</v>
      </c>
      <c r="K101" t="s">
        <v>231</v>
      </c>
      <c r="L101" t="s">
        <v>233</v>
      </c>
      <c r="M101" t="s">
        <v>236</v>
      </c>
      <c r="O101" s="3">
        <f>VLOOKUP(A101,'Audit AUM File'!A:B,2,FALSE)</f>
        <v>251863210.81133899</v>
      </c>
      <c r="P101" s="3">
        <f>VLOOKUP(A101,[3]AUM!$A$3:$B$131,2,0)</f>
        <v>0</v>
      </c>
      <c r="R101" s="15" t="b">
        <f>+IF(D101="",VLOOKUP(A101,'[2]Pivot for Jun AUM'!$A$5:$B$121,2,FALSE))</f>
        <v>0</v>
      </c>
      <c r="T101" s="23"/>
      <c r="U101" s="23">
        <f>VLOOKUP(A101,'[3]Last Aum File'!$A$2:$B$1262,2,0)</f>
        <v>0</v>
      </c>
      <c r="V101" s="14">
        <f t="shared" si="73"/>
        <v>0</v>
      </c>
      <c r="W101" s="9">
        <f t="shared" si="80"/>
        <v>0</v>
      </c>
      <c r="X101" s="24">
        <f t="shared" si="74"/>
        <v>0</v>
      </c>
      <c r="Y101" s="14">
        <f t="shared" si="75"/>
        <v>0</v>
      </c>
      <c r="Z101" s="14">
        <f t="shared" si="76"/>
        <v>0</v>
      </c>
      <c r="AA101" s="14">
        <f t="shared" si="77"/>
        <v>0</v>
      </c>
      <c r="AB101" s="14">
        <f>VLOOKUP(A101,[3]AUM!$A$3:$B$131,2,0)/1000000</f>
        <v>0</v>
      </c>
      <c r="AC101" s="14">
        <f>VLOOKUP(A101,'[3]Last Aum File'!$A$2:$B$126,2,0)/1000000</f>
        <v>0</v>
      </c>
      <c r="AD101" s="14">
        <f t="shared" si="78"/>
        <v>0</v>
      </c>
    </row>
    <row r="102" spans="1:30" x14ac:dyDescent="0.25">
      <c r="A102" t="s">
        <v>77</v>
      </c>
      <c r="B102" t="s">
        <v>1737</v>
      </c>
      <c r="C102" t="s">
        <v>192</v>
      </c>
      <c r="D102" t="s">
        <v>1820</v>
      </c>
      <c r="E102" t="s">
        <v>1739</v>
      </c>
      <c r="F102" t="str">
        <f>VLOOKUP(A102,'[1]Model portfolios'!$A$2:$L$142,2,FALSE)</f>
        <v>From Risk - Fund Responsibility - Model Portfolios</v>
      </c>
      <c r="G102" s="8" t="str">
        <f>VLOOKUP($A102,'[2]Total AUM Data'!$A:$I,5,FALSE)</f>
        <v>Allocation Driven Strategies</v>
      </c>
      <c r="H102" s="7" t="str">
        <f>VLOOKUP($A102,'[2]Total AUM Data'!$A:$I,6,FALSE)</f>
        <v>Conservative</v>
      </c>
      <c r="K102" t="s">
        <v>231</v>
      </c>
      <c r="L102" t="s">
        <v>233</v>
      </c>
      <c r="M102" t="s">
        <v>236</v>
      </c>
      <c r="O102" s="3">
        <f>VLOOKUP(A102,'Audit AUM File'!A:B,2,FALSE)</f>
        <v>157209342.62897399</v>
      </c>
      <c r="P102" s="3">
        <f>VLOOKUP(A102,[3]AUM!$A$3:$B$131,2,0)</f>
        <v>0</v>
      </c>
      <c r="R102" s="15" t="b">
        <f>+IF(D102="",VLOOKUP(A102,'[2]Pivot for Jun AUM'!$A$5:$B$121,2,FALSE))</f>
        <v>0</v>
      </c>
      <c r="T102" s="23"/>
      <c r="U102" s="23">
        <f>VLOOKUP(A102,'[3]Last Aum File'!$A$2:$B$1262,2,0)</f>
        <v>0</v>
      </c>
      <c r="V102" s="14">
        <f t="shared" si="73"/>
        <v>0</v>
      </c>
      <c r="W102" s="9">
        <f t="shared" si="80"/>
        <v>0</v>
      </c>
      <c r="X102" s="24">
        <f t="shared" si="74"/>
        <v>0</v>
      </c>
      <c r="Y102" s="14">
        <f t="shared" si="75"/>
        <v>0</v>
      </c>
      <c r="Z102" s="14">
        <f t="shared" si="76"/>
        <v>0</v>
      </c>
      <c r="AA102" s="14">
        <f t="shared" si="77"/>
        <v>0</v>
      </c>
      <c r="AB102" s="14">
        <f>VLOOKUP(A102,[3]AUM!$A$3:$B$131,2,0)/1000000</f>
        <v>0</v>
      </c>
      <c r="AC102" s="14">
        <f>VLOOKUP(A102,'[3]Last Aum File'!$A$2:$B$126,2,0)/1000000</f>
        <v>0</v>
      </c>
      <c r="AD102" s="14">
        <f t="shared" si="78"/>
        <v>0</v>
      </c>
    </row>
    <row r="103" spans="1:30" x14ac:dyDescent="0.25">
      <c r="A103" t="s">
        <v>18</v>
      </c>
      <c r="B103" t="s">
        <v>1737</v>
      </c>
      <c r="C103" t="s">
        <v>165</v>
      </c>
      <c r="D103" t="s">
        <v>1820</v>
      </c>
      <c r="E103" t="s">
        <v>1739</v>
      </c>
      <c r="F103" t="str">
        <f>VLOOKUP(A103,'[1]Model portfolios'!$A$2:$L$142,2,FALSE)</f>
        <v>From Risk - Fund Responsibility - Model Portfolios</v>
      </c>
      <c r="G103" s="8" t="str">
        <f>VLOOKUP($A103,'[2]Total AUM Data'!$A:$I,5,FALSE)</f>
        <v>Allocation Driven Strategies</v>
      </c>
      <c r="H103" s="7" t="str">
        <f>VLOOKUP($A103,'[2]Total AUM Data'!$A:$I,6,FALSE)</f>
        <v>Conservative</v>
      </c>
      <c r="K103" t="s">
        <v>231</v>
      </c>
      <c r="L103" t="s">
        <v>233</v>
      </c>
      <c r="M103" t="s">
        <v>236</v>
      </c>
      <c r="O103" s="3">
        <f>VLOOKUP(A103,'Audit AUM File'!A:B,2,FALSE)</f>
        <v>176197956.52590799</v>
      </c>
      <c r="P103" s="3">
        <f>VLOOKUP(A103,[3]AUM!$A$3:$B$131,2,0)</f>
        <v>0</v>
      </c>
      <c r="R103" s="15" t="b">
        <f>+IF(D103="",VLOOKUP(A103,'[2]Pivot for Jun AUM'!$A$5:$B$121,2,FALSE))</f>
        <v>0</v>
      </c>
      <c r="T103" s="23"/>
      <c r="U103" s="23">
        <f>VLOOKUP(A103,'[3]Last Aum File'!$A$2:$B$1262,2,0)</f>
        <v>0</v>
      </c>
      <c r="V103" s="14">
        <f t="shared" si="73"/>
        <v>0</v>
      </c>
      <c r="W103" s="9">
        <f t="shared" si="80"/>
        <v>0</v>
      </c>
      <c r="X103" s="24">
        <f t="shared" si="74"/>
        <v>0</v>
      </c>
      <c r="Y103" s="14">
        <f t="shared" si="75"/>
        <v>0</v>
      </c>
      <c r="Z103" s="14">
        <f t="shared" si="76"/>
        <v>0</v>
      </c>
      <c r="AA103" s="14">
        <f t="shared" si="77"/>
        <v>0</v>
      </c>
      <c r="AB103" s="14">
        <f>VLOOKUP(A103,[3]AUM!$A$3:$B$131,2,0)/1000000</f>
        <v>0</v>
      </c>
      <c r="AC103" s="14"/>
      <c r="AD103" s="14"/>
    </row>
    <row r="104" spans="1:30" x14ac:dyDescent="0.25">
      <c r="A104" t="s">
        <v>922</v>
      </c>
      <c r="B104" t="s">
        <v>1737</v>
      </c>
      <c r="C104" t="str">
        <f>VLOOKUP(A104,'[1]Model portfolios'!$A:$AS,4,FALSE)</f>
        <v>CNP Linea Protetta Dinamica Plus</v>
      </c>
      <c r="D104" t="s">
        <v>1820</v>
      </c>
      <c r="E104" t="s">
        <v>1741</v>
      </c>
      <c r="F104" t="str">
        <f>VLOOKUP(A104,'[1]Model portfolios'!$A$2:$L$142,2,FALSE)</f>
        <v>From Risk - Fund Responsibility - Model Portfolios</v>
      </c>
      <c r="G104" t="str">
        <f>VLOOKUP($A104,'[2]Desk mapping'!$G:$L,5,FALSE)</f>
        <v>Allocation Driven Strategies</v>
      </c>
      <c r="H104" s="7" t="str">
        <f>VLOOKUP($A104,'[2]Desk mapping'!$G:$L,6,FALSE)</f>
        <v>Growth</v>
      </c>
      <c r="P104" s="3">
        <f>VLOOKUP(A104,[3]AUM!$A$3:$B$131,2,0)</f>
        <v>3991454</v>
      </c>
      <c r="R104" s="15" t="b">
        <f>+IF(D104="",VLOOKUP(A104,'[2]Pivot for Jun AUM'!$A$5:$B$121,2,FALSE))</f>
        <v>0</v>
      </c>
      <c r="T104" s="23">
        <f>VLOOKUP(A104,[4]Flows!$A$3:$D$1206,4,0)</f>
        <v>-34928.270000000019</v>
      </c>
      <c r="U104" s="23">
        <f>VLOOKUP(A104,'[3]Last Aum File'!$A$2:$B$1262,2,0)</f>
        <v>3913810</v>
      </c>
      <c r="V104" s="14">
        <f t="shared" si="73"/>
        <v>3.9138099999999998</v>
      </c>
      <c r="W104" s="9">
        <f t="shared" si="80"/>
        <v>77644</v>
      </c>
      <c r="X104" s="24">
        <f t="shared" si="74"/>
        <v>77644</v>
      </c>
      <c r="Y104" s="14">
        <f t="shared" si="75"/>
        <v>3.9914540000000001</v>
      </c>
      <c r="Z104" s="14">
        <f t="shared" si="76"/>
        <v>7.7644000000000005E-2</v>
      </c>
      <c r="AA104" s="14">
        <f t="shared" si="77"/>
        <v>-3.4928270000000018E-2</v>
      </c>
      <c r="AB104" s="14">
        <f>VLOOKUP(A104,[3]AUM!$A$3:$B$131,2,0)/1000000</f>
        <v>3.9914540000000001</v>
      </c>
      <c r="AC104" s="14">
        <f>VLOOKUP(A104,'[3]Last Aum File'!$A$2:$B$126,2,0)/1000000</f>
        <v>3.9138099999999998</v>
      </c>
      <c r="AD104" s="14">
        <f t="shared" si="78"/>
        <v>7.7644000000000268E-2</v>
      </c>
    </row>
    <row r="105" spans="1:30" x14ac:dyDescent="0.25">
      <c r="A105" t="s">
        <v>59</v>
      </c>
      <c r="B105" t="s">
        <v>1737</v>
      </c>
      <c r="C105" t="s">
        <v>183</v>
      </c>
      <c r="D105" t="s">
        <v>1820</v>
      </c>
      <c r="E105" t="s">
        <v>1739</v>
      </c>
      <c r="F105" t="str">
        <f>VLOOKUP(A105,[5]Sheet1!$A:$N,2,FALSE)</f>
        <v>From Risk - Models master - Sheet 1</v>
      </c>
      <c r="G105" t="str">
        <f>VLOOKUP($A105,'[2]Desk mapping'!$G:$L,5,FALSE)</f>
        <v>Allocation Driven Strategies</v>
      </c>
      <c r="H105" s="7" t="str">
        <f>VLOOKUP($A105,'[2]Desk mapping'!$G:$L,6,FALSE)</f>
        <v>Conservative</v>
      </c>
      <c r="K105" t="s">
        <v>231</v>
      </c>
      <c r="L105" t="s">
        <v>233</v>
      </c>
      <c r="M105" t="s">
        <v>236</v>
      </c>
      <c r="O105" s="3">
        <f>VLOOKUP(A105,'Audit AUM File'!A:B,2,FALSE)</f>
        <v>134854780.55061799</v>
      </c>
      <c r="P105" s="3">
        <f>VLOOKUP(A105,[3]AUM!$A$3:$B$131,2,0)</f>
        <v>27311192</v>
      </c>
      <c r="R105" s="15" t="b">
        <f>+IF(D105="",VLOOKUP(A105,'[2]Pivot for Jun AUM'!$A$5:$B$121,2,FALSE))</f>
        <v>0</v>
      </c>
      <c r="T105" s="23">
        <f>VLOOKUP(A105,[4]Flows!$A$3:$D$1206,4,0)</f>
        <v>-523806.44999999984</v>
      </c>
      <c r="U105" s="23">
        <f>VLOOKUP(A105,'[3]Last Aum File'!$A$2:$B$1262,2,0)</f>
        <v>27597514</v>
      </c>
      <c r="V105" s="14">
        <f t="shared" si="73"/>
        <v>27.597514</v>
      </c>
      <c r="W105" s="9">
        <f t="shared" si="80"/>
        <v>-286322</v>
      </c>
      <c r="X105" s="24">
        <f t="shared" si="74"/>
        <v>-286322</v>
      </c>
      <c r="Y105" s="14">
        <f t="shared" si="75"/>
        <v>27.311191999999998</v>
      </c>
      <c r="Z105" s="14">
        <f t="shared" si="76"/>
        <v>-0.28632200000000002</v>
      </c>
      <c r="AA105" s="14">
        <f t="shared" si="77"/>
        <v>-0.52380644999999981</v>
      </c>
      <c r="AB105" s="14">
        <f>VLOOKUP(A105,[3]AUM!$A$3:$B$131,2,0)/1000000</f>
        <v>27.311191999999998</v>
      </c>
      <c r="AC105" s="14">
        <f>VLOOKUP(A105,'[3]Last Aum File'!$A$2:$B$126,2,0)/1000000</f>
        <v>27.597514</v>
      </c>
      <c r="AD105" s="14">
        <f t="shared" si="78"/>
        <v>-0.28632200000000196</v>
      </c>
    </row>
    <row r="106" spans="1:30" x14ac:dyDescent="0.25">
      <c r="A106" t="s">
        <v>1866</v>
      </c>
      <c r="B106" t="s">
        <v>1737</v>
      </c>
      <c r="C106" t="s">
        <v>1867</v>
      </c>
      <c r="D106" t="s">
        <v>1820</v>
      </c>
      <c r="G106" t="s">
        <v>1757</v>
      </c>
      <c r="H106" s="7" t="s">
        <v>1776</v>
      </c>
      <c r="P106" s="3">
        <f>VLOOKUP(A106,[3]AUM!$A$3:$B$131,2,0)</f>
        <v>909580051</v>
      </c>
      <c r="R106" s="15" t="b">
        <f>+IF(D106="",VLOOKUP(A106,'[2]Pivot for Jun AUM'!$A$5:$B$121,2,FALSE))</f>
        <v>0</v>
      </c>
      <c r="T106" s="23">
        <f>VLOOKUP(A106,[4]Flows!$A$3:$D$1206,4,0)</f>
        <v>8885720.7199999932</v>
      </c>
      <c r="U106" s="23">
        <f>VLOOKUP(A106,'[3]Last Aum File'!$A$2:$B$1262,2,0)</f>
        <v>869067080</v>
      </c>
      <c r="V106" s="14">
        <f t="shared" ref="V106" si="91">+U106/1000000</f>
        <v>869.06708000000003</v>
      </c>
      <c r="W106" s="9">
        <f t="shared" si="80"/>
        <v>40512971</v>
      </c>
      <c r="X106" s="24">
        <f t="shared" ref="X106" si="92">+IF(ISNA(W106),0,W106)</f>
        <v>40512971</v>
      </c>
      <c r="Y106" s="14">
        <f t="shared" ref="Y106" si="93">P106/1000000</f>
        <v>909.58005100000003</v>
      </c>
      <c r="Z106" s="14">
        <f t="shared" ref="Z106" si="94">X106/1000000</f>
        <v>40.512971</v>
      </c>
      <c r="AA106" s="14">
        <f t="shared" ref="AA106" si="95">T106/1000000</f>
        <v>8.885720719999993</v>
      </c>
      <c r="AB106" s="14">
        <f>VLOOKUP(A106,[3]AUM!$A$3:$B$131,2,0)/1000000</f>
        <v>909.58005100000003</v>
      </c>
      <c r="AC106" s="14">
        <f>VLOOKUP(A106,'[3]Last Aum File'!$A$2:$B$1206,2,0)/1000000</f>
        <v>869.06708000000003</v>
      </c>
      <c r="AD106" s="14">
        <f t="shared" ref="AD106" si="96">AB106-AC106</f>
        <v>40.512970999999993</v>
      </c>
    </row>
    <row r="107" spans="1:30" x14ac:dyDescent="0.25">
      <c r="A107" t="s">
        <v>1896</v>
      </c>
      <c r="B107" t="s">
        <v>1737</v>
      </c>
      <c r="C107" t="s">
        <v>1897</v>
      </c>
      <c r="D107" t="s">
        <v>1820</v>
      </c>
      <c r="G107" t="s">
        <v>1757</v>
      </c>
      <c r="H107" s="7" t="s">
        <v>1776</v>
      </c>
      <c r="P107" s="3">
        <f>VLOOKUP(A107,[3]AUM!$A$3:$B$131,2,0)</f>
        <v>252843377</v>
      </c>
      <c r="R107" s="15" t="b">
        <f>+IF(D107="",VLOOKUP(A107,'[2]Pivot for Jun AUM'!$A$5:$B$121,2,FALSE))</f>
        <v>0</v>
      </c>
      <c r="T107" s="23">
        <f>VLOOKUP(A107,[4]Flows!$A$3:$D$1206,4,0)</f>
        <v>6517412.1099999938</v>
      </c>
      <c r="U107" s="23">
        <f>VLOOKUP(A107,'[3]Last Aum File'!$A$2:$B$1262,2,0)</f>
        <v>239873847</v>
      </c>
      <c r="V107" s="14">
        <f t="shared" ref="V107" si="97">+U107/1000000</f>
        <v>239.87384700000001</v>
      </c>
      <c r="W107" s="9">
        <f t="shared" si="80"/>
        <v>12969530</v>
      </c>
      <c r="X107" s="24">
        <f t="shared" ref="X107:X108" si="98">+IF(ISNA(W107),0,W107)</f>
        <v>12969530</v>
      </c>
      <c r="Y107" s="14">
        <f t="shared" ref="Y107" si="99">P107/1000000</f>
        <v>252.843377</v>
      </c>
      <c r="Z107" s="14">
        <f t="shared" ref="Z107" si="100">X107/1000000</f>
        <v>12.969530000000001</v>
      </c>
      <c r="AA107" s="14">
        <f t="shared" ref="AA107" si="101">T107/1000000</f>
        <v>6.5174121099999942</v>
      </c>
      <c r="AB107" s="14">
        <f>VLOOKUP(A107,[3]AUM!$A$3:$B$131,2,0)/1000000</f>
        <v>252.843377</v>
      </c>
      <c r="AC107" s="14">
        <f>VLOOKUP(A107,'[3]Last Aum File'!$A$2:$B$126,2,0)/1000000</f>
        <v>239.87384700000001</v>
      </c>
      <c r="AD107" s="14">
        <f t="shared" ref="AD107" si="102">AB107-AC107</f>
        <v>12.969529999999992</v>
      </c>
    </row>
    <row r="108" spans="1:30" x14ac:dyDescent="0.25">
      <c r="A108" t="s">
        <v>1899</v>
      </c>
      <c r="B108" t="s">
        <v>1737</v>
      </c>
      <c r="C108" t="s">
        <v>1898</v>
      </c>
      <c r="D108" t="s">
        <v>1820</v>
      </c>
      <c r="G108" t="s">
        <v>1757</v>
      </c>
      <c r="H108" s="7" t="s">
        <v>1776</v>
      </c>
      <c r="P108" s="3" t="str">
        <f>IFERROR(VLOOKUP(A108,[3]AUM!$A$3:$B$131,2,0), "")</f>
        <v/>
      </c>
      <c r="R108" s="15" t="b">
        <f>+IF(D108="",VLOOKUP(A108,'[2]Pivot for Jun AUM'!$A$5:$B$121,2,FALSE))</f>
        <v>0</v>
      </c>
      <c r="T108" s="23">
        <f>VLOOKUP(A108,[4]Flows!$A$3:$D$1206,4,0)</f>
        <v>226891.29000000094</v>
      </c>
      <c r="U108" s="23" t="str">
        <f>IFERROR(VLOOKUP(A108,'[3]Last Aum File'!$A$2:$B$1262,2,0),"")</f>
        <v/>
      </c>
      <c r="V108" s="14" t="str">
        <f t="shared" ref="V108" si="103">IFERROR(+U108/1000000,"")</f>
        <v/>
      </c>
      <c r="W108" s="9" t="str">
        <f t="shared" ref="W108" si="104">IFERROR(+IF(OR(A108="HF11",A108="PACIFAI"),0,IF(A108="MUSG",P108-U108/2,P108-U108)),"")</f>
        <v/>
      </c>
      <c r="X108" s="24" t="str">
        <f t="shared" si="98"/>
        <v/>
      </c>
      <c r="Y108" s="14" t="str">
        <f>IFERROR(P108/1000000, "")</f>
        <v/>
      </c>
      <c r="Z108" s="14" t="str">
        <f t="shared" ref="Z108" si="105">IFERROR(X108/1000000, "")</f>
        <v/>
      </c>
      <c r="AA108" s="14">
        <f t="shared" ref="AA108" si="106">IFERROR(T108/1000000, "")</f>
        <v>0.22689129000000094</v>
      </c>
      <c r="AB108" s="14"/>
      <c r="AC108" s="14" t="str">
        <f>IFERROR(VLOOKUP(A108,'[3]Last Aum File'!$A$2:$B$126,2,0)/1000000, "")</f>
        <v/>
      </c>
      <c r="AD108" s="14" t="str">
        <f t="shared" ref="AD108" si="107">IFERROR(AB108-AC108, "")</f>
        <v/>
      </c>
    </row>
    <row r="109" spans="1:30" x14ac:dyDescent="0.25">
      <c r="A109" t="s">
        <v>1733</v>
      </c>
      <c r="B109" t="s">
        <v>1737</v>
      </c>
      <c r="C109" t="s">
        <v>1751</v>
      </c>
      <c r="D109" t="s">
        <v>1820</v>
      </c>
      <c r="E109" t="s">
        <v>1739</v>
      </c>
      <c r="F109" t="str">
        <f>VLOOKUP(A109,[5]Sheet1!$A:$N,2,FALSE)</f>
        <v>From Risk - Models master - Sheet 1</v>
      </c>
      <c r="G109" s="8" t="str">
        <f>VLOOKUP($A109,'[2]Desk mapping'!$G:$L,5,FALSE)</f>
        <v>Outcome Oriented Strategies</v>
      </c>
      <c r="H109" s="7" t="str">
        <f>VLOOKUP($A109,'[2]Desk mapping'!$G:$L,6,FALSE)</f>
        <v>Thematic</v>
      </c>
      <c r="P109" s="3"/>
      <c r="R109" s="15" t="b">
        <f>+IF(D109="",VLOOKUP(A109,'[2]Pivot for Jun AUM'!$A$5:$B$121,2,FALSE))</f>
        <v>0</v>
      </c>
      <c r="T109" s="23"/>
      <c r="U109" s="23"/>
      <c r="V109" s="14">
        <f t="shared" si="73"/>
        <v>0</v>
      </c>
      <c r="W109" s="9">
        <f t="shared" si="80"/>
        <v>0</v>
      </c>
      <c r="X109" s="24">
        <f t="shared" si="74"/>
        <v>0</v>
      </c>
      <c r="Y109" s="14">
        <f t="shared" si="75"/>
        <v>0</v>
      </c>
      <c r="Z109" s="14">
        <f t="shared" si="76"/>
        <v>0</v>
      </c>
      <c r="AA109" s="14">
        <f t="shared" si="77"/>
        <v>0</v>
      </c>
      <c r="AB109" s="14">
        <f>VLOOKUP(A109,[3]AUM!$A$3:$B$131,2,0)/1000000</f>
        <v>1795.6708269999999</v>
      </c>
      <c r="AC109" s="14">
        <f>VLOOKUP(A109,'[3]Last Aum File'!$A$2:$B$126,2,0)/1000000</f>
        <v>1777.2550980000001</v>
      </c>
      <c r="AD109" s="14">
        <f t="shared" si="78"/>
        <v>18.415728999999828</v>
      </c>
    </row>
    <row r="110" spans="1:30" x14ac:dyDescent="0.25">
      <c r="A110" t="s">
        <v>1746</v>
      </c>
      <c r="B110" t="s">
        <v>1737</v>
      </c>
      <c r="C110" t="str">
        <f>VLOOKUP($A110,'[2]Desk mapping'!$G:$L,3,FALSE)</f>
        <v>ASSET ALLOCATION MODEL PROTETTO 80</v>
      </c>
      <c r="D110" t="s">
        <v>1820</v>
      </c>
      <c r="E110" t="s">
        <v>1741</v>
      </c>
      <c r="F110" t="str">
        <f>VLOOKUP($A110,'[2]Desk mapping'!$G:$J,2,FALSE)</f>
        <v>Models AUM - Desk Mapping</v>
      </c>
      <c r="G110" t="str">
        <f>VLOOKUP($A110,'[2]Desk mapping'!$G:$L,5,FALSE)</f>
        <v>Outcome Oriented Strategies</v>
      </c>
      <c r="H110" s="7" t="str">
        <f>VLOOKUP($A110,'[2]Desk mapping'!$G:$L,6,FALSE)</f>
        <v>Capital Guaranteed</v>
      </c>
      <c r="P110" s="3">
        <f>VLOOKUP(A110,[3]AUM!$A$3:$B$131,2,0)</f>
        <v>105977735</v>
      </c>
      <c r="R110" s="15" t="b">
        <f>+IF(D110="",VLOOKUP(A110,'[2]Pivot for Jun AUM'!$A$5:$B$121,2,FALSE))</f>
        <v>0</v>
      </c>
      <c r="T110" s="23">
        <f>VLOOKUP(A110,[4]Flows!$A$3:$D$1206,4,0)</f>
        <v>-3090101.6899999995</v>
      </c>
      <c r="U110" s="23">
        <f>VLOOKUP(A110,'[3]Last Aum File'!$A$2:$B$1262,2,0)</f>
        <v>108101631</v>
      </c>
      <c r="V110" s="14">
        <f t="shared" si="73"/>
        <v>108.101631</v>
      </c>
      <c r="W110" s="9">
        <f t="shared" si="80"/>
        <v>-2123896</v>
      </c>
      <c r="X110" s="24">
        <f t="shared" si="74"/>
        <v>-2123896</v>
      </c>
      <c r="Y110" s="14">
        <f t="shared" si="75"/>
        <v>105.977735</v>
      </c>
      <c r="Z110" s="14">
        <f t="shared" si="76"/>
        <v>-2.1238959999999998</v>
      </c>
      <c r="AA110" s="14">
        <f t="shared" si="77"/>
        <v>-3.0901016899999996</v>
      </c>
      <c r="AB110" s="14">
        <f>VLOOKUP(A110,[3]AUM!$A$3:$B$131,2,0)/1000000</f>
        <v>105.977735</v>
      </c>
      <c r="AC110" s="14">
        <f>VLOOKUP(A110,'[3]Last Aum File'!$A$2:$B$126,2,0)/1000000</f>
        <v>108.101631</v>
      </c>
      <c r="AD110" s="14">
        <f t="shared" si="78"/>
        <v>-2.123896000000002</v>
      </c>
    </row>
    <row r="111" spans="1:30" x14ac:dyDescent="0.25">
      <c r="A111" s="7" t="s">
        <v>144</v>
      </c>
      <c r="B111" t="s">
        <v>1737</v>
      </c>
      <c r="C111" t="s">
        <v>222</v>
      </c>
      <c r="D111" t="s">
        <v>1820</v>
      </c>
      <c r="E111" t="s">
        <v>1739</v>
      </c>
      <c r="F111" t="s">
        <v>1747</v>
      </c>
      <c r="G111" t="str">
        <f>VLOOKUP($A111,'[2]Desk mapping'!$G:$L,5,FALSE)</f>
        <v>Outcome Oriented Strategies</v>
      </c>
      <c r="H111" s="7" t="str">
        <f>VLOOKUP($A111,'[2]Desk mapping'!$G:$L,6,FALSE)</f>
        <v>Risk Accumulation</v>
      </c>
      <c r="K111" t="s">
        <v>231</v>
      </c>
      <c r="L111" t="s">
        <v>233</v>
      </c>
      <c r="M111" t="s">
        <v>236</v>
      </c>
      <c r="O111" s="3">
        <f>VLOOKUP(A111,'Audit AUM File'!A:B,2,FALSE)</f>
        <v>99030590.242356494</v>
      </c>
      <c r="P111" s="3"/>
      <c r="R111" s="15" t="b">
        <f>+IF(D111="",VLOOKUP(A111,'[2]Pivot for Jun AUM'!$A$5:$B$121,2,FALSE))</f>
        <v>0</v>
      </c>
      <c r="T111" s="23">
        <f>VLOOKUP(A111,[4]Flows!$A$3:$D$1206,4,0)</f>
        <v>-334707.83</v>
      </c>
      <c r="U111" s="23"/>
      <c r="V111" s="14">
        <f t="shared" si="73"/>
        <v>0</v>
      </c>
      <c r="W111" s="9">
        <f t="shared" si="80"/>
        <v>0</v>
      </c>
      <c r="X111" s="24">
        <f t="shared" si="74"/>
        <v>0</v>
      </c>
      <c r="Y111" s="14">
        <f t="shared" si="75"/>
        <v>0</v>
      </c>
      <c r="Z111" s="14">
        <f t="shared" si="76"/>
        <v>0</v>
      </c>
      <c r="AA111" s="14">
        <f t="shared" si="77"/>
        <v>-0.33470783000000004</v>
      </c>
      <c r="AB111" s="14">
        <f>VLOOKUP(A111,[3]AUM!$A$3:$B$131,2,0)/1000000</f>
        <v>8.2036999999999995</v>
      </c>
      <c r="AC111" s="14">
        <f>VLOOKUP(A111,'[3]Last Aum File'!$A$2:$B$126,2,0)/1000000</f>
        <v>8.3739450000000009</v>
      </c>
      <c r="AD111" s="14">
        <f t="shared" si="78"/>
        <v>-0.17024500000000131</v>
      </c>
    </row>
    <row r="112" spans="1:30" s="19" customFormat="1" x14ac:dyDescent="0.25">
      <c r="A112" s="19" t="s">
        <v>248</v>
      </c>
      <c r="B112" s="19" t="s">
        <v>1737</v>
      </c>
      <c r="C112" s="19" t="s">
        <v>256</v>
      </c>
      <c r="D112" s="19" t="s">
        <v>1820</v>
      </c>
      <c r="E112" s="19" t="s">
        <v>1739</v>
      </c>
      <c r="F112" s="19" t="s">
        <v>1747</v>
      </c>
      <c r="G112" s="19" t="s">
        <v>1757</v>
      </c>
      <c r="H112" s="19" t="s">
        <v>1755</v>
      </c>
      <c r="K112" s="19" t="s">
        <v>231</v>
      </c>
      <c r="L112" s="19" t="s">
        <v>267</v>
      </c>
      <c r="M112" s="19" t="s">
        <v>236</v>
      </c>
      <c r="O112" s="20">
        <f>VLOOKUP(A112,'Audit AUM File'!A:B,2,FALSE)</f>
        <v>102220704.24242701</v>
      </c>
      <c r="P112" s="20">
        <v>5231379.8499999996</v>
      </c>
      <c r="R112" s="21" t="b">
        <f>+IF(D112="",VLOOKUP(A112,'[2]Pivot for Jun AUM'!$A$5:$B$121,2,FALSE))</f>
        <v>0</v>
      </c>
      <c r="S112" s="21"/>
      <c r="T112" s="25"/>
      <c r="U112" s="20">
        <v>6968432.6399999997</v>
      </c>
      <c r="V112" s="18">
        <f t="shared" si="73"/>
        <v>6.9684326399999996</v>
      </c>
      <c r="W112" s="22">
        <f t="shared" si="80"/>
        <v>-1737052.79</v>
      </c>
      <c r="X112" s="26">
        <f t="shared" si="74"/>
        <v>-1737052.79</v>
      </c>
      <c r="Y112" s="18">
        <f t="shared" si="75"/>
        <v>5.2313798499999997</v>
      </c>
      <c r="Z112" s="18">
        <f t="shared" si="76"/>
        <v>-1.7370527900000001</v>
      </c>
      <c r="AA112" s="18">
        <f t="shared" si="77"/>
        <v>0</v>
      </c>
      <c r="AB112" s="18"/>
      <c r="AC112" s="18"/>
      <c r="AD112" s="18">
        <f t="shared" si="78"/>
        <v>0</v>
      </c>
    </row>
    <row r="113" spans="1:30" s="19" customFormat="1" x14ac:dyDescent="0.25">
      <c r="A113" s="19" t="s">
        <v>249</v>
      </c>
      <c r="B113" s="19" t="s">
        <v>1737</v>
      </c>
      <c r="C113" s="19" t="s">
        <v>257</v>
      </c>
      <c r="D113" s="19" t="s">
        <v>1820</v>
      </c>
      <c r="E113" s="19" t="s">
        <v>1739</v>
      </c>
      <c r="F113" s="19" t="s">
        <v>1747</v>
      </c>
      <c r="G113" s="19" t="s">
        <v>1757</v>
      </c>
      <c r="H113" s="19" t="s">
        <v>1776</v>
      </c>
      <c r="K113" s="19" t="s">
        <v>231</v>
      </c>
      <c r="L113" s="19" t="s">
        <v>267</v>
      </c>
      <c r="M113" s="19" t="s">
        <v>236</v>
      </c>
      <c r="O113" s="20">
        <f>VLOOKUP(A113,'Audit AUM File'!A:B,2,FALSE)</f>
        <v>102840578.94022</v>
      </c>
      <c r="P113" s="20">
        <v>9542350.5099999998</v>
      </c>
      <c r="R113" s="21" t="b">
        <f>+IF(D113="",VLOOKUP(A113,'[2]Pivot for Jun AUM'!$A$5:$B$121,2,FALSE))</f>
        <v>0</v>
      </c>
      <c r="S113" s="21"/>
      <c r="T113" s="25"/>
      <c r="U113" s="20">
        <v>14185291.16</v>
      </c>
      <c r="V113" s="18">
        <f t="shared" si="73"/>
        <v>14.18529116</v>
      </c>
      <c r="W113" s="22">
        <f t="shared" si="80"/>
        <v>-4642940.6500000004</v>
      </c>
      <c r="X113" s="26">
        <f t="shared" si="74"/>
        <v>-4642940.6500000004</v>
      </c>
      <c r="Y113" s="18">
        <f t="shared" si="75"/>
        <v>9.5423505100000003</v>
      </c>
      <c r="Z113" s="18">
        <f t="shared" si="76"/>
        <v>-4.6429406500000008</v>
      </c>
      <c r="AA113" s="18">
        <f t="shared" si="77"/>
        <v>0</v>
      </c>
      <c r="AB113" s="18"/>
      <c r="AC113" s="18"/>
      <c r="AD113" s="18">
        <f t="shared" si="78"/>
        <v>0</v>
      </c>
    </row>
    <row r="114" spans="1:30" x14ac:dyDescent="0.25">
      <c r="A114" s="7" t="s">
        <v>250</v>
      </c>
      <c r="B114" t="s">
        <v>1737</v>
      </c>
      <c r="C114" t="s">
        <v>260</v>
      </c>
      <c r="E114" t="s">
        <v>1739</v>
      </c>
      <c r="F114" t="s">
        <v>1747</v>
      </c>
      <c r="G114" s="8"/>
      <c r="H114" s="7"/>
      <c r="K114" t="s">
        <v>229</v>
      </c>
      <c r="L114" t="s">
        <v>235</v>
      </c>
      <c r="M114" t="s">
        <v>236</v>
      </c>
      <c r="O114" s="3">
        <f>VLOOKUP(A114,'Audit AUM File'!A:B,2,FALSE)</f>
        <v>102684355.49557801</v>
      </c>
      <c r="P114" s="3">
        <f>VLOOKUP(A114,[6]Sheet1!$A:$H,3,FALSE)</f>
        <v>0</v>
      </c>
      <c r="R114" s="15" t="e">
        <f>+IF(D114="",VLOOKUP(A114,'[2]Pivot for Jun AUM'!$A$5:$B$121,2,FALSE))</f>
        <v>#N/A</v>
      </c>
      <c r="T114" s="23"/>
      <c r="U114" s="23">
        <v>0</v>
      </c>
      <c r="V114" s="14">
        <f t="shared" si="73"/>
        <v>0</v>
      </c>
      <c r="W114" s="9">
        <f t="shared" si="80"/>
        <v>0</v>
      </c>
      <c r="X114" s="24">
        <f t="shared" si="74"/>
        <v>0</v>
      </c>
      <c r="Y114" s="66">
        <f t="shared" si="75"/>
        <v>0</v>
      </c>
      <c r="Z114" s="66">
        <f t="shared" si="76"/>
        <v>0</v>
      </c>
      <c r="AA114" s="66">
        <f t="shared" si="77"/>
        <v>0</v>
      </c>
      <c r="AB114" s="66"/>
      <c r="AC114" s="14"/>
      <c r="AD114" s="14">
        <f t="shared" si="78"/>
        <v>0</v>
      </c>
    </row>
    <row r="115" spans="1:30" x14ac:dyDescent="0.25">
      <c r="A115" s="7" t="s">
        <v>251</v>
      </c>
      <c r="B115" t="s">
        <v>1737</v>
      </c>
      <c r="C115" t="s">
        <v>261</v>
      </c>
      <c r="E115" t="s">
        <v>1739</v>
      </c>
      <c r="F115" t="s">
        <v>1747</v>
      </c>
      <c r="G115" s="8"/>
      <c r="H115" s="7"/>
      <c r="K115" t="s">
        <v>229</v>
      </c>
      <c r="L115" t="s">
        <v>235</v>
      </c>
      <c r="M115" t="s">
        <v>236</v>
      </c>
      <c r="O115" s="3">
        <f>VLOOKUP(A115,'Audit AUM File'!A:B,2,FALSE)</f>
        <v>105073036.860901</v>
      </c>
      <c r="P115" s="3">
        <f>VLOOKUP(A115,[6]Sheet1!$A:$H,3,FALSE)</f>
        <v>0</v>
      </c>
      <c r="R115" s="15" t="e">
        <f>+IF(D115="",VLOOKUP(A115,'[2]Pivot for Jun AUM'!$A$5:$B$121,2,FALSE))</f>
        <v>#N/A</v>
      </c>
      <c r="T115" s="23"/>
      <c r="U115" s="23">
        <v>0</v>
      </c>
      <c r="V115" s="14">
        <f t="shared" si="73"/>
        <v>0</v>
      </c>
      <c r="W115" s="9">
        <f t="shared" si="80"/>
        <v>0</v>
      </c>
      <c r="X115" s="24">
        <f t="shared" si="74"/>
        <v>0</v>
      </c>
      <c r="Y115" s="66">
        <f t="shared" si="75"/>
        <v>0</v>
      </c>
      <c r="Z115" s="66">
        <f t="shared" si="76"/>
        <v>0</v>
      </c>
      <c r="AA115" s="66">
        <f t="shared" si="77"/>
        <v>0</v>
      </c>
      <c r="AB115" s="66"/>
      <c r="AC115" s="14"/>
      <c r="AD115" s="14">
        <f t="shared" si="78"/>
        <v>0</v>
      </c>
    </row>
    <row r="116" spans="1:30" x14ac:dyDescent="0.25">
      <c r="A116" s="7" t="s">
        <v>252</v>
      </c>
      <c r="B116" t="s">
        <v>1737</v>
      </c>
      <c r="C116" t="s">
        <v>262</v>
      </c>
      <c r="E116" t="s">
        <v>1739</v>
      </c>
      <c r="F116" t="s">
        <v>1747</v>
      </c>
      <c r="G116" s="8"/>
      <c r="H116" s="7"/>
      <c r="K116" t="s">
        <v>229</v>
      </c>
      <c r="L116" t="s">
        <v>235</v>
      </c>
      <c r="M116" t="s">
        <v>236</v>
      </c>
      <c r="O116" s="3">
        <f>VLOOKUP(A116,'Audit AUM File'!A:B,2,FALSE)</f>
        <v>102950891.035953</v>
      </c>
      <c r="P116" s="3">
        <f>VLOOKUP(A116,[6]Sheet1!$A:$H,3,FALSE)</f>
        <v>0</v>
      </c>
      <c r="R116" s="15" t="e">
        <f>+IF(D116="",VLOOKUP(A116,'[2]Pivot for Jun AUM'!$A$5:$B$121,2,FALSE))</f>
        <v>#N/A</v>
      </c>
      <c r="T116" s="23"/>
      <c r="U116" s="23">
        <v>0</v>
      </c>
      <c r="V116" s="14">
        <f t="shared" si="73"/>
        <v>0</v>
      </c>
      <c r="W116" s="9">
        <f t="shared" si="80"/>
        <v>0</v>
      </c>
      <c r="X116" s="24">
        <f t="shared" si="74"/>
        <v>0</v>
      </c>
      <c r="Y116" s="66">
        <f t="shared" si="75"/>
        <v>0</v>
      </c>
      <c r="Z116" s="66">
        <f t="shared" si="76"/>
        <v>0</v>
      </c>
      <c r="AA116" s="66">
        <f t="shared" si="77"/>
        <v>0</v>
      </c>
      <c r="AB116" s="66"/>
      <c r="AC116" s="14"/>
      <c r="AD116" s="14">
        <f t="shared" si="78"/>
        <v>0</v>
      </c>
    </row>
    <row r="117" spans="1:30" x14ac:dyDescent="0.25">
      <c r="A117" s="7" t="s">
        <v>253</v>
      </c>
      <c r="B117" t="s">
        <v>1737</v>
      </c>
      <c r="C117" t="s">
        <v>263</v>
      </c>
      <c r="E117" t="s">
        <v>1739</v>
      </c>
      <c r="F117" t="s">
        <v>1747</v>
      </c>
      <c r="G117" s="8"/>
      <c r="H117" s="7"/>
      <c r="K117" t="s">
        <v>229</v>
      </c>
      <c r="L117" t="s">
        <v>235</v>
      </c>
      <c r="M117" t="s">
        <v>236</v>
      </c>
      <c r="O117" s="3">
        <f>VLOOKUP(A117,'Audit AUM File'!A:B,2,FALSE)</f>
        <v>103916500.733969</v>
      </c>
      <c r="P117" s="3">
        <f>VLOOKUP(A117,[6]Sheet1!$A:$H,3,FALSE)</f>
        <v>0</v>
      </c>
      <c r="R117" s="15" t="e">
        <f>+IF(D117="",VLOOKUP(A117,'[2]Pivot for Jun AUM'!$A$5:$B$121,2,FALSE))</f>
        <v>#N/A</v>
      </c>
      <c r="T117" s="23"/>
      <c r="U117" s="23">
        <v>0</v>
      </c>
      <c r="V117" s="14">
        <f t="shared" si="73"/>
        <v>0</v>
      </c>
      <c r="W117" s="9">
        <f t="shared" si="80"/>
        <v>0</v>
      </c>
      <c r="X117" s="24">
        <f t="shared" si="74"/>
        <v>0</v>
      </c>
      <c r="Y117" s="66">
        <f t="shared" si="75"/>
        <v>0</v>
      </c>
      <c r="Z117" s="66">
        <f t="shared" si="76"/>
        <v>0</v>
      </c>
      <c r="AA117" s="66">
        <f t="shared" si="77"/>
        <v>0</v>
      </c>
      <c r="AB117" s="66"/>
      <c r="AC117" s="14"/>
      <c r="AD117" s="14">
        <f t="shared" si="78"/>
        <v>0</v>
      </c>
    </row>
    <row r="118" spans="1:30" s="19" customFormat="1" x14ac:dyDescent="0.25">
      <c r="A118" s="19" t="s">
        <v>1731</v>
      </c>
      <c r="B118" s="19" t="s">
        <v>1737</v>
      </c>
      <c r="C118" s="19" t="s">
        <v>1758</v>
      </c>
      <c r="D118" s="19" t="s">
        <v>1820</v>
      </c>
      <c r="E118" s="19" t="s">
        <v>1739</v>
      </c>
      <c r="F118" s="19" t="s">
        <v>1747</v>
      </c>
      <c r="G118" s="19" t="s">
        <v>1757</v>
      </c>
      <c r="H118" s="19" t="s">
        <v>1755</v>
      </c>
      <c r="O118" s="20"/>
      <c r="P118" s="20">
        <v>9442288.8699999992</v>
      </c>
      <c r="R118" s="21" t="b">
        <f>+IF(D118="",VLOOKUP(A118,'[2]Pivot for Jun AUM'!$A$5:$B$121,2,FALSE))</f>
        <v>0</v>
      </c>
      <c r="S118" s="21"/>
      <c r="T118" s="25"/>
      <c r="U118" s="20">
        <v>9783751.7300000004</v>
      </c>
      <c r="V118" s="18">
        <f t="shared" si="73"/>
        <v>9.7837517300000005</v>
      </c>
      <c r="W118" s="22">
        <f t="shared" si="80"/>
        <v>-341462.86000000127</v>
      </c>
      <c r="X118" s="26">
        <f t="shared" si="74"/>
        <v>-341462.86000000127</v>
      </c>
      <c r="Y118" s="18">
        <f t="shared" si="75"/>
        <v>9.4422888699999987</v>
      </c>
      <c r="Z118" s="18">
        <f t="shared" si="76"/>
        <v>-0.34146286000000126</v>
      </c>
      <c r="AA118" s="18">
        <f t="shared" si="77"/>
        <v>0</v>
      </c>
      <c r="AB118" s="18"/>
      <c r="AC118" s="18"/>
      <c r="AD118" s="18">
        <f t="shared" si="78"/>
        <v>0</v>
      </c>
    </row>
    <row r="119" spans="1:30" s="19" customFormat="1" x14ac:dyDescent="0.25">
      <c r="A119" s="19" t="s">
        <v>1732</v>
      </c>
      <c r="B119" s="19" t="s">
        <v>1737</v>
      </c>
      <c r="C119" s="19" t="s">
        <v>1759</v>
      </c>
      <c r="D119" s="19" t="s">
        <v>1820</v>
      </c>
      <c r="E119" s="19" t="s">
        <v>1739</v>
      </c>
      <c r="F119" s="19" t="s">
        <v>1747</v>
      </c>
      <c r="G119" s="19" t="s">
        <v>1757</v>
      </c>
      <c r="H119" s="19" t="s">
        <v>1755</v>
      </c>
      <c r="O119" s="20"/>
      <c r="P119" s="20">
        <v>3345435.45</v>
      </c>
      <c r="R119" s="21" t="b">
        <f>+IF(D119="",VLOOKUP(A119,'[2]Pivot for Jun AUM'!$A$5:$B$121,2,FALSE))</f>
        <v>0</v>
      </c>
      <c r="S119" s="21"/>
      <c r="T119" s="25"/>
      <c r="U119" s="20">
        <v>3901388.43</v>
      </c>
      <c r="V119" s="18">
        <f t="shared" si="73"/>
        <v>3.9013884300000004</v>
      </c>
      <c r="W119" s="22">
        <f t="shared" si="80"/>
        <v>-555952.98</v>
      </c>
      <c r="X119" s="26">
        <f t="shared" si="74"/>
        <v>-555952.98</v>
      </c>
      <c r="Y119" s="18">
        <f t="shared" si="75"/>
        <v>3.3454354500000001</v>
      </c>
      <c r="Z119" s="18">
        <f t="shared" si="76"/>
        <v>-0.55595297999999993</v>
      </c>
      <c r="AA119" s="18">
        <f t="shared" si="77"/>
        <v>0</v>
      </c>
      <c r="AB119" s="18"/>
      <c r="AC119" s="18"/>
      <c r="AD119" s="18">
        <f t="shared" si="78"/>
        <v>0</v>
      </c>
    </row>
    <row r="120" spans="1:30" x14ac:dyDescent="0.25">
      <c r="A120" s="7" t="s">
        <v>1801</v>
      </c>
      <c r="B120" t="s">
        <v>1737</v>
      </c>
      <c r="C120" t="s">
        <v>1802</v>
      </c>
      <c r="D120" t="s">
        <v>1762</v>
      </c>
      <c r="E120" t="s">
        <v>1739</v>
      </c>
      <c r="F120" t="s">
        <v>1793</v>
      </c>
      <c r="G120" s="8"/>
      <c r="H120" s="7"/>
      <c r="L120" t="s">
        <v>235</v>
      </c>
      <c r="M120" t="s">
        <v>236</v>
      </c>
      <c r="N120" t="s">
        <v>246</v>
      </c>
      <c r="P120" s="3"/>
      <c r="R120" s="15" t="b">
        <f>+IF(D120="",VLOOKUP(A120,'[2]Pivot for Jun AUM'!$A$5:$B$121,2,FALSE))</f>
        <v>0</v>
      </c>
      <c r="T120" s="23"/>
      <c r="U120" s="23"/>
      <c r="V120" s="14"/>
      <c r="W120" s="9"/>
      <c r="X120" s="24"/>
      <c r="Y120" s="14"/>
      <c r="Z120" s="14"/>
      <c r="AA120" s="14"/>
      <c r="AB120" s="14"/>
      <c r="AC120" s="14"/>
      <c r="AD120" s="14"/>
    </row>
    <row r="121" spans="1:30" x14ac:dyDescent="0.25">
      <c r="A121" s="7" t="s">
        <v>1792</v>
      </c>
      <c r="B121" t="s">
        <v>1737</v>
      </c>
      <c r="C121" t="s">
        <v>1794</v>
      </c>
      <c r="D121" t="s">
        <v>1762</v>
      </c>
      <c r="E121" t="s">
        <v>1739</v>
      </c>
      <c r="F121" t="s">
        <v>1793</v>
      </c>
      <c r="G121" s="8"/>
      <c r="H121" s="7"/>
      <c r="L121" t="s">
        <v>235</v>
      </c>
      <c r="M121" t="s">
        <v>236</v>
      </c>
      <c r="N121" t="s">
        <v>246</v>
      </c>
      <c r="P121" s="3"/>
      <c r="R121" s="15" t="b">
        <f>+IF(D121="",VLOOKUP(A121,'[2]Pivot for Jun AUM'!$A$5:$B$121,2,FALSE))</f>
        <v>0</v>
      </c>
      <c r="T121" s="23"/>
      <c r="U121" s="23"/>
      <c r="V121" s="14"/>
      <c r="W121" s="9"/>
      <c r="X121" s="24"/>
      <c r="Y121" s="14"/>
      <c r="Z121" s="14"/>
      <c r="AA121" s="14"/>
      <c r="AB121" s="14"/>
      <c r="AC121" s="14"/>
      <c r="AD121" s="14"/>
    </row>
    <row r="122" spans="1:30" x14ac:dyDescent="0.25">
      <c r="A122" t="s">
        <v>1752</v>
      </c>
      <c r="B122" t="s">
        <v>1737</v>
      </c>
      <c r="C122" t="s">
        <v>1753</v>
      </c>
      <c r="D122" t="s">
        <v>1820</v>
      </c>
      <c r="E122" t="s">
        <v>1741</v>
      </c>
      <c r="F122" t="str">
        <f>VLOOKUP(A122,[5]Sheet2!$A:$N,2,FALSE)</f>
        <v>From Risk - Models Master - Sheet 2</v>
      </c>
      <c r="G122" t="str">
        <f>VLOOKUP($A122,'[2]Desk mapping'!$G:$L,5,FALSE)</f>
        <v>Outcome Oriented Strategies</v>
      </c>
      <c r="H122" t="str">
        <f>VLOOKUP($A122,'[2]Desk mapping'!$G:$L,6,FALSE)</f>
        <v>Thematic</v>
      </c>
      <c r="P122" s="3"/>
      <c r="R122" s="15">
        <f>+IF(D122="",VLOOKUP(A122,'[2]Pivot for Jun AUM'!$A$5:$B$121,2,FALSE))/2</f>
        <v>0</v>
      </c>
      <c r="T122" s="23"/>
      <c r="U122" s="23"/>
      <c r="V122" s="14">
        <f>+U122/1000000</f>
        <v>0</v>
      </c>
      <c r="W122" s="9">
        <f>+IF(OR(A122="HF11",A122="PACIFAI"),0,IF(A122="MUSG",P122-U122,P122-U122))</f>
        <v>0</v>
      </c>
      <c r="X122" s="24">
        <f>+IF(ISNA(W122),0,W122)</f>
        <v>0</v>
      </c>
      <c r="Y122" s="14">
        <f>(P122/1000000)</f>
        <v>0</v>
      </c>
      <c r="Z122" s="14">
        <f>X122/1000000</f>
        <v>0</v>
      </c>
      <c r="AA122" s="14">
        <f t="shared" si="77"/>
        <v>0</v>
      </c>
      <c r="AB122" s="14">
        <f>(VLOOKUP(A122,[3]AUM!$A$3:$B$131,2,0)/2)/1000000</f>
        <v>486.69832250000002</v>
      </c>
      <c r="AC122" s="14">
        <f>(VLOOKUP(A122,'[3]Last Aum File'!$A$2:$B$126,2,0)/2)/1000000</f>
        <v>540.05298000000005</v>
      </c>
      <c r="AD122" s="14">
        <f t="shared" si="78"/>
        <v>-53.35465750000003</v>
      </c>
    </row>
    <row r="123" spans="1:30" x14ac:dyDescent="0.25">
      <c r="P123" s="9"/>
      <c r="T123" s="23"/>
      <c r="Y123" s="14"/>
      <c r="AA123" s="28"/>
    </row>
    <row r="124" spans="1:30" x14ac:dyDescent="0.25">
      <c r="P124" s="3">
        <f>SUM(P3:P123)</f>
        <v>12904733148.691843</v>
      </c>
      <c r="T124" s="3">
        <f>SUM(T3:T123)</f>
        <v>-826696136.93261468</v>
      </c>
      <c r="U124" s="3">
        <f>SUM(U3:U123)</f>
        <v>13343668606.855078</v>
      </c>
      <c r="V124" s="3">
        <f>SUM(V3:V123)</f>
        <v>13343.668606855081</v>
      </c>
      <c r="W124" s="3">
        <f t="shared" ref="W124" si="108">SUM(W3:W123)</f>
        <v>-438935458.16323656</v>
      </c>
      <c r="X124" s="3">
        <f>SUM(X3:X123)</f>
        <v>-438935458.16323656</v>
      </c>
      <c r="Y124" s="3">
        <f t="shared" ref="Y124:AA124" si="109">SUM(Y3:Y123)</f>
        <v>12904.733148691845</v>
      </c>
      <c r="Z124" s="3">
        <f t="shared" si="109"/>
        <v>-438.93545816323638</v>
      </c>
      <c r="AA124" s="3">
        <f t="shared" si="109"/>
        <v>-826.69613693261454</v>
      </c>
    </row>
    <row r="125" spans="1:30" x14ac:dyDescent="0.25">
      <c r="A125">
        <v>1</v>
      </c>
      <c r="B125">
        <v>2</v>
      </c>
      <c r="C125">
        <v>3</v>
      </c>
      <c r="D125">
        <v>4</v>
      </c>
      <c r="E125">
        <v>5</v>
      </c>
      <c r="F125">
        <v>6</v>
      </c>
      <c r="G125">
        <v>7</v>
      </c>
      <c r="H125">
        <v>8</v>
      </c>
      <c r="I125">
        <v>9</v>
      </c>
      <c r="J125">
        <v>10</v>
      </c>
      <c r="K125">
        <v>11</v>
      </c>
      <c r="L125">
        <v>12</v>
      </c>
      <c r="M125">
        <v>13</v>
      </c>
      <c r="N125">
        <v>14</v>
      </c>
      <c r="O125">
        <v>15</v>
      </c>
      <c r="P125">
        <v>16</v>
      </c>
      <c r="Q125">
        <v>17</v>
      </c>
      <c r="R125">
        <v>18</v>
      </c>
      <c r="S125">
        <v>19</v>
      </c>
      <c r="T125">
        <v>20</v>
      </c>
      <c r="U125">
        <v>20</v>
      </c>
    </row>
    <row r="127" spans="1:30" x14ac:dyDescent="0.25">
      <c r="T127" s="3">
        <f>T9+T26+T27+T28+T97+T111+T120+T121</f>
        <v>-675210.60000000009</v>
      </c>
      <c r="U127" s="3">
        <f>U9+U26+U27+U28+U97+U111+U120+U121</f>
        <v>5173858</v>
      </c>
    </row>
    <row r="128" spans="1:30" x14ac:dyDescent="0.25">
      <c r="T128" s="3">
        <f>P124-U124</f>
        <v>-438935458.16323471</v>
      </c>
      <c r="U128" s="29">
        <f>T127/U127</f>
        <v>-0.13050427746567456</v>
      </c>
    </row>
    <row r="133" spans="3:19" x14ac:dyDescent="0.25">
      <c r="S133" s="29">
        <f>S134/U124</f>
        <v>2.9059525546833099E-2</v>
      </c>
    </row>
    <row r="134" spans="3:19" x14ac:dyDescent="0.25">
      <c r="S134" s="15">
        <f>P124-U124-T124</f>
        <v>387760678.76937997</v>
      </c>
    </row>
    <row r="135" spans="3:19" x14ac:dyDescent="0.25">
      <c r="C135" s="30"/>
    </row>
  </sheetData>
  <autoFilter ref="A2:Z125" xr:uid="{00000000-0009-0000-0000-000008000000}"/>
  <sortState xmlns:xlrd2="http://schemas.microsoft.com/office/spreadsheetml/2017/richdata2" ref="A2:Q183">
    <sortCondition ref="F2:F183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3:C122"/>
  <sheetViews>
    <sheetView workbookViewId="0">
      <selection activeCell="E13" sqref="E13"/>
    </sheetView>
  </sheetViews>
  <sheetFormatPr defaultRowHeight="15" x14ac:dyDescent="0.25"/>
  <cols>
    <col min="1" max="1" width="18.85546875" bestFit="1" customWidth="1"/>
    <col min="2" max="2" width="16.7109375" bestFit="1" customWidth="1"/>
    <col min="3" max="3" width="19" bestFit="1" customWidth="1"/>
  </cols>
  <sheetData>
    <row r="3" spans="1:3" x14ac:dyDescent="0.25">
      <c r="A3" s="10" t="s">
        <v>1789</v>
      </c>
      <c r="B3" t="s">
        <v>1937</v>
      </c>
      <c r="C3" t="s">
        <v>1938</v>
      </c>
    </row>
    <row r="4" spans="1:3" x14ac:dyDescent="0.25">
      <c r="A4" s="12" t="s">
        <v>1762</v>
      </c>
      <c r="B4" s="17">
        <v>31</v>
      </c>
      <c r="C4" s="17">
        <v>29</v>
      </c>
    </row>
    <row r="5" spans="1:3" x14ac:dyDescent="0.25">
      <c r="A5" s="13" t="s">
        <v>120</v>
      </c>
      <c r="B5" s="17">
        <v>1</v>
      </c>
      <c r="C5" s="17">
        <v>1</v>
      </c>
    </row>
    <row r="6" spans="1:3" x14ac:dyDescent="0.25">
      <c r="A6" s="13" t="s">
        <v>121</v>
      </c>
      <c r="B6" s="17">
        <v>1</v>
      </c>
      <c r="C6" s="17">
        <v>1</v>
      </c>
    </row>
    <row r="7" spans="1:3" x14ac:dyDescent="0.25">
      <c r="A7" s="13" t="s">
        <v>119</v>
      </c>
      <c r="B7" s="17">
        <v>1</v>
      </c>
      <c r="C7" s="17">
        <v>1</v>
      </c>
    </row>
    <row r="8" spans="1:3" x14ac:dyDescent="0.25">
      <c r="A8" s="13" t="s">
        <v>124</v>
      </c>
      <c r="B8" s="17">
        <v>1</v>
      </c>
      <c r="C8" s="17">
        <v>1</v>
      </c>
    </row>
    <row r="9" spans="1:3" x14ac:dyDescent="0.25">
      <c r="A9" s="13" t="s">
        <v>116</v>
      </c>
      <c r="B9" s="17">
        <v>1</v>
      </c>
      <c r="C9" s="17">
        <v>1</v>
      </c>
    </row>
    <row r="10" spans="1:3" x14ac:dyDescent="0.25">
      <c r="A10" s="13" t="s">
        <v>115</v>
      </c>
      <c r="B10" s="17">
        <v>1</v>
      </c>
      <c r="C10" s="17">
        <v>1</v>
      </c>
    </row>
    <row r="11" spans="1:3" x14ac:dyDescent="0.25">
      <c r="A11" s="13" t="s">
        <v>829</v>
      </c>
      <c r="B11" s="17">
        <v>1</v>
      </c>
      <c r="C11" s="17">
        <v>1</v>
      </c>
    </row>
    <row r="12" spans="1:3" x14ac:dyDescent="0.25">
      <c r="A12" s="13" t="s">
        <v>126</v>
      </c>
      <c r="B12" s="17">
        <v>1</v>
      </c>
      <c r="C12" s="17"/>
    </row>
    <row r="13" spans="1:3" x14ac:dyDescent="0.25">
      <c r="A13" s="13" t="s">
        <v>125</v>
      </c>
      <c r="B13" s="17">
        <v>1</v>
      </c>
      <c r="C13" s="17"/>
    </row>
    <row r="14" spans="1:3" x14ac:dyDescent="0.25">
      <c r="A14" s="13" t="s">
        <v>113</v>
      </c>
      <c r="B14" s="17">
        <v>1</v>
      </c>
      <c r="C14" s="17">
        <v>1</v>
      </c>
    </row>
    <row r="15" spans="1:3" x14ac:dyDescent="0.25">
      <c r="A15" s="13" t="s">
        <v>72</v>
      </c>
      <c r="B15" s="17">
        <v>1</v>
      </c>
      <c r="C15" s="17">
        <v>1</v>
      </c>
    </row>
    <row r="16" spans="1:3" x14ac:dyDescent="0.25">
      <c r="A16" s="13" t="s">
        <v>1856</v>
      </c>
      <c r="B16" s="17">
        <v>1</v>
      </c>
      <c r="C16" s="17">
        <v>1</v>
      </c>
    </row>
    <row r="17" spans="1:3" x14ac:dyDescent="0.25">
      <c r="A17" s="13" t="s">
        <v>1903</v>
      </c>
      <c r="B17" s="17">
        <v>1</v>
      </c>
      <c r="C17" s="17">
        <v>1</v>
      </c>
    </row>
    <row r="18" spans="1:3" x14ac:dyDescent="0.25">
      <c r="A18" s="13" t="s">
        <v>1904</v>
      </c>
      <c r="B18" s="17">
        <v>1</v>
      </c>
      <c r="C18" s="17">
        <v>1</v>
      </c>
    </row>
    <row r="19" spans="1:3" x14ac:dyDescent="0.25">
      <c r="A19" s="13" t="s">
        <v>1905</v>
      </c>
      <c r="B19" s="17">
        <v>1</v>
      </c>
      <c r="C19" s="17">
        <v>1</v>
      </c>
    </row>
    <row r="20" spans="1:3" x14ac:dyDescent="0.25">
      <c r="A20" s="13" t="s">
        <v>1912</v>
      </c>
      <c r="B20" s="17">
        <v>1</v>
      </c>
      <c r="C20" s="17">
        <v>1</v>
      </c>
    </row>
    <row r="21" spans="1:3" x14ac:dyDescent="0.25">
      <c r="A21" s="13" t="s">
        <v>1883</v>
      </c>
      <c r="B21" s="17">
        <v>1</v>
      </c>
      <c r="C21" s="17">
        <v>1</v>
      </c>
    </row>
    <row r="22" spans="1:3" x14ac:dyDescent="0.25">
      <c r="A22" s="13" t="s">
        <v>151</v>
      </c>
      <c r="B22" s="17">
        <v>1</v>
      </c>
      <c r="C22" s="17">
        <v>1</v>
      </c>
    </row>
    <row r="23" spans="1:3" x14ac:dyDescent="0.25">
      <c r="A23" s="13" t="s">
        <v>136</v>
      </c>
      <c r="B23" s="17">
        <v>1</v>
      </c>
      <c r="C23" s="17">
        <v>1</v>
      </c>
    </row>
    <row r="24" spans="1:3" x14ac:dyDescent="0.25">
      <c r="A24" s="13" t="s">
        <v>135</v>
      </c>
      <c r="B24" s="17">
        <v>1</v>
      </c>
      <c r="C24" s="17">
        <v>1</v>
      </c>
    </row>
    <row r="25" spans="1:3" x14ac:dyDescent="0.25">
      <c r="A25" s="13" t="s">
        <v>243</v>
      </c>
      <c r="B25" s="17">
        <v>1</v>
      </c>
      <c r="C25" s="17">
        <v>1</v>
      </c>
    </row>
    <row r="26" spans="1:3" x14ac:dyDescent="0.25">
      <c r="A26" s="13" t="s">
        <v>1792</v>
      </c>
      <c r="B26" s="17">
        <v>1</v>
      </c>
      <c r="C26" s="17">
        <v>1</v>
      </c>
    </row>
    <row r="27" spans="1:3" x14ac:dyDescent="0.25">
      <c r="A27" s="13" t="s">
        <v>1801</v>
      </c>
      <c r="B27" s="17">
        <v>1</v>
      </c>
      <c r="C27" s="17">
        <v>1</v>
      </c>
    </row>
    <row r="28" spans="1:3" x14ac:dyDescent="0.25">
      <c r="A28" s="13" t="s">
        <v>1830</v>
      </c>
      <c r="B28" s="17">
        <v>1</v>
      </c>
      <c r="C28" s="17">
        <v>1</v>
      </c>
    </row>
    <row r="29" spans="1:3" x14ac:dyDescent="0.25">
      <c r="A29" s="13" t="s">
        <v>1831</v>
      </c>
      <c r="B29" s="17">
        <v>1</v>
      </c>
      <c r="C29" s="17">
        <v>1</v>
      </c>
    </row>
    <row r="30" spans="1:3" x14ac:dyDescent="0.25">
      <c r="A30" s="13" t="s">
        <v>1865</v>
      </c>
      <c r="B30" s="17">
        <v>1</v>
      </c>
      <c r="C30" s="17">
        <v>1</v>
      </c>
    </row>
    <row r="31" spans="1:3" x14ac:dyDescent="0.25">
      <c r="A31" s="13" t="s">
        <v>1838</v>
      </c>
      <c r="B31" s="17">
        <v>1</v>
      </c>
      <c r="C31" s="17">
        <v>1</v>
      </c>
    </row>
    <row r="32" spans="1:3" x14ac:dyDescent="0.25">
      <c r="A32" s="13" t="s">
        <v>1864</v>
      </c>
      <c r="B32" s="17">
        <v>1</v>
      </c>
      <c r="C32" s="17">
        <v>1</v>
      </c>
    </row>
    <row r="33" spans="1:3" x14ac:dyDescent="0.25">
      <c r="A33" s="13" t="s">
        <v>1922</v>
      </c>
      <c r="B33" s="17">
        <v>1</v>
      </c>
      <c r="C33" s="17">
        <v>1</v>
      </c>
    </row>
    <row r="34" spans="1:3" x14ac:dyDescent="0.25">
      <c r="A34" s="13" t="s">
        <v>1881</v>
      </c>
      <c r="B34" s="17">
        <v>1</v>
      </c>
      <c r="C34" s="17">
        <v>1</v>
      </c>
    </row>
    <row r="35" spans="1:3" x14ac:dyDescent="0.25">
      <c r="A35" s="13" t="s">
        <v>244</v>
      </c>
      <c r="B35" s="17">
        <v>1</v>
      </c>
      <c r="C35" s="17">
        <v>1</v>
      </c>
    </row>
    <row r="36" spans="1:3" x14ac:dyDescent="0.25">
      <c r="A36" s="12" t="s">
        <v>1820</v>
      </c>
      <c r="B36" s="17">
        <v>83</v>
      </c>
      <c r="C36" s="17">
        <v>39</v>
      </c>
    </row>
    <row r="37" spans="1:3" x14ac:dyDescent="0.25">
      <c r="A37" s="13" t="s">
        <v>42</v>
      </c>
      <c r="B37" s="17">
        <v>1</v>
      </c>
      <c r="C37" s="17"/>
    </row>
    <row r="38" spans="1:3" x14ac:dyDescent="0.25">
      <c r="A38" s="13" t="s">
        <v>51</v>
      </c>
      <c r="B38" s="17">
        <v>1</v>
      </c>
      <c r="C38" s="17"/>
    </row>
    <row r="39" spans="1:3" x14ac:dyDescent="0.25">
      <c r="A39" s="13" t="s">
        <v>40</v>
      </c>
      <c r="B39" s="17">
        <v>1</v>
      </c>
      <c r="C39" s="17"/>
    </row>
    <row r="40" spans="1:3" x14ac:dyDescent="0.25">
      <c r="A40" s="13" t="s">
        <v>1746</v>
      </c>
      <c r="B40" s="17">
        <v>1</v>
      </c>
      <c r="C40" s="17">
        <v>1</v>
      </c>
    </row>
    <row r="41" spans="1:3" x14ac:dyDescent="0.25">
      <c r="A41" s="13" t="s">
        <v>250</v>
      </c>
      <c r="B41" s="17">
        <v>1</v>
      </c>
      <c r="C41" s="17">
        <v>1</v>
      </c>
    </row>
    <row r="42" spans="1:3" x14ac:dyDescent="0.25">
      <c r="A42" s="13" t="s">
        <v>252</v>
      </c>
      <c r="B42" s="17">
        <v>1</v>
      </c>
      <c r="C42" s="17">
        <v>1</v>
      </c>
    </row>
    <row r="43" spans="1:3" x14ac:dyDescent="0.25">
      <c r="A43" s="13" t="s">
        <v>251</v>
      </c>
      <c r="B43" s="17">
        <v>1</v>
      </c>
      <c r="C43" s="17">
        <v>1</v>
      </c>
    </row>
    <row r="44" spans="1:3" x14ac:dyDescent="0.25">
      <c r="A44" s="13" t="s">
        <v>253</v>
      </c>
      <c r="B44" s="17">
        <v>1</v>
      </c>
      <c r="C44" s="17">
        <v>1</v>
      </c>
    </row>
    <row r="45" spans="1:3" x14ac:dyDescent="0.25">
      <c r="A45" s="13" t="s">
        <v>131</v>
      </c>
      <c r="B45" s="17">
        <v>1</v>
      </c>
      <c r="C45" s="17"/>
    </row>
    <row r="46" spans="1:3" x14ac:dyDescent="0.25">
      <c r="A46" s="13" t="s">
        <v>85</v>
      </c>
      <c r="B46" s="17">
        <v>1</v>
      </c>
      <c r="C46" s="17"/>
    </row>
    <row r="47" spans="1:3" x14ac:dyDescent="0.25">
      <c r="A47" s="13" t="s">
        <v>64</v>
      </c>
      <c r="B47" s="17">
        <v>1</v>
      </c>
      <c r="C47" s="17">
        <v>1</v>
      </c>
    </row>
    <row r="48" spans="1:3" x14ac:dyDescent="0.25">
      <c r="A48" s="13" t="s">
        <v>1893</v>
      </c>
      <c r="B48" s="17">
        <v>1</v>
      </c>
      <c r="C48" s="17">
        <v>1</v>
      </c>
    </row>
    <row r="49" spans="1:3" x14ac:dyDescent="0.25">
      <c r="A49" s="13" t="s">
        <v>1803</v>
      </c>
      <c r="B49" s="17">
        <v>1</v>
      </c>
      <c r="C49" s="17">
        <v>1</v>
      </c>
    </row>
    <row r="50" spans="1:3" x14ac:dyDescent="0.25">
      <c r="A50" s="13" t="s">
        <v>87</v>
      </c>
      <c r="B50" s="17">
        <v>1</v>
      </c>
      <c r="C50" s="17"/>
    </row>
    <row r="51" spans="1:3" x14ac:dyDescent="0.25">
      <c r="A51" s="13" t="s">
        <v>99</v>
      </c>
      <c r="B51" s="17">
        <v>1</v>
      </c>
      <c r="C51" s="17"/>
    </row>
    <row r="52" spans="1:3" x14ac:dyDescent="0.25">
      <c r="A52" s="13" t="s">
        <v>78</v>
      </c>
      <c r="B52" s="17">
        <v>1</v>
      </c>
      <c r="C52" s="17">
        <v>1</v>
      </c>
    </row>
    <row r="53" spans="1:3" x14ac:dyDescent="0.25">
      <c r="A53" s="13" t="s">
        <v>1892</v>
      </c>
      <c r="B53" s="17">
        <v>1</v>
      </c>
      <c r="C53" s="17">
        <v>1</v>
      </c>
    </row>
    <row r="54" spans="1:3" x14ac:dyDescent="0.25">
      <c r="A54" s="13" t="s">
        <v>1804</v>
      </c>
      <c r="B54" s="17">
        <v>1</v>
      </c>
      <c r="C54" s="17">
        <v>1</v>
      </c>
    </row>
    <row r="55" spans="1:3" x14ac:dyDescent="0.25">
      <c r="A55" s="13" t="s">
        <v>7</v>
      </c>
      <c r="B55" s="17">
        <v>1</v>
      </c>
      <c r="C55" s="17"/>
    </row>
    <row r="56" spans="1:3" x14ac:dyDescent="0.25">
      <c r="A56" s="13" t="s">
        <v>5</v>
      </c>
      <c r="B56" s="17">
        <v>1</v>
      </c>
      <c r="C56" s="17"/>
    </row>
    <row r="57" spans="1:3" x14ac:dyDescent="0.25">
      <c r="A57" s="13" t="s">
        <v>32</v>
      </c>
      <c r="B57" s="17">
        <v>1</v>
      </c>
      <c r="C57" s="17"/>
    </row>
    <row r="58" spans="1:3" x14ac:dyDescent="0.25">
      <c r="A58" s="13" t="s">
        <v>58</v>
      </c>
      <c r="B58" s="17">
        <v>1</v>
      </c>
      <c r="C58" s="17"/>
    </row>
    <row r="59" spans="1:3" x14ac:dyDescent="0.25">
      <c r="A59" s="13" t="s">
        <v>105</v>
      </c>
      <c r="B59" s="17">
        <v>1</v>
      </c>
      <c r="C59" s="17"/>
    </row>
    <row r="60" spans="1:3" x14ac:dyDescent="0.25">
      <c r="A60" s="13" t="s">
        <v>1731</v>
      </c>
      <c r="B60" s="17">
        <v>1</v>
      </c>
      <c r="C60" s="17">
        <v>1</v>
      </c>
    </row>
    <row r="61" spans="1:3" x14ac:dyDescent="0.25">
      <c r="A61" s="13" t="s">
        <v>1732</v>
      </c>
      <c r="B61" s="17">
        <v>1</v>
      </c>
      <c r="C61" s="17">
        <v>1</v>
      </c>
    </row>
    <row r="62" spans="1:3" x14ac:dyDescent="0.25">
      <c r="A62" s="13" t="s">
        <v>248</v>
      </c>
      <c r="B62" s="17">
        <v>1</v>
      </c>
      <c r="C62" s="17">
        <v>1</v>
      </c>
    </row>
    <row r="63" spans="1:3" x14ac:dyDescent="0.25">
      <c r="A63" s="13" t="s">
        <v>249</v>
      </c>
      <c r="B63" s="17">
        <v>1</v>
      </c>
      <c r="C63" s="17">
        <v>1</v>
      </c>
    </row>
    <row r="64" spans="1:3" x14ac:dyDescent="0.25">
      <c r="A64" s="13" t="s">
        <v>73</v>
      </c>
      <c r="B64" s="17">
        <v>1</v>
      </c>
      <c r="C64" s="17">
        <v>1</v>
      </c>
    </row>
    <row r="65" spans="1:3" x14ac:dyDescent="0.25">
      <c r="A65" s="13" t="s">
        <v>140</v>
      </c>
      <c r="B65" s="17">
        <v>1</v>
      </c>
      <c r="C65" s="17">
        <v>1</v>
      </c>
    </row>
    <row r="66" spans="1:3" x14ac:dyDescent="0.25">
      <c r="A66" s="13" t="s">
        <v>74</v>
      </c>
      <c r="B66" s="17">
        <v>1</v>
      </c>
      <c r="C66" s="17">
        <v>1</v>
      </c>
    </row>
    <row r="67" spans="1:3" x14ac:dyDescent="0.25">
      <c r="A67" s="13" t="s">
        <v>82</v>
      </c>
      <c r="B67" s="17">
        <v>1</v>
      </c>
      <c r="C67" s="17">
        <v>1</v>
      </c>
    </row>
    <row r="68" spans="1:3" x14ac:dyDescent="0.25">
      <c r="A68" s="13" t="s">
        <v>67</v>
      </c>
      <c r="B68" s="17">
        <v>1</v>
      </c>
      <c r="C68" s="17">
        <v>1</v>
      </c>
    </row>
    <row r="69" spans="1:3" x14ac:dyDescent="0.25">
      <c r="A69" s="13" t="s">
        <v>83</v>
      </c>
      <c r="B69" s="17">
        <v>1</v>
      </c>
      <c r="C69" s="17">
        <v>1</v>
      </c>
    </row>
    <row r="70" spans="1:3" x14ac:dyDescent="0.25">
      <c r="A70" s="13" t="s">
        <v>68</v>
      </c>
      <c r="B70" s="17">
        <v>1</v>
      </c>
      <c r="C70" s="17">
        <v>1</v>
      </c>
    </row>
    <row r="71" spans="1:3" x14ac:dyDescent="0.25">
      <c r="A71" s="13" t="s">
        <v>138</v>
      </c>
      <c r="B71" s="17">
        <v>1</v>
      </c>
      <c r="C71" s="17">
        <v>1</v>
      </c>
    </row>
    <row r="72" spans="1:3" x14ac:dyDescent="0.25">
      <c r="A72" s="13" t="s">
        <v>80</v>
      </c>
      <c r="B72" s="17">
        <v>1</v>
      </c>
      <c r="C72" s="17">
        <v>1</v>
      </c>
    </row>
    <row r="73" spans="1:3" x14ac:dyDescent="0.25">
      <c r="A73" s="13" t="s">
        <v>79</v>
      </c>
      <c r="B73" s="17">
        <v>1</v>
      </c>
      <c r="C73" s="17">
        <v>1</v>
      </c>
    </row>
    <row r="74" spans="1:3" x14ac:dyDescent="0.25">
      <c r="A74" s="13" t="s">
        <v>81</v>
      </c>
      <c r="B74" s="17">
        <v>1</v>
      </c>
      <c r="C74" s="17">
        <v>1</v>
      </c>
    </row>
    <row r="75" spans="1:3" x14ac:dyDescent="0.25">
      <c r="A75" s="13" t="s">
        <v>14</v>
      </c>
      <c r="B75" s="17">
        <v>1</v>
      </c>
      <c r="C75" s="17"/>
    </row>
    <row r="76" spans="1:3" x14ac:dyDescent="0.25">
      <c r="A76" s="13" t="s">
        <v>106</v>
      </c>
      <c r="B76" s="17">
        <v>1</v>
      </c>
      <c r="C76" s="17"/>
    </row>
    <row r="77" spans="1:3" x14ac:dyDescent="0.25">
      <c r="A77" s="13" t="s">
        <v>26</v>
      </c>
      <c r="B77" s="17">
        <v>1</v>
      </c>
      <c r="C77" s="17"/>
    </row>
    <row r="78" spans="1:3" x14ac:dyDescent="0.25">
      <c r="A78" s="13" t="s">
        <v>22</v>
      </c>
      <c r="B78" s="17">
        <v>1</v>
      </c>
      <c r="C78" s="17"/>
    </row>
    <row r="79" spans="1:3" x14ac:dyDescent="0.25">
      <c r="A79" s="13" t="s">
        <v>39</v>
      </c>
      <c r="B79" s="17">
        <v>1</v>
      </c>
      <c r="C79" s="17"/>
    </row>
    <row r="80" spans="1:3" x14ac:dyDescent="0.25">
      <c r="A80" s="13" t="s">
        <v>49</v>
      </c>
      <c r="B80" s="17">
        <v>1</v>
      </c>
      <c r="C80" s="17"/>
    </row>
    <row r="81" spans="1:3" x14ac:dyDescent="0.25">
      <c r="A81" s="13" t="s">
        <v>38</v>
      </c>
      <c r="B81" s="17">
        <v>1</v>
      </c>
      <c r="C81" s="17"/>
    </row>
    <row r="82" spans="1:3" x14ac:dyDescent="0.25">
      <c r="A82" s="13" t="s">
        <v>153</v>
      </c>
      <c r="B82" s="17">
        <v>1</v>
      </c>
      <c r="C82" s="17"/>
    </row>
    <row r="83" spans="1:3" x14ac:dyDescent="0.25">
      <c r="A83" s="13" t="s">
        <v>149</v>
      </c>
      <c r="B83" s="17">
        <v>1</v>
      </c>
      <c r="C83" s="17">
        <v>1</v>
      </c>
    </row>
    <row r="84" spans="1:3" x14ac:dyDescent="0.25">
      <c r="A84" s="13" t="s">
        <v>16</v>
      </c>
      <c r="B84" s="17">
        <v>1</v>
      </c>
      <c r="C84" s="17"/>
    </row>
    <row r="85" spans="1:3" x14ac:dyDescent="0.25">
      <c r="A85" s="13" t="s">
        <v>148</v>
      </c>
      <c r="B85" s="17">
        <v>1</v>
      </c>
      <c r="C85" s="17">
        <v>1</v>
      </c>
    </row>
    <row r="86" spans="1:3" x14ac:dyDescent="0.25">
      <c r="A86" s="13" t="s">
        <v>144</v>
      </c>
      <c r="B86" s="17">
        <v>1</v>
      </c>
      <c r="C86" s="17"/>
    </row>
    <row r="87" spans="1:3" x14ac:dyDescent="0.25">
      <c r="A87" s="13" t="s">
        <v>1733</v>
      </c>
      <c r="B87" s="17">
        <v>1</v>
      </c>
      <c r="C87" s="17"/>
    </row>
    <row r="88" spans="1:3" x14ac:dyDescent="0.25">
      <c r="A88" s="13" t="s">
        <v>9</v>
      </c>
      <c r="B88" s="17">
        <v>1</v>
      </c>
      <c r="C88" s="17"/>
    </row>
    <row r="89" spans="1:3" x14ac:dyDescent="0.25">
      <c r="A89" s="13" t="s">
        <v>1752</v>
      </c>
      <c r="B89" s="17">
        <v>1</v>
      </c>
      <c r="C89" s="17">
        <v>1</v>
      </c>
    </row>
    <row r="90" spans="1:3" x14ac:dyDescent="0.25">
      <c r="A90" s="13" t="s">
        <v>143</v>
      </c>
      <c r="B90" s="17">
        <v>1</v>
      </c>
      <c r="C90" s="17">
        <v>1</v>
      </c>
    </row>
    <row r="91" spans="1:3" x14ac:dyDescent="0.25">
      <c r="A91" s="13" t="s">
        <v>23</v>
      </c>
      <c r="B91" s="17">
        <v>1</v>
      </c>
      <c r="C91" s="17"/>
    </row>
    <row r="92" spans="1:3" x14ac:dyDescent="0.25">
      <c r="A92" s="13" t="s">
        <v>66</v>
      </c>
      <c r="B92" s="17">
        <v>1</v>
      </c>
      <c r="C92" s="17"/>
    </row>
    <row r="93" spans="1:3" x14ac:dyDescent="0.25">
      <c r="A93" s="13" t="s">
        <v>15</v>
      </c>
      <c r="B93" s="17">
        <v>1</v>
      </c>
      <c r="C93" s="17"/>
    </row>
    <row r="94" spans="1:3" x14ac:dyDescent="0.25">
      <c r="A94" s="13" t="s">
        <v>69</v>
      </c>
      <c r="B94" s="17">
        <v>1</v>
      </c>
      <c r="C94" s="17">
        <v>1</v>
      </c>
    </row>
    <row r="95" spans="1:3" x14ac:dyDescent="0.25">
      <c r="A95" s="13" t="s">
        <v>108</v>
      </c>
      <c r="B95" s="17">
        <v>1</v>
      </c>
      <c r="C95" s="17"/>
    </row>
    <row r="96" spans="1:3" x14ac:dyDescent="0.25">
      <c r="A96" s="13" t="s">
        <v>922</v>
      </c>
      <c r="B96" s="17">
        <v>1</v>
      </c>
      <c r="C96" s="17"/>
    </row>
    <row r="97" spans="1:3" x14ac:dyDescent="0.25">
      <c r="A97" s="13" t="s">
        <v>1885</v>
      </c>
      <c r="B97" s="17">
        <v>1</v>
      </c>
      <c r="C97" s="17">
        <v>1</v>
      </c>
    </row>
    <row r="98" spans="1:3" x14ac:dyDescent="0.25">
      <c r="A98" s="13" t="s">
        <v>10</v>
      </c>
      <c r="B98" s="17">
        <v>1</v>
      </c>
      <c r="C98" s="17"/>
    </row>
    <row r="99" spans="1:3" x14ac:dyDescent="0.25">
      <c r="A99" s="13" t="s">
        <v>145</v>
      </c>
      <c r="B99" s="17">
        <v>1</v>
      </c>
      <c r="C99" s="17">
        <v>1</v>
      </c>
    </row>
    <row r="100" spans="1:3" x14ac:dyDescent="0.25">
      <c r="A100" s="13" t="s">
        <v>141</v>
      </c>
      <c r="B100" s="17">
        <v>1</v>
      </c>
      <c r="C100" s="17">
        <v>1</v>
      </c>
    </row>
    <row r="101" spans="1:3" x14ac:dyDescent="0.25">
      <c r="A101" s="13" t="s">
        <v>86</v>
      </c>
      <c r="B101" s="17">
        <v>1</v>
      </c>
      <c r="C101" s="17">
        <v>1</v>
      </c>
    </row>
    <row r="102" spans="1:3" x14ac:dyDescent="0.25">
      <c r="A102" s="13" t="s">
        <v>20</v>
      </c>
      <c r="B102" s="17">
        <v>1</v>
      </c>
      <c r="C102" s="17">
        <v>1</v>
      </c>
    </row>
    <row r="103" spans="1:3" x14ac:dyDescent="0.25">
      <c r="A103" s="13" t="s">
        <v>142</v>
      </c>
      <c r="B103" s="17">
        <v>1</v>
      </c>
      <c r="C103" s="17">
        <v>1</v>
      </c>
    </row>
    <row r="104" spans="1:3" x14ac:dyDescent="0.25">
      <c r="A104" s="13" t="s">
        <v>37</v>
      </c>
      <c r="B104" s="17">
        <v>1</v>
      </c>
      <c r="C104" s="17"/>
    </row>
    <row r="105" spans="1:3" x14ac:dyDescent="0.25">
      <c r="A105" s="13" t="s">
        <v>127</v>
      </c>
      <c r="B105" s="17">
        <v>1</v>
      </c>
      <c r="C105" s="17"/>
    </row>
    <row r="106" spans="1:3" x14ac:dyDescent="0.25">
      <c r="A106" s="13" t="s">
        <v>31</v>
      </c>
      <c r="B106" s="17">
        <v>1</v>
      </c>
      <c r="C106" s="17"/>
    </row>
    <row r="107" spans="1:3" x14ac:dyDescent="0.25">
      <c r="A107" s="13" t="s">
        <v>104</v>
      </c>
      <c r="B107" s="17">
        <v>1</v>
      </c>
      <c r="C107" s="17"/>
    </row>
    <row r="108" spans="1:3" x14ac:dyDescent="0.25">
      <c r="A108" s="13" t="s">
        <v>59</v>
      </c>
      <c r="B108" s="17">
        <v>1</v>
      </c>
      <c r="C108" s="17"/>
    </row>
    <row r="109" spans="1:3" x14ac:dyDescent="0.25">
      <c r="A109" s="13" t="s">
        <v>150</v>
      </c>
      <c r="B109" s="17">
        <v>1</v>
      </c>
      <c r="C109" s="17"/>
    </row>
    <row r="110" spans="1:3" x14ac:dyDescent="0.25">
      <c r="A110" s="13" t="s">
        <v>57</v>
      </c>
      <c r="B110" s="17">
        <v>1</v>
      </c>
      <c r="C110" s="17"/>
    </row>
    <row r="111" spans="1:3" x14ac:dyDescent="0.25">
      <c r="A111" s="13" t="s">
        <v>1821</v>
      </c>
      <c r="B111" s="17">
        <v>1</v>
      </c>
      <c r="C111" s="17">
        <v>1</v>
      </c>
    </row>
    <row r="112" spans="1:3" x14ac:dyDescent="0.25">
      <c r="A112" s="13" t="s">
        <v>1899</v>
      </c>
      <c r="B112" s="17">
        <v>1</v>
      </c>
      <c r="C112" s="17"/>
    </row>
    <row r="113" spans="1:3" x14ac:dyDescent="0.25">
      <c r="A113" s="13" t="s">
        <v>107</v>
      </c>
      <c r="B113" s="17">
        <v>1</v>
      </c>
      <c r="C113" s="17"/>
    </row>
    <row r="114" spans="1:3" x14ac:dyDescent="0.25">
      <c r="A114" s="13" t="s">
        <v>1896</v>
      </c>
      <c r="B114" s="17">
        <v>1</v>
      </c>
      <c r="C114" s="17"/>
    </row>
    <row r="115" spans="1:3" x14ac:dyDescent="0.25">
      <c r="A115" s="13" t="s">
        <v>55</v>
      </c>
      <c r="B115" s="17">
        <v>1</v>
      </c>
      <c r="C115" s="17"/>
    </row>
    <row r="116" spans="1:3" x14ac:dyDescent="0.25">
      <c r="A116" s="13" t="s">
        <v>77</v>
      </c>
      <c r="B116" s="17">
        <v>1</v>
      </c>
      <c r="C116" s="17"/>
    </row>
    <row r="117" spans="1:3" x14ac:dyDescent="0.25">
      <c r="A117" s="13" t="s">
        <v>18</v>
      </c>
      <c r="B117" s="17">
        <v>1</v>
      </c>
      <c r="C117" s="17"/>
    </row>
    <row r="118" spans="1:3" x14ac:dyDescent="0.25">
      <c r="A118" s="13" t="s">
        <v>56</v>
      </c>
      <c r="B118" s="17">
        <v>1</v>
      </c>
      <c r="C118" s="17"/>
    </row>
    <row r="119" spans="1:3" x14ac:dyDescent="0.25">
      <c r="A119" s="13" t="s">
        <v>1866</v>
      </c>
      <c r="B119" s="17">
        <v>1</v>
      </c>
      <c r="C119" s="17">
        <v>1</v>
      </c>
    </row>
    <row r="120" spans="1:3" x14ac:dyDescent="0.25">
      <c r="A120" s="12" t="s">
        <v>1868</v>
      </c>
      <c r="B120" s="17"/>
      <c r="C120" s="17"/>
    </row>
    <row r="121" spans="1:3" x14ac:dyDescent="0.25">
      <c r="A121" s="13" t="s">
        <v>1868</v>
      </c>
      <c r="B121" s="17"/>
      <c r="C121" s="17"/>
    </row>
    <row r="122" spans="1:3" x14ac:dyDescent="0.25">
      <c r="A122" s="12" t="s">
        <v>1767</v>
      </c>
      <c r="B122" s="17">
        <v>114</v>
      </c>
      <c r="C122" s="17">
        <v>68</v>
      </c>
    </row>
  </sheetData>
  <pageMargins left="0.7" right="0.7" top="0.75" bottom="0.75" header="0.3" footer="0.3"/>
  <pageSetup paperSize="9" orientation="portrait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3:D131"/>
  <sheetViews>
    <sheetView workbookViewId="0">
      <selection activeCell="C12" sqref="C12"/>
    </sheetView>
  </sheetViews>
  <sheetFormatPr defaultRowHeight="15" x14ac:dyDescent="0.25"/>
  <cols>
    <col min="1" max="1" width="78.5703125" bestFit="1" customWidth="1"/>
    <col min="2" max="2" width="16.28515625" bestFit="1" customWidth="1"/>
    <col min="3" max="3" width="6.85546875" bestFit="1" customWidth="1"/>
    <col min="4" max="4" width="11.28515625" bestFit="1" customWidth="1"/>
  </cols>
  <sheetData>
    <row r="3" spans="1:4" x14ac:dyDescent="0.25">
      <c r="A3" s="10" t="s">
        <v>1939</v>
      </c>
      <c r="B3" s="10" t="s">
        <v>1889</v>
      </c>
    </row>
    <row r="4" spans="1:4" x14ac:dyDescent="0.25">
      <c r="A4" s="10" t="s">
        <v>1789</v>
      </c>
      <c r="B4" t="s">
        <v>1762</v>
      </c>
      <c r="C4" t="s">
        <v>1820</v>
      </c>
      <c r="D4" t="s">
        <v>1767</v>
      </c>
    </row>
    <row r="5" spans="1:4" x14ac:dyDescent="0.25">
      <c r="A5" s="12" t="s">
        <v>1774</v>
      </c>
      <c r="B5" s="17">
        <v>1</v>
      </c>
      <c r="C5" s="17"/>
      <c r="D5" s="17">
        <v>1</v>
      </c>
    </row>
    <row r="6" spans="1:4" x14ac:dyDescent="0.25">
      <c r="A6" s="13" t="s">
        <v>211</v>
      </c>
      <c r="B6" s="17">
        <v>1</v>
      </c>
      <c r="C6" s="17"/>
      <c r="D6" s="17">
        <v>1</v>
      </c>
    </row>
    <row r="7" spans="1:4" x14ac:dyDescent="0.25">
      <c r="A7" s="12" t="s">
        <v>1771</v>
      </c>
      <c r="B7" s="17"/>
      <c r="C7" s="17">
        <v>7</v>
      </c>
      <c r="D7" s="17">
        <v>7</v>
      </c>
    </row>
    <row r="8" spans="1:4" x14ac:dyDescent="0.25">
      <c r="A8" s="13" t="s">
        <v>1797</v>
      </c>
      <c r="B8" s="17"/>
      <c r="C8" s="17">
        <v>1</v>
      </c>
      <c r="D8" s="17">
        <v>1</v>
      </c>
    </row>
    <row r="9" spans="1:4" x14ac:dyDescent="0.25">
      <c r="A9" s="13" t="s">
        <v>184</v>
      </c>
      <c r="B9" s="17"/>
      <c r="C9" s="17">
        <v>1</v>
      </c>
      <c r="D9" s="17">
        <v>1</v>
      </c>
    </row>
    <row r="10" spans="1:4" x14ac:dyDescent="0.25">
      <c r="A10" s="13" t="s">
        <v>1894</v>
      </c>
      <c r="B10" s="17"/>
      <c r="C10" s="17">
        <v>1</v>
      </c>
      <c r="D10" s="17">
        <v>1</v>
      </c>
    </row>
    <row r="11" spans="1:4" x14ac:dyDescent="0.25">
      <c r="A11" s="13" t="s">
        <v>1805</v>
      </c>
      <c r="B11" s="17"/>
      <c r="C11" s="17">
        <v>1</v>
      </c>
      <c r="D11" s="17">
        <v>1</v>
      </c>
    </row>
    <row r="12" spans="1:4" x14ac:dyDescent="0.25">
      <c r="A12" s="13" t="s">
        <v>193</v>
      </c>
      <c r="B12" s="17"/>
      <c r="C12" s="17">
        <v>1</v>
      </c>
      <c r="D12" s="17">
        <v>1</v>
      </c>
    </row>
    <row r="13" spans="1:4" x14ac:dyDescent="0.25">
      <c r="A13" s="13" t="s">
        <v>1895</v>
      </c>
      <c r="B13" s="17"/>
      <c r="C13" s="17">
        <v>1</v>
      </c>
      <c r="D13" s="17">
        <v>1</v>
      </c>
    </row>
    <row r="14" spans="1:4" x14ac:dyDescent="0.25">
      <c r="A14" s="13" t="s">
        <v>1806</v>
      </c>
      <c r="B14" s="17"/>
      <c r="C14" s="17">
        <v>1</v>
      </c>
      <c r="D14" s="17">
        <v>1</v>
      </c>
    </row>
    <row r="15" spans="1:4" x14ac:dyDescent="0.25">
      <c r="A15" s="12" t="s">
        <v>1772</v>
      </c>
      <c r="B15" s="17"/>
      <c r="C15" s="17">
        <v>12</v>
      </c>
      <c r="D15" s="17">
        <v>12</v>
      </c>
    </row>
    <row r="16" spans="1:4" x14ac:dyDescent="0.25">
      <c r="A16" s="13" t="s">
        <v>195</v>
      </c>
      <c r="B16" s="17"/>
      <c r="C16" s="17">
        <v>1</v>
      </c>
      <c r="D16" s="17">
        <v>1</v>
      </c>
    </row>
    <row r="17" spans="1:4" x14ac:dyDescent="0.25">
      <c r="A17" s="13" t="s">
        <v>198</v>
      </c>
      <c r="B17" s="17"/>
      <c r="C17" s="17">
        <v>1</v>
      </c>
      <c r="D17" s="17">
        <v>1</v>
      </c>
    </row>
    <row r="18" spans="1:4" x14ac:dyDescent="0.25">
      <c r="A18" s="13" t="s">
        <v>218</v>
      </c>
      <c r="B18" s="17"/>
      <c r="C18" s="17">
        <v>1</v>
      </c>
      <c r="D18" s="17">
        <v>1</v>
      </c>
    </row>
    <row r="19" spans="1:4" x14ac:dyDescent="0.25">
      <c r="A19" s="13" t="s">
        <v>197</v>
      </c>
      <c r="B19" s="17"/>
      <c r="C19" s="17">
        <v>1</v>
      </c>
      <c r="D19" s="17">
        <v>1</v>
      </c>
    </row>
    <row r="20" spans="1:4" x14ac:dyDescent="0.25">
      <c r="A20" s="13" t="s">
        <v>191</v>
      </c>
      <c r="B20" s="17"/>
      <c r="C20" s="17">
        <v>1</v>
      </c>
      <c r="D20" s="17">
        <v>1</v>
      </c>
    </row>
    <row r="21" spans="1:4" x14ac:dyDescent="0.25">
      <c r="A21" s="13" t="s">
        <v>217</v>
      </c>
      <c r="B21" s="17"/>
      <c r="C21" s="17">
        <v>1</v>
      </c>
      <c r="D21" s="17">
        <v>1</v>
      </c>
    </row>
    <row r="22" spans="1:4" x14ac:dyDescent="0.25">
      <c r="A22" s="13" t="s">
        <v>185</v>
      </c>
      <c r="B22" s="17"/>
      <c r="C22" s="17">
        <v>1</v>
      </c>
      <c r="D22" s="17">
        <v>1</v>
      </c>
    </row>
    <row r="23" spans="1:4" x14ac:dyDescent="0.25">
      <c r="A23" s="13" t="s">
        <v>187</v>
      </c>
      <c r="B23" s="17"/>
      <c r="C23" s="17">
        <v>1</v>
      </c>
      <c r="D23" s="17">
        <v>1</v>
      </c>
    </row>
    <row r="24" spans="1:4" x14ac:dyDescent="0.25">
      <c r="A24" s="13" t="s">
        <v>186</v>
      </c>
      <c r="B24" s="17"/>
      <c r="C24" s="17">
        <v>1</v>
      </c>
      <c r="D24" s="17">
        <v>1</v>
      </c>
    </row>
    <row r="25" spans="1:4" x14ac:dyDescent="0.25">
      <c r="A25" s="13" t="s">
        <v>190</v>
      </c>
      <c r="B25" s="17"/>
      <c r="C25" s="17">
        <v>1</v>
      </c>
      <c r="D25" s="17">
        <v>1</v>
      </c>
    </row>
    <row r="26" spans="1:4" x14ac:dyDescent="0.25">
      <c r="A26" s="13" t="s">
        <v>196</v>
      </c>
      <c r="B26" s="17"/>
      <c r="C26" s="17">
        <v>1</v>
      </c>
      <c r="D26" s="17">
        <v>1</v>
      </c>
    </row>
    <row r="27" spans="1:4" x14ac:dyDescent="0.25">
      <c r="A27" s="13" t="s">
        <v>194</v>
      </c>
      <c r="B27" s="17"/>
      <c r="C27" s="17">
        <v>1</v>
      </c>
      <c r="D27" s="17">
        <v>1</v>
      </c>
    </row>
    <row r="28" spans="1:4" x14ac:dyDescent="0.25">
      <c r="A28" s="12" t="s">
        <v>1756</v>
      </c>
      <c r="B28" s="17">
        <v>4</v>
      </c>
      <c r="C28" s="17">
        <v>17</v>
      </c>
      <c r="D28" s="17">
        <v>21</v>
      </c>
    </row>
    <row r="29" spans="1:4" x14ac:dyDescent="0.25">
      <c r="A29" s="13" t="s">
        <v>1900</v>
      </c>
      <c r="B29" s="17">
        <v>1</v>
      </c>
      <c r="C29" s="17"/>
      <c r="D29" s="17">
        <v>1</v>
      </c>
    </row>
    <row r="30" spans="1:4" x14ac:dyDescent="0.25">
      <c r="A30" s="13" t="s">
        <v>271</v>
      </c>
      <c r="B30" s="17">
        <v>1</v>
      </c>
      <c r="C30" s="17"/>
      <c r="D30" s="17">
        <v>1</v>
      </c>
    </row>
    <row r="31" spans="1:4" x14ac:dyDescent="0.25">
      <c r="A31" s="13" t="s">
        <v>1834</v>
      </c>
      <c r="B31" s="17">
        <v>1</v>
      </c>
      <c r="C31" s="17"/>
      <c r="D31" s="17">
        <v>1</v>
      </c>
    </row>
    <row r="32" spans="1:4" x14ac:dyDescent="0.25">
      <c r="A32" s="13" t="s">
        <v>1800</v>
      </c>
      <c r="B32" s="17">
        <v>1</v>
      </c>
      <c r="C32" s="17"/>
      <c r="D32" s="17">
        <v>1</v>
      </c>
    </row>
    <row r="33" spans="1:4" x14ac:dyDescent="0.25">
      <c r="A33" s="13" t="s">
        <v>175</v>
      </c>
      <c r="B33" s="17"/>
      <c r="C33" s="17">
        <v>1</v>
      </c>
      <c r="D33" s="17">
        <v>1</v>
      </c>
    </row>
    <row r="34" spans="1:4" x14ac:dyDescent="0.25">
      <c r="A34" s="13" t="s">
        <v>201</v>
      </c>
      <c r="B34" s="17"/>
      <c r="C34" s="17">
        <v>1</v>
      </c>
      <c r="D34" s="17">
        <v>1</v>
      </c>
    </row>
    <row r="35" spans="1:4" x14ac:dyDescent="0.25">
      <c r="A35" s="13" t="s">
        <v>202</v>
      </c>
      <c r="B35" s="17"/>
      <c r="C35" s="17">
        <v>1</v>
      </c>
      <c r="D35" s="17">
        <v>1</v>
      </c>
    </row>
    <row r="36" spans="1:4" x14ac:dyDescent="0.25">
      <c r="A36" s="13" t="s">
        <v>161</v>
      </c>
      <c r="B36" s="17"/>
      <c r="C36" s="17">
        <v>1</v>
      </c>
      <c r="D36" s="17">
        <v>1</v>
      </c>
    </row>
    <row r="37" spans="1:4" x14ac:dyDescent="0.25">
      <c r="A37" s="13" t="s">
        <v>158</v>
      </c>
      <c r="B37" s="17"/>
      <c r="C37" s="17">
        <v>1</v>
      </c>
      <c r="D37" s="17">
        <v>1</v>
      </c>
    </row>
    <row r="38" spans="1:4" x14ac:dyDescent="0.25">
      <c r="A38" s="13" t="s">
        <v>228</v>
      </c>
      <c r="B38" s="17"/>
      <c r="C38" s="17">
        <v>1</v>
      </c>
      <c r="D38" s="17">
        <v>1</v>
      </c>
    </row>
    <row r="39" spans="1:4" x14ac:dyDescent="0.25">
      <c r="A39" s="13" t="s">
        <v>163</v>
      </c>
      <c r="B39" s="17"/>
      <c r="C39" s="17">
        <v>1</v>
      </c>
      <c r="D39" s="17">
        <v>1</v>
      </c>
    </row>
    <row r="40" spans="1:4" x14ac:dyDescent="0.25">
      <c r="A40" s="13" t="s">
        <v>188</v>
      </c>
      <c r="B40" s="17"/>
      <c r="C40" s="17">
        <v>1</v>
      </c>
      <c r="D40" s="17">
        <v>1</v>
      </c>
    </row>
    <row r="41" spans="1:4" x14ac:dyDescent="0.25">
      <c r="A41" s="13" t="s">
        <v>1886</v>
      </c>
      <c r="B41" s="17"/>
      <c r="C41" s="17">
        <v>1</v>
      </c>
      <c r="D41" s="17">
        <v>1</v>
      </c>
    </row>
    <row r="42" spans="1:4" x14ac:dyDescent="0.25">
      <c r="A42" s="13" t="s">
        <v>183</v>
      </c>
      <c r="B42" s="17"/>
      <c r="C42" s="17">
        <v>1</v>
      </c>
      <c r="D42" s="17">
        <v>1</v>
      </c>
    </row>
    <row r="43" spans="1:4" x14ac:dyDescent="0.25">
      <c r="A43" s="13" t="s">
        <v>179</v>
      </c>
      <c r="B43" s="17"/>
      <c r="C43" s="17">
        <v>1</v>
      </c>
      <c r="D43" s="17">
        <v>1</v>
      </c>
    </row>
    <row r="44" spans="1:4" x14ac:dyDescent="0.25">
      <c r="A44" s="13" t="s">
        <v>180</v>
      </c>
      <c r="B44" s="17"/>
      <c r="C44" s="17">
        <v>1</v>
      </c>
      <c r="D44" s="17">
        <v>1</v>
      </c>
    </row>
    <row r="45" spans="1:4" x14ac:dyDescent="0.25">
      <c r="A45" s="13" t="s">
        <v>192</v>
      </c>
      <c r="B45" s="17"/>
      <c r="C45" s="17">
        <v>1</v>
      </c>
      <c r="D45" s="17">
        <v>1</v>
      </c>
    </row>
    <row r="46" spans="1:4" x14ac:dyDescent="0.25">
      <c r="A46" s="13" t="s">
        <v>165</v>
      </c>
      <c r="B46" s="17"/>
      <c r="C46" s="17">
        <v>1</v>
      </c>
      <c r="D46" s="17">
        <v>1</v>
      </c>
    </row>
    <row r="47" spans="1:4" x14ac:dyDescent="0.25">
      <c r="A47" s="13" t="s">
        <v>169</v>
      </c>
      <c r="B47" s="17"/>
      <c r="C47" s="17">
        <v>1</v>
      </c>
      <c r="D47" s="17">
        <v>1</v>
      </c>
    </row>
    <row r="48" spans="1:4" x14ac:dyDescent="0.25">
      <c r="A48" s="13" t="s">
        <v>174</v>
      </c>
      <c r="B48" s="17"/>
      <c r="C48" s="17">
        <v>1</v>
      </c>
      <c r="D48" s="17">
        <v>1</v>
      </c>
    </row>
    <row r="49" spans="1:4" x14ac:dyDescent="0.25">
      <c r="A49" s="13" t="s">
        <v>167</v>
      </c>
      <c r="B49" s="17"/>
      <c r="C49" s="17">
        <v>1</v>
      </c>
      <c r="D49" s="17">
        <v>1</v>
      </c>
    </row>
    <row r="50" spans="1:4" x14ac:dyDescent="0.25">
      <c r="A50" s="12" t="s">
        <v>1775</v>
      </c>
      <c r="B50" s="17">
        <v>2</v>
      </c>
      <c r="C50" s="17">
        <v>1</v>
      </c>
      <c r="D50" s="17">
        <v>3</v>
      </c>
    </row>
    <row r="51" spans="1:4" x14ac:dyDescent="0.25">
      <c r="A51" s="13" t="s">
        <v>1857</v>
      </c>
      <c r="B51" s="17">
        <v>1</v>
      </c>
      <c r="C51" s="17"/>
      <c r="D51" s="17">
        <v>1</v>
      </c>
    </row>
    <row r="52" spans="1:4" x14ac:dyDescent="0.25">
      <c r="A52" s="13" t="s">
        <v>212</v>
      </c>
      <c r="B52" s="17">
        <v>1</v>
      </c>
      <c r="C52" s="17"/>
      <c r="D52" s="17">
        <v>1</v>
      </c>
    </row>
    <row r="53" spans="1:4" x14ac:dyDescent="0.25">
      <c r="A53" s="13" t="s">
        <v>1825</v>
      </c>
      <c r="B53" s="17"/>
      <c r="C53" s="17">
        <v>1</v>
      </c>
      <c r="D53" s="17">
        <v>1</v>
      </c>
    </row>
    <row r="54" spans="1:4" x14ac:dyDescent="0.25">
      <c r="A54" s="12" t="s">
        <v>1925</v>
      </c>
      <c r="B54" s="17"/>
      <c r="C54" s="17">
        <v>4</v>
      </c>
      <c r="D54" s="17">
        <v>4</v>
      </c>
    </row>
    <row r="55" spans="1:4" x14ac:dyDescent="0.25">
      <c r="A55" s="13" t="s">
        <v>260</v>
      </c>
      <c r="B55" s="17"/>
      <c r="C55" s="17">
        <v>1</v>
      </c>
      <c r="D55" s="17">
        <v>1</v>
      </c>
    </row>
    <row r="56" spans="1:4" x14ac:dyDescent="0.25">
      <c r="A56" s="13" t="s">
        <v>261</v>
      </c>
      <c r="B56" s="17"/>
      <c r="C56" s="17">
        <v>1</v>
      </c>
      <c r="D56" s="17">
        <v>1</v>
      </c>
    </row>
    <row r="57" spans="1:4" x14ac:dyDescent="0.25">
      <c r="A57" s="13" t="s">
        <v>262</v>
      </c>
      <c r="B57" s="17"/>
      <c r="C57" s="17">
        <v>1</v>
      </c>
      <c r="D57" s="17">
        <v>1</v>
      </c>
    </row>
    <row r="58" spans="1:4" x14ac:dyDescent="0.25">
      <c r="A58" s="13" t="s">
        <v>263</v>
      </c>
      <c r="B58" s="17"/>
      <c r="C58" s="17">
        <v>1</v>
      </c>
      <c r="D58" s="17">
        <v>1</v>
      </c>
    </row>
    <row r="59" spans="1:4" x14ac:dyDescent="0.25">
      <c r="A59" s="12" t="s">
        <v>1768</v>
      </c>
      <c r="B59" s="17">
        <v>2</v>
      </c>
      <c r="C59" s="17">
        <v>8</v>
      </c>
      <c r="D59" s="17">
        <v>10</v>
      </c>
    </row>
    <row r="60" spans="1:4" x14ac:dyDescent="0.25">
      <c r="A60" s="13" t="s">
        <v>258</v>
      </c>
      <c r="B60" s="17">
        <v>1</v>
      </c>
      <c r="C60" s="17"/>
      <c r="D60" s="17">
        <v>1</v>
      </c>
    </row>
    <row r="61" spans="1:4" x14ac:dyDescent="0.25">
      <c r="A61" s="13" t="s">
        <v>164</v>
      </c>
      <c r="B61" s="17"/>
      <c r="C61" s="17">
        <v>1</v>
      </c>
      <c r="D61" s="17">
        <v>1</v>
      </c>
    </row>
    <row r="62" spans="1:4" x14ac:dyDescent="0.25">
      <c r="A62" s="13" t="s">
        <v>208</v>
      </c>
      <c r="B62" s="17">
        <v>1</v>
      </c>
      <c r="C62" s="17"/>
      <c r="D62" s="17">
        <v>1</v>
      </c>
    </row>
    <row r="63" spans="1:4" x14ac:dyDescent="0.25">
      <c r="A63" s="13" t="s">
        <v>168</v>
      </c>
      <c r="B63" s="17"/>
      <c r="C63" s="17">
        <v>1</v>
      </c>
      <c r="D63" s="17">
        <v>1</v>
      </c>
    </row>
    <row r="64" spans="1:4" x14ac:dyDescent="0.25">
      <c r="A64" s="13" t="s">
        <v>162</v>
      </c>
      <c r="B64" s="17"/>
      <c r="C64" s="17">
        <v>1</v>
      </c>
      <c r="D64" s="17">
        <v>1</v>
      </c>
    </row>
    <row r="65" spans="1:4" x14ac:dyDescent="0.25">
      <c r="A65" s="13" t="s">
        <v>223</v>
      </c>
      <c r="B65" s="17"/>
      <c r="C65" s="17">
        <v>1</v>
      </c>
      <c r="D65" s="17">
        <v>1</v>
      </c>
    </row>
    <row r="66" spans="1:4" x14ac:dyDescent="0.25">
      <c r="A66" s="13" t="s">
        <v>219</v>
      </c>
      <c r="B66" s="17"/>
      <c r="C66" s="17">
        <v>1</v>
      </c>
      <c r="D66" s="17">
        <v>1</v>
      </c>
    </row>
    <row r="67" spans="1:4" x14ac:dyDescent="0.25">
      <c r="A67" s="13" t="s">
        <v>200</v>
      </c>
      <c r="B67" s="17"/>
      <c r="C67" s="17">
        <v>1</v>
      </c>
      <c r="D67" s="17">
        <v>1</v>
      </c>
    </row>
    <row r="68" spans="1:4" x14ac:dyDescent="0.25">
      <c r="A68" s="13" t="s">
        <v>220</v>
      </c>
      <c r="B68" s="17"/>
      <c r="C68" s="17">
        <v>1</v>
      </c>
      <c r="D68" s="17">
        <v>1</v>
      </c>
    </row>
    <row r="69" spans="1:4" x14ac:dyDescent="0.25">
      <c r="A69" s="13" t="s">
        <v>166</v>
      </c>
      <c r="B69" s="17"/>
      <c r="C69" s="17">
        <v>1</v>
      </c>
      <c r="D69" s="17">
        <v>1</v>
      </c>
    </row>
    <row r="70" spans="1:4" x14ac:dyDescent="0.25">
      <c r="A70" s="12" t="s">
        <v>1769</v>
      </c>
      <c r="B70" s="17">
        <v>4</v>
      </c>
      <c r="C70" s="17">
        <v>10</v>
      </c>
      <c r="D70" s="17">
        <v>14</v>
      </c>
    </row>
    <row r="71" spans="1:4" x14ac:dyDescent="0.25">
      <c r="A71" s="13" t="s">
        <v>1902</v>
      </c>
      <c r="B71" s="17">
        <v>1</v>
      </c>
      <c r="C71" s="17"/>
      <c r="D71" s="17">
        <v>1</v>
      </c>
    </row>
    <row r="72" spans="1:4" x14ac:dyDescent="0.25">
      <c r="A72" s="13" t="s">
        <v>209</v>
      </c>
      <c r="B72" s="17">
        <v>1</v>
      </c>
      <c r="C72" s="17"/>
      <c r="D72" s="17">
        <v>1</v>
      </c>
    </row>
    <row r="73" spans="1:4" x14ac:dyDescent="0.25">
      <c r="A73" s="13" t="s">
        <v>1835</v>
      </c>
      <c r="B73" s="17">
        <v>1</v>
      </c>
      <c r="C73" s="17"/>
      <c r="D73" s="17">
        <v>1</v>
      </c>
    </row>
    <row r="74" spans="1:4" x14ac:dyDescent="0.25">
      <c r="A74" s="13" t="s">
        <v>1798</v>
      </c>
      <c r="B74" s="17">
        <v>1</v>
      </c>
      <c r="C74" s="17"/>
      <c r="D74" s="17">
        <v>1</v>
      </c>
    </row>
    <row r="75" spans="1:4" x14ac:dyDescent="0.25">
      <c r="A75" s="13" t="s">
        <v>176</v>
      </c>
      <c r="B75" s="17"/>
      <c r="C75" s="17">
        <v>1</v>
      </c>
      <c r="D75" s="17">
        <v>1</v>
      </c>
    </row>
    <row r="76" spans="1:4" x14ac:dyDescent="0.25">
      <c r="A76" s="13" t="s">
        <v>207</v>
      </c>
      <c r="B76" s="17"/>
      <c r="C76" s="17">
        <v>1</v>
      </c>
      <c r="D76" s="17">
        <v>1</v>
      </c>
    </row>
    <row r="77" spans="1:4" x14ac:dyDescent="0.25">
      <c r="A77" s="13" t="s">
        <v>214</v>
      </c>
      <c r="B77" s="17"/>
      <c r="C77" s="17">
        <v>1</v>
      </c>
      <c r="D77" s="17">
        <v>1</v>
      </c>
    </row>
    <row r="78" spans="1:4" x14ac:dyDescent="0.25">
      <c r="A78" s="13" t="s">
        <v>159</v>
      </c>
      <c r="B78" s="17"/>
      <c r="C78" s="17">
        <v>1</v>
      </c>
      <c r="D78" s="17">
        <v>1</v>
      </c>
    </row>
    <row r="79" spans="1:4" x14ac:dyDescent="0.25">
      <c r="A79" s="13" t="s">
        <v>1888</v>
      </c>
      <c r="B79" s="17"/>
      <c r="C79" s="17">
        <v>1</v>
      </c>
      <c r="D79" s="17">
        <v>1</v>
      </c>
    </row>
    <row r="80" spans="1:4" x14ac:dyDescent="0.25">
      <c r="A80" s="13" t="s">
        <v>181</v>
      </c>
      <c r="B80" s="17"/>
      <c r="C80" s="17">
        <v>1</v>
      </c>
      <c r="D80" s="17">
        <v>1</v>
      </c>
    </row>
    <row r="81" spans="1:4" x14ac:dyDescent="0.25">
      <c r="A81" s="13" t="s">
        <v>226</v>
      </c>
      <c r="B81" s="17"/>
      <c r="C81" s="17">
        <v>1</v>
      </c>
      <c r="D81" s="17">
        <v>1</v>
      </c>
    </row>
    <row r="82" spans="1:4" x14ac:dyDescent="0.25">
      <c r="A82" s="13" t="s">
        <v>173</v>
      </c>
      <c r="B82" s="17"/>
      <c r="C82" s="17">
        <v>1</v>
      </c>
      <c r="D82" s="17">
        <v>1</v>
      </c>
    </row>
    <row r="83" spans="1:4" x14ac:dyDescent="0.25">
      <c r="A83" s="13" t="s">
        <v>206</v>
      </c>
      <c r="B83" s="17"/>
      <c r="C83" s="17">
        <v>1</v>
      </c>
      <c r="D83" s="17">
        <v>1</v>
      </c>
    </row>
    <row r="84" spans="1:4" x14ac:dyDescent="0.25">
      <c r="A84" s="13" t="s">
        <v>205</v>
      </c>
      <c r="B84" s="17"/>
      <c r="C84" s="17">
        <v>1</v>
      </c>
      <c r="D84" s="17">
        <v>1</v>
      </c>
    </row>
    <row r="85" spans="1:4" x14ac:dyDescent="0.25">
      <c r="A85" s="12" t="s">
        <v>1755</v>
      </c>
      <c r="B85" s="17">
        <v>2</v>
      </c>
      <c r="C85" s="17">
        <v>6</v>
      </c>
      <c r="D85" s="17">
        <v>8</v>
      </c>
    </row>
    <row r="86" spans="1:4" x14ac:dyDescent="0.25">
      <c r="A86" s="13" t="s">
        <v>1791</v>
      </c>
      <c r="B86" s="17">
        <v>1</v>
      </c>
      <c r="C86" s="17"/>
      <c r="D86" s="17">
        <v>1</v>
      </c>
    </row>
    <row r="87" spans="1:4" x14ac:dyDescent="0.25">
      <c r="A87" s="13" t="s">
        <v>1758</v>
      </c>
      <c r="B87" s="17"/>
      <c r="C87" s="17">
        <v>1</v>
      </c>
      <c r="D87" s="17">
        <v>1</v>
      </c>
    </row>
    <row r="88" spans="1:4" x14ac:dyDescent="0.25">
      <c r="A88" s="13" t="s">
        <v>1759</v>
      </c>
      <c r="B88" s="17"/>
      <c r="C88" s="17">
        <v>1</v>
      </c>
      <c r="D88" s="17">
        <v>1</v>
      </c>
    </row>
    <row r="89" spans="1:4" x14ac:dyDescent="0.25">
      <c r="A89" s="13" t="s">
        <v>256</v>
      </c>
      <c r="B89" s="17"/>
      <c r="C89" s="17">
        <v>1</v>
      </c>
      <c r="D89" s="17">
        <v>1</v>
      </c>
    </row>
    <row r="90" spans="1:4" x14ac:dyDescent="0.25">
      <c r="A90" s="13" t="s">
        <v>189</v>
      </c>
      <c r="B90" s="17">
        <v>1</v>
      </c>
      <c r="C90" s="17"/>
      <c r="D90" s="17">
        <v>1</v>
      </c>
    </row>
    <row r="91" spans="1:4" x14ac:dyDescent="0.25">
      <c r="A91" s="13" t="s">
        <v>225</v>
      </c>
      <c r="B91" s="17"/>
      <c r="C91" s="17">
        <v>1</v>
      </c>
      <c r="D91" s="17">
        <v>1</v>
      </c>
    </row>
    <row r="92" spans="1:4" x14ac:dyDescent="0.25">
      <c r="A92" s="13" t="s">
        <v>224</v>
      </c>
      <c r="B92" s="17"/>
      <c r="C92" s="17">
        <v>1</v>
      </c>
      <c r="D92" s="17">
        <v>1</v>
      </c>
    </row>
    <row r="93" spans="1:4" x14ac:dyDescent="0.25">
      <c r="A93" s="13" t="s">
        <v>221</v>
      </c>
      <c r="B93" s="17"/>
      <c r="C93" s="17">
        <v>1</v>
      </c>
      <c r="D93" s="17">
        <v>1</v>
      </c>
    </row>
    <row r="94" spans="1:4" x14ac:dyDescent="0.25">
      <c r="A94" s="12" t="s">
        <v>1770</v>
      </c>
      <c r="B94" s="17">
        <v>3</v>
      </c>
      <c r="C94" s="17">
        <v>10</v>
      </c>
      <c r="D94" s="17">
        <v>13</v>
      </c>
    </row>
    <row r="95" spans="1:4" x14ac:dyDescent="0.25">
      <c r="A95" s="13" t="s">
        <v>1901</v>
      </c>
      <c r="B95" s="17">
        <v>1</v>
      </c>
      <c r="C95" s="17"/>
      <c r="D95" s="17">
        <v>1</v>
      </c>
    </row>
    <row r="96" spans="1:4" x14ac:dyDescent="0.25">
      <c r="A96" s="13" t="s">
        <v>270</v>
      </c>
      <c r="B96" s="17">
        <v>1</v>
      </c>
      <c r="C96" s="17"/>
      <c r="D96" s="17">
        <v>1</v>
      </c>
    </row>
    <row r="97" spans="1:4" x14ac:dyDescent="0.25">
      <c r="A97" s="13" t="s">
        <v>1799</v>
      </c>
      <c r="B97" s="17">
        <v>1</v>
      </c>
      <c r="C97" s="17"/>
      <c r="D97" s="17">
        <v>1</v>
      </c>
    </row>
    <row r="98" spans="1:4" x14ac:dyDescent="0.25">
      <c r="A98" s="13" t="s">
        <v>178</v>
      </c>
      <c r="B98" s="17"/>
      <c r="C98" s="17">
        <v>1</v>
      </c>
      <c r="D98" s="17">
        <v>1</v>
      </c>
    </row>
    <row r="99" spans="1:4" x14ac:dyDescent="0.25">
      <c r="A99" s="13" t="s">
        <v>199</v>
      </c>
      <c r="B99" s="17"/>
      <c r="C99" s="17">
        <v>1</v>
      </c>
      <c r="D99" s="17">
        <v>1</v>
      </c>
    </row>
    <row r="100" spans="1:4" x14ac:dyDescent="0.25">
      <c r="A100" s="13" t="s">
        <v>170</v>
      </c>
      <c r="B100" s="17"/>
      <c r="C100" s="17">
        <v>1</v>
      </c>
      <c r="D100" s="17">
        <v>1</v>
      </c>
    </row>
    <row r="101" spans="1:4" x14ac:dyDescent="0.25">
      <c r="A101" s="13" t="s">
        <v>203</v>
      </c>
      <c r="B101" s="17"/>
      <c r="C101" s="17">
        <v>1</v>
      </c>
      <c r="D101" s="17">
        <v>1</v>
      </c>
    </row>
    <row r="102" spans="1:4" x14ac:dyDescent="0.25">
      <c r="A102" s="13" t="s">
        <v>213</v>
      </c>
      <c r="B102" s="17"/>
      <c r="C102" s="17">
        <v>1</v>
      </c>
      <c r="D102" s="17">
        <v>1</v>
      </c>
    </row>
    <row r="103" spans="1:4" x14ac:dyDescent="0.25">
      <c r="A103" s="13" t="s">
        <v>171</v>
      </c>
      <c r="B103" s="17"/>
      <c r="C103" s="17">
        <v>1</v>
      </c>
      <c r="D103" s="17">
        <v>1</v>
      </c>
    </row>
    <row r="104" spans="1:4" x14ac:dyDescent="0.25">
      <c r="A104" s="13" t="s">
        <v>182</v>
      </c>
      <c r="B104" s="17"/>
      <c r="C104" s="17">
        <v>1</v>
      </c>
      <c r="D104" s="17">
        <v>1</v>
      </c>
    </row>
    <row r="105" spans="1:4" x14ac:dyDescent="0.25">
      <c r="A105" s="13" t="s">
        <v>204</v>
      </c>
      <c r="B105" s="17"/>
      <c r="C105" s="17">
        <v>1</v>
      </c>
      <c r="D105" s="17">
        <v>1</v>
      </c>
    </row>
    <row r="106" spans="1:4" x14ac:dyDescent="0.25">
      <c r="A106" s="13" t="s">
        <v>160</v>
      </c>
      <c r="B106" s="17"/>
      <c r="C106" s="17">
        <v>1</v>
      </c>
      <c r="D106" s="17">
        <v>1</v>
      </c>
    </row>
    <row r="107" spans="1:4" x14ac:dyDescent="0.25">
      <c r="A107" s="13" t="s">
        <v>177</v>
      </c>
      <c r="B107" s="17"/>
      <c r="C107" s="17">
        <v>1</v>
      </c>
      <c r="D107" s="17">
        <v>1</v>
      </c>
    </row>
    <row r="108" spans="1:4" x14ac:dyDescent="0.25">
      <c r="A108" s="12" t="s">
        <v>1773</v>
      </c>
      <c r="B108" s="17">
        <v>12</v>
      </c>
      <c r="C108" s="17">
        <v>2</v>
      </c>
      <c r="D108" s="17">
        <v>14</v>
      </c>
    </row>
    <row r="109" spans="1:4" x14ac:dyDescent="0.25">
      <c r="A109" s="13" t="s">
        <v>1884</v>
      </c>
      <c r="B109" s="17">
        <v>1</v>
      </c>
      <c r="C109" s="17"/>
      <c r="D109" s="17">
        <v>1</v>
      </c>
    </row>
    <row r="110" spans="1:4" x14ac:dyDescent="0.25">
      <c r="A110" s="13" t="s">
        <v>215</v>
      </c>
      <c r="B110" s="17">
        <v>1</v>
      </c>
      <c r="C110" s="17"/>
      <c r="D110" s="17">
        <v>1</v>
      </c>
    </row>
    <row r="111" spans="1:4" x14ac:dyDescent="0.25">
      <c r="A111" s="13" t="s">
        <v>259</v>
      </c>
      <c r="B111" s="17">
        <v>1</v>
      </c>
      <c r="C111" s="17"/>
      <c r="D111" s="17">
        <v>1</v>
      </c>
    </row>
    <row r="112" spans="1:4" x14ac:dyDescent="0.25">
      <c r="A112" s="13" t="s">
        <v>1878</v>
      </c>
      <c r="B112" s="17">
        <v>1</v>
      </c>
      <c r="C112" s="17"/>
      <c r="D112" s="17">
        <v>1</v>
      </c>
    </row>
    <row r="113" spans="1:4" x14ac:dyDescent="0.25">
      <c r="A113" s="13" t="s">
        <v>1882</v>
      </c>
      <c r="B113" s="17">
        <v>1</v>
      </c>
      <c r="C113" s="17"/>
      <c r="D113" s="17">
        <v>1</v>
      </c>
    </row>
    <row r="114" spans="1:4" x14ac:dyDescent="0.25">
      <c r="A114" s="13" t="s">
        <v>227</v>
      </c>
      <c r="B114" s="17">
        <v>1</v>
      </c>
      <c r="C114" s="17"/>
      <c r="D114" s="17">
        <v>1</v>
      </c>
    </row>
    <row r="115" spans="1:4" x14ac:dyDescent="0.25">
      <c r="A115" s="13" t="s">
        <v>216</v>
      </c>
      <c r="B115" s="17">
        <v>1</v>
      </c>
      <c r="C115" s="17"/>
      <c r="D115" s="17">
        <v>1</v>
      </c>
    </row>
    <row r="116" spans="1:4" x14ac:dyDescent="0.25">
      <c r="A116" s="13" t="s">
        <v>1794</v>
      </c>
      <c r="B116" s="17">
        <v>1</v>
      </c>
      <c r="C116" s="17"/>
      <c r="D116" s="17">
        <v>1</v>
      </c>
    </row>
    <row r="117" spans="1:4" x14ac:dyDescent="0.25">
      <c r="A117" s="13" t="s">
        <v>1802</v>
      </c>
      <c r="B117" s="17">
        <v>1</v>
      </c>
      <c r="C117" s="17"/>
      <c r="D117" s="17">
        <v>1</v>
      </c>
    </row>
    <row r="118" spans="1:4" x14ac:dyDescent="0.25">
      <c r="A118" s="13" t="s">
        <v>1849</v>
      </c>
      <c r="B118" s="17">
        <v>1</v>
      </c>
      <c r="C118" s="17"/>
      <c r="D118" s="17">
        <v>1</v>
      </c>
    </row>
    <row r="119" spans="1:4" x14ac:dyDescent="0.25">
      <c r="A119" s="13" t="s">
        <v>1863</v>
      </c>
      <c r="B119" s="17">
        <v>1</v>
      </c>
      <c r="C119" s="17"/>
      <c r="D119" s="17">
        <v>1</v>
      </c>
    </row>
    <row r="120" spans="1:4" x14ac:dyDescent="0.25">
      <c r="A120" s="13" t="s">
        <v>1913</v>
      </c>
      <c r="B120" s="17">
        <v>1</v>
      </c>
      <c r="C120" s="17"/>
      <c r="D120" s="17">
        <v>1</v>
      </c>
    </row>
    <row r="121" spans="1:4" x14ac:dyDescent="0.25">
      <c r="A121" s="13" t="s">
        <v>222</v>
      </c>
      <c r="B121" s="17"/>
      <c r="C121" s="17">
        <v>1</v>
      </c>
      <c r="D121" s="17">
        <v>1</v>
      </c>
    </row>
    <row r="122" spans="1:4" x14ac:dyDescent="0.25">
      <c r="A122" s="13" t="s">
        <v>172</v>
      </c>
      <c r="B122" s="17"/>
      <c r="C122" s="17">
        <v>1</v>
      </c>
      <c r="D122" s="17">
        <v>1</v>
      </c>
    </row>
    <row r="123" spans="1:4" x14ac:dyDescent="0.25">
      <c r="A123" s="12" t="s">
        <v>1776</v>
      </c>
      <c r="B123" s="17">
        <v>1</v>
      </c>
      <c r="C123" s="17">
        <v>6</v>
      </c>
      <c r="D123" s="17">
        <v>7</v>
      </c>
    </row>
    <row r="124" spans="1:4" x14ac:dyDescent="0.25">
      <c r="A124" s="13" t="s">
        <v>1837</v>
      </c>
      <c r="B124" s="17">
        <v>1</v>
      </c>
      <c r="C124" s="17"/>
      <c r="D124" s="17">
        <v>1</v>
      </c>
    </row>
    <row r="125" spans="1:4" x14ac:dyDescent="0.25">
      <c r="A125" s="13" t="s">
        <v>257</v>
      </c>
      <c r="B125" s="17"/>
      <c r="C125" s="17">
        <v>1</v>
      </c>
      <c r="D125" s="17">
        <v>1</v>
      </c>
    </row>
    <row r="126" spans="1:4" x14ac:dyDescent="0.25">
      <c r="A126" s="13" t="s">
        <v>1898</v>
      </c>
      <c r="B126" s="17"/>
      <c r="C126" s="17">
        <v>1</v>
      </c>
      <c r="D126" s="17">
        <v>1</v>
      </c>
    </row>
    <row r="127" spans="1:4" x14ac:dyDescent="0.25">
      <c r="A127" s="13" t="s">
        <v>1897</v>
      </c>
      <c r="B127" s="17"/>
      <c r="C127" s="17">
        <v>1</v>
      </c>
      <c r="D127" s="17">
        <v>1</v>
      </c>
    </row>
    <row r="128" spans="1:4" x14ac:dyDescent="0.25">
      <c r="A128" s="13" t="s">
        <v>1751</v>
      </c>
      <c r="B128" s="17"/>
      <c r="C128" s="17">
        <v>1</v>
      </c>
      <c r="D128" s="17">
        <v>1</v>
      </c>
    </row>
    <row r="129" spans="1:4" x14ac:dyDescent="0.25">
      <c r="A129" s="13" t="s">
        <v>1867</v>
      </c>
      <c r="B129" s="17"/>
      <c r="C129" s="17">
        <v>1</v>
      </c>
      <c r="D129" s="17">
        <v>1</v>
      </c>
    </row>
    <row r="130" spans="1:4" x14ac:dyDescent="0.25">
      <c r="A130" s="13" t="s">
        <v>1753</v>
      </c>
      <c r="B130" s="17"/>
      <c r="C130" s="17">
        <v>1</v>
      </c>
      <c r="D130" s="17">
        <v>1</v>
      </c>
    </row>
    <row r="131" spans="1:4" x14ac:dyDescent="0.25">
      <c r="A131" s="12" t="s">
        <v>1767</v>
      </c>
      <c r="B131" s="17">
        <v>31</v>
      </c>
      <c r="C131" s="17">
        <v>83</v>
      </c>
      <c r="D131" s="17">
        <v>114</v>
      </c>
    </row>
  </sheetData>
  <pageMargins left="0.7" right="0.7" top="0.75" bottom="0.75" header="0.3" footer="0.3"/>
  <pageSetup paperSize="9" orientation="portrait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H128"/>
  <sheetViews>
    <sheetView workbookViewId="0">
      <selection activeCell="B26" sqref="B26"/>
    </sheetView>
  </sheetViews>
  <sheetFormatPr defaultRowHeight="15" x14ac:dyDescent="0.25"/>
  <cols>
    <col min="1" max="1" width="15.140625" bestFit="1" customWidth="1"/>
    <col min="2" max="2" width="74.7109375" bestFit="1" customWidth="1"/>
    <col min="3" max="3" width="18.7109375" bestFit="1" customWidth="1"/>
    <col min="4" max="4" width="27.42578125" customWidth="1"/>
    <col min="5" max="5" width="18.7109375" customWidth="1"/>
    <col min="6" max="7" width="22" customWidth="1"/>
    <col min="8" max="8" width="26.5703125" bestFit="1" customWidth="1"/>
  </cols>
  <sheetData>
    <row r="1" spans="1:8" s="61" customFormat="1" ht="15.75" x14ac:dyDescent="0.25">
      <c r="A1" s="58" t="s">
        <v>1936</v>
      </c>
      <c r="B1" s="58" t="s">
        <v>265</v>
      </c>
      <c r="C1" s="58" t="s">
        <v>1761</v>
      </c>
      <c r="D1" s="58" t="s">
        <v>1744</v>
      </c>
      <c r="E1" s="58" t="s">
        <v>1745</v>
      </c>
      <c r="F1" s="59" t="s">
        <v>1926</v>
      </c>
      <c r="G1" s="59" t="s">
        <v>1927</v>
      </c>
      <c r="H1" s="60" t="s">
        <v>1923</v>
      </c>
    </row>
    <row r="2" spans="1:8" ht="14.25" customHeight="1" x14ac:dyDescent="0.25">
      <c r="A2" t="s">
        <v>42</v>
      </c>
      <c r="B2" t="s">
        <v>176</v>
      </c>
      <c r="C2" t="s">
        <v>1820</v>
      </c>
      <c r="D2" t="str">
        <f>VLOOKUP($A2,'[2]Desk mapping'!$G:$L,5,FALSE)</f>
        <v>Allocation Driven Strategies</v>
      </c>
      <c r="E2" t="str">
        <f>VLOOKUP($A2,'[2]Desk mapping'!$G:$L,6,FALSE)</f>
        <v>Growth</v>
      </c>
      <c r="F2" t="s">
        <v>1929</v>
      </c>
      <c r="H2" s="62">
        <f>VLOOKUP(A2,[3]AUM!$A$1:$B$131,2,0)</f>
        <v>286172410</v>
      </c>
    </row>
    <row r="3" spans="1:8" ht="14.25" customHeight="1" x14ac:dyDescent="0.25">
      <c r="A3" t="s">
        <v>51</v>
      </c>
      <c r="B3" t="s">
        <v>178</v>
      </c>
      <c r="C3" t="s">
        <v>1820</v>
      </c>
      <c r="D3" t="str">
        <f>VLOOKUP($A3,'[2]Desk mapping'!$G:$L,5,FALSE)</f>
        <v>Allocation Driven Strategies</v>
      </c>
      <c r="E3" t="str">
        <f>VLOOKUP($A3,'[2]Desk mapping'!$G:$L,6,FALSE)</f>
        <v>Moderate</v>
      </c>
      <c r="F3" t="s">
        <v>1929</v>
      </c>
      <c r="H3" s="62">
        <f>VLOOKUP(A3,[3]AUM!$A$3:$B$131,2,0)</f>
        <v>44621309</v>
      </c>
    </row>
    <row r="4" spans="1:8" ht="14.25" customHeight="1" x14ac:dyDescent="0.25">
      <c r="A4" t="s">
        <v>40</v>
      </c>
      <c r="B4" t="s">
        <v>175</v>
      </c>
      <c r="C4" t="s">
        <v>1820</v>
      </c>
      <c r="D4" t="str">
        <f>VLOOKUP($A4,'[2]Desk mapping'!$G:$L,5,FALSE)</f>
        <v>Allocation Driven Strategies</v>
      </c>
      <c r="E4" t="str">
        <f>VLOOKUP($A4,'[2]Desk mapping'!$G:$L,6,FALSE)</f>
        <v>Conservative</v>
      </c>
      <c r="F4" t="s">
        <v>1929</v>
      </c>
      <c r="H4" s="62">
        <f>VLOOKUP(A4,[3]AUM!$A$3:$B$131,2,0)</f>
        <v>29605967</v>
      </c>
    </row>
    <row r="5" spans="1:8" ht="14.25" customHeight="1" x14ac:dyDescent="0.25">
      <c r="A5" t="s">
        <v>1746</v>
      </c>
      <c r="B5" t="str">
        <f>VLOOKUP($A5,'[2]Desk mapping'!$G:$L,3,FALSE)</f>
        <v>ASSET ALLOCATION MODEL PROTETTO 80</v>
      </c>
      <c r="C5" t="s">
        <v>1820</v>
      </c>
      <c r="D5" t="str">
        <f>VLOOKUP($A5,'[2]Desk mapping'!$G:$L,5,FALSE)</f>
        <v>Outcome Oriented Strategies</v>
      </c>
      <c r="E5" t="str">
        <f>VLOOKUP($A5,'[2]Desk mapping'!$G:$L,6,FALSE)</f>
        <v>Capital Guaranteed</v>
      </c>
      <c r="F5" t="s">
        <v>1887</v>
      </c>
      <c r="G5" t="s">
        <v>1929</v>
      </c>
      <c r="H5" s="62">
        <f>VLOOKUP(A5,[3]AUM!$A$3:$B$131,2,0)</f>
        <v>105977735</v>
      </c>
    </row>
    <row r="6" spans="1:8" ht="14.25" customHeight="1" x14ac:dyDescent="0.25">
      <c r="A6" t="s">
        <v>250</v>
      </c>
      <c r="B6" t="s">
        <v>260</v>
      </c>
      <c r="C6" t="s">
        <v>1820</v>
      </c>
      <c r="D6" t="s">
        <v>1924</v>
      </c>
      <c r="E6" t="s">
        <v>1925</v>
      </c>
      <c r="F6" t="s">
        <v>1928</v>
      </c>
      <c r="G6" t="s">
        <v>1930</v>
      </c>
      <c r="H6" s="62">
        <f>VLOOKUP(A6,[6]Sheet1!$A:$H,3,FALSE)</f>
        <v>0</v>
      </c>
    </row>
    <row r="7" spans="1:8" ht="14.25" customHeight="1" x14ac:dyDescent="0.25">
      <c r="A7" t="s">
        <v>252</v>
      </c>
      <c r="B7" t="s">
        <v>262</v>
      </c>
      <c r="C7" t="s">
        <v>1820</v>
      </c>
      <c r="D7" t="s">
        <v>1924</v>
      </c>
      <c r="E7" t="s">
        <v>1925</v>
      </c>
      <c r="F7" t="s">
        <v>1928</v>
      </c>
      <c r="G7" t="s">
        <v>1930</v>
      </c>
      <c r="H7" s="62">
        <f>VLOOKUP(A7,[6]Sheet1!$A:$H,3,FALSE)</f>
        <v>0</v>
      </c>
    </row>
    <row r="8" spans="1:8" ht="14.25" customHeight="1" x14ac:dyDescent="0.25">
      <c r="A8" t="s">
        <v>251</v>
      </c>
      <c r="B8" t="s">
        <v>261</v>
      </c>
      <c r="C8" t="s">
        <v>1820</v>
      </c>
      <c r="D8" t="s">
        <v>1924</v>
      </c>
      <c r="E8" t="s">
        <v>1925</v>
      </c>
      <c r="F8" t="s">
        <v>1928</v>
      </c>
      <c r="G8" t="s">
        <v>1930</v>
      </c>
      <c r="H8" s="62">
        <f>VLOOKUP(A8,[6]Sheet1!$A:$H,3,FALSE)</f>
        <v>0</v>
      </c>
    </row>
    <row r="9" spans="1:8" ht="14.25" customHeight="1" x14ac:dyDescent="0.25">
      <c r="A9" t="s">
        <v>253</v>
      </c>
      <c r="B9" t="s">
        <v>263</v>
      </c>
      <c r="C9" t="s">
        <v>1820</v>
      </c>
      <c r="D9" t="s">
        <v>1924</v>
      </c>
      <c r="E9" t="s">
        <v>1925</v>
      </c>
      <c r="F9" t="s">
        <v>1928</v>
      </c>
      <c r="G9" t="s">
        <v>1930</v>
      </c>
      <c r="H9" s="62">
        <f>VLOOKUP(A9,[6]Sheet1!$A:$H,3,FALSE)</f>
        <v>0</v>
      </c>
    </row>
    <row r="10" spans="1:8" ht="14.25" customHeight="1" x14ac:dyDescent="0.25">
      <c r="A10" t="s">
        <v>131</v>
      </c>
      <c r="B10" t="s">
        <v>214</v>
      </c>
      <c r="C10" t="s">
        <v>1820</v>
      </c>
      <c r="D10" t="str">
        <f>VLOOKUP($A10,'[2]Desk mapping'!$G:$L,5,FALSE)</f>
        <v>Allocation Driven Strategies</v>
      </c>
      <c r="E10" t="str">
        <f>VLOOKUP($A10,'[2]Desk mapping'!$G:$L,6,FALSE)</f>
        <v>Growth</v>
      </c>
      <c r="F10" t="s">
        <v>1929</v>
      </c>
      <c r="H10" s="62">
        <f>VLOOKUP(A10,[3]AUM!$A$3:$B$131,2,0)</f>
        <v>1259071</v>
      </c>
    </row>
    <row r="11" spans="1:8" ht="14.25" customHeight="1" x14ac:dyDescent="0.25">
      <c r="A11" t="s">
        <v>85</v>
      </c>
      <c r="B11" t="s">
        <v>199</v>
      </c>
      <c r="C11" t="s">
        <v>1820</v>
      </c>
      <c r="D11" t="str">
        <f>VLOOKUP($A11,'[2]Desk mapping'!$G:$L,5,FALSE)</f>
        <v>Allocation Driven Strategies</v>
      </c>
      <c r="E11" t="str">
        <f>VLOOKUP($A11,'[2]Desk mapping'!$G:$L,6,FALSE)</f>
        <v>Moderate</v>
      </c>
      <c r="F11" t="s">
        <v>1929</v>
      </c>
      <c r="H11" s="62">
        <f>VLOOKUP(A11,[3]AUM!$A$3:$B$131,2,0)</f>
        <v>221348</v>
      </c>
    </row>
    <row r="12" spans="1:8" ht="14.25" customHeight="1" x14ac:dyDescent="0.25">
      <c r="A12" t="s">
        <v>64</v>
      </c>
      <c r="B12" t="s">
        <v>184</v>
      </c>
      <c r="C12" t="s">
        <v>1820</v>
      </c>
      <c r="D12" t="str">
        <f>VLOOKUP($A12,'[2]Desk mapping'!$G:$L,5,FALSE)</f>
        <v>Outcome Oriented Strategies</v>
      </c>
      <c r="E12" t="str">
        <f>VLOOKUP($A12,'[2]Desk mapping'!$G:$L,6,FALSE)</f>
        <v>Capital Guaranteed</v>
      </c>
      <c r="F12" t="s">
        <v>1887</v>
      </c>
      <c r="G12" t="s">
        <v>1929</v>
      </c>
      <c r="H12" s="62">
        <f>VLOOKUP(A12,[3]AUM!$A$3:$B$131,2,0)</f>
        <v>116832547</v>
      </c>
    </row>
    <row r="13" spans="1:8" ht="14.25" customHeight="1" x14ac:dyDescent="0.25">
      <c r="A13" t="s">
        <v>1893</v>
      </c>
      <c r="B13" t="s">
        <v>1894</v>
      </c>
      <c r="C13" t="s">
        <v>1820</v>
      </c>
      <c r="D13" t="s">
        <v>1757</v>
      </c>
      <c r="E13" t="s">
        <v>1771</v>
      </c>
      <c r="F13" t="s">
        <v>1887</v>
      </c>
      <c r="G13" t="s">
        <v>1929</v>
      </c>
      <c r="H13" s="62">
        <f>VLOOKUP(A13,[3]AUM!$A$3:$B$131,2,0)</f>
        <v>96897819</v>
      </c>
    </row>
    <row r="14" spans="1:8" ht="14.25" customHeight="1" x14ac:dyDescent="0.25">
      <c r="A14" t="s">
        <v>1803</v>
      </c>
      <c r="B14" t="s">
        <v>1805</v>
      </c>
      <c r="C14" t="s">
        <v>1820</v>
      </c>
      <c r="D14" t="s">
        <v>1757</v>
      </c>
      <c r="E14" t="s">
        <v>1771</v>
      </c>
      <c r="F14" t="s">
        <v>1887</v>
      </c>
      <c r="G14" t="s">
        <v>1929</v>
      </c>
      <c r="H14" s="62">
        <f>VLOOKUP(A14,[3]AUM!$A$3:$B$131,2,0)</f>
        <v>195364106</v>
      </c>
    </row>
    <row r="15" spans="1:8" ht="14.25" customHeight="1" x14ac:dyDescent="0.25">
      <c r="A15" t="s">
        <v>87</v>
      </c>
      <c r="B15" t="s">
        <v>201</v>
      </c>
      <c r="C15" t="s">
        <v>1820</v>
      </c>
      <c r="D15" t="str">
        <f>VLOOKUP($A15,'[2]Desk mapping'!$G:$L,5,FALSE)</f>
        <v>Allocation Driven Strategies</v>
      </c>
      <c r="E15" t="str">
        <f>VLOOKUP($A15,'[2]Desk mapping'!$G:$L,6,FALSE)</f>
        <v>Conservative</v>
      </c>
      <c r="F15" t="s">
        <v>1929</v>
      </c>
      <c r="H15" s="62">
        <f>VLOOKUP(A15,[3]AUM!$A$3:$B$131,2,0)</f>
        <v>2649</v>
      </c>
    </row>
    <row r="16" spans="1:8" ht="14.25" customHeight="1" x14ac:dyDescent="0.25">
      <c r="A16" t="s">
        <v>99</v>
      </c>
      <c r="B16" t="s">
        <v>202</v>
      </c>
      <c r="C16" t="s">
        <v>1820</v>
      </c>
      <c r="D16" t="str">
        <f>VLOOKUP($A16,'[2]Desk mapping'!$G:$L,5,FALSE)</f>
        <v>Allocation Driven Strategies</v>
      </c>
      <c r="E16" t="str">
        <f>VLOOKUP($A16,'[2]Desk mapping'!$G:$L,6,FALSE)</f>
        <v>Conservative</v>
      </c>
      <c r="F16" t="s">
        <v>1929</v>
      </c>
      <c r="H16" s="62">
        <f>VLOOKUP(A16,[3]AUM!$A$3:$B$131,2,0)</f>
        <v>83275</v>
      </c>
    </row>
    <row r="17" spans="1:8" ht="14.25" customHeight="1" x14ac:dyDescent="0.25">
      <c r="A17" t="s">
        <v>78</v>
      </c>
      <c r="B17" t="s">
        <v>193</v>
      </c>
      <c r="C17" t="s">
        <v>1820</v>
      </c>
      <c r="D17" t="str">
        <f>VLOOKUP($A17,'[2]Desk mapping'!$G:$L,5,FALSE)</f>
        <v>Outcome Oriented Strategies</v>
      </c>
      <c r="E17" t="str">
        <f>VLOOKUP($A17,'[2]Desk mapping'!$G:$L,6,FALSE)</f>
        <v>Capital Guaranteed</v>
      </c>
      <c r="F17" t="s">
        <v>1887</v>
      </c>
      <c r="G17" t="s">
        <v>1929</v>
      </c>
      <c r="H17" s="62">
        <f>VLOOKUP(A17,[3]AUM!$A$3:$B$131,2,0)</f>
        <v>279293562</v>
      </c>
    </row>
    <row r="18" spans="1:8" ht="14.25" customHeight="1" x14ac:dyDescent="0.25">
      <c r="A18" t="s">
        <v>1892</v>
      </c>
      <c r="B18" t="s">
        <v>1895</v>
      </c>
      <c r="C18" t="s">
        <v>1820</v>
      </c>
      <c r="D18" t="s">
        <v>1757</v>
      </c>
      <c r="E18" t="s">
        <v>1771</v>
      </c>
      <c r="F18" t="s">
        <v>1887</v>
      </c>
      <c r="G18" t="s">
        <v>1929</v>
      </c>
      <c r="H18" s="62">
        <f>VLOOKUP(A18,[3]AUM!$A$3:$B$131,2,0)</f>
        <v>106822030</v>
      </c>
    </row>
    <row r="19" spans="1:8" ht="14.25" customHeight="1" x14ac:dyDescent="0.25">
      <c r="A19" t="s">
        <v>1804</v>
      </c>
      <c r="B19" t="s">
        <v>1806</v>
      </c>
      <c r="C19" t="s">
        <v>1820</v>
      </c>
      <c r="D19" t="s">
        <v>1757</v>
      </c>
      <c r="E19" t="s">
        <v>1771</v>
      </c>
      <c r="F19" t="s">
        <v>1887</v>
      </c>
      <c r="G19" t="s">
        <v>1929</v>
      </c>
      <c r="H19" s="62">
        <f>VLOOKUP(A19,[3]AUM!$A$3:$B$131,2,0)</f>
        <v>307505809</v>
      </c>
    </row>
    <row r="20" spans="1:8" ht="14.25" customHeight="1" x14ac:dyDescent="0.25">
      <c r="A20" t="s">
        <v>7</v>
      </c>
      <c r="B20" t="s">
        <v>159</v>
      </c>
      <c r="C20" t="s">
        <v>1820</v>
      </c>
      <c r="D20" t="str">
        <f>VLOOKUP($A20,'[2]Desk mapping'!$G:$L,5,FALSE)</f>
        <v>Allocation Driven Strategies</v>
      </c>
      <c r="E20" t="str">
        <f>VLOOKUP($A20,'[2]Desk mapping'!$G:$L,6,FALSE)</f>
        <v>Growth</v>
      </c>
      <c r="F20" t="s">
        <v>1929</v>
      </c>
      <c r="H20" s="62">
        <f>VLOOKUP(A20,[3]AUM!$A$3:$B$131,2,0)</f>
        <v>33771</v>
      </c>
    </row>
    <row r="21" spans="1:8" ht="14.25" customHeight="1" x14ac:dyDescent="0.25">
      <c r="A21" t="s">
        <v>5</v>
      </c>
      <c r="B21" t="s">
        <v>158</v>
      </c>
      <c r="C21" t="s">
        <v>1820</v>
      </c>
      <c r="D21" t="str">
        <f>VLOOKUP($A21,'[2]Desk mapping'!$G:$L,5,FALSE)</f>
        <v>Allocation Driven Strategies</v>
      </c>
      <c r="E21" t="str">
        <f>VLOOKUP($A21,'[2]Desk mapping'!$G:$L,6,FALSE)</f>
        <v>Conservative</v>
      </c>
      <c r="F21" t="s">
        <v>1929</v>
      </c>
      <c r="H21" s="62">
        <f>VLOOKUP(A21,[3]AUM!$A$3:$B$131,2,0)</f>
        <v>23564</v>
      </c>
    </row>
    <row r="22" spans="1:8" ht="14.25" customHeight="1" x14ac:dyDescent="0.25">
      <c r="A22" t="s">
        <v>32</v>
      </c>
      <c r="B22" t="s">
        <v>171</v>
      </c>
      <c r="C22" t="s">
        <v>1820</v>
      </c>
      <c r="D22" t="str">
        <f>VLOOKUP($A22,'[2]Desk mapping'!$G:$L,5,FALSE)</f>
        <v>Allocation Driven Strategies</v>
      </c>
      <c r="E22" t="str">
        <f>VLOOKUP($A22,'[2]Desk mapping'!$G:$L,6,FALSE)</f>
        <v>Moderate</v>
      </c>
      <c r="F22" t="s">
        <v>1929</v>
      </c>
      <c r="H22" s="62">
        <f>VLOOKUP(A22,[3]AUM!$A$3:$B$131,2,0)</f>
        <v>1363503</v>
      </c>
    </row>
    <row r="23" spans="1:8" ht="14.25" customHeight="1" x14ac:dyDescent="0.25">
      <c r="A23" t="s">
        <v>58</v>
      </c>
      <c r="B23" t="s">
        <v>182</v>
      </c>
      <c r="C23" t="s">
        <v>1820</v>
      </c>
      <c r="D23" t="str">
        <f>VLOOKUP($A23,'[2]Desk mapping'!$G:$L,5,FALSE)</f>
        <v>Allocation Driven Strategies</v>
      </c>
      <c r="E23" t="str">
        <f>VLOOKUP($A23,'[2]Desk mapping'!$G:$L,6,FALSE)</f>
        <v>Moderate</v>
      </c>
      <c r="F23" t="s">
        <v>1929</v>
      </c>
      <c r="H23" s="62">
        <f>VLOOKUP(A23,[3]AUM!$A$3:$B$131,2,0)</f>
        <v>26945800</v>
      </c>
    </row>
    <row r="24" spans="1:8" ht="14.25" customHeight="1" x14ac:dyDescent="0.25">
      <c r="A24" t="s">
        <v>105</v>
      </c>
      <c r="B24" t="s">
        <v>204</v>
      </c>
      <c r="C24" t="s">
        <v>1820</v>
      </c>
      <c r="D24" t="str">
        <f>VLOOKUP($A24,'[2]Desk mapping'!$G:$L,5,FALSE)</f>
        <v>Allocation Driven Strategies</v>
      </c>
      <c r="E24" t="str">
        <f>VLOOKUP($A24,'[2]Desk mapping'!$G:$L,6,FALSE)</f>
        <v>Moderate</v>
      </c>
      <c r="F24" t="s">
        <v>1929</v>
      </c>
      <c r="H24" s="62">
        <f>VLOOKUP(A24,[3]AUM!$A$3:$B$131,2,0)</f>
        <v>795570</v>
      </c>
    </row>
    <row r="25" spans="1:8" ht="14.25" customHeight="1" x14ac:dyDescent="0.25">
      <c r="A25" t="s">
        <v>1731</v>
      </c>
      <c r="B25" t="s">
        <v>1758</v>
      </c>
      <c r="C25" t="s">
        <v>1820</v>
      </c>
      <c r="D25" t="s">
        <v>1757</v>
      </c>
      <c r="E25" t="s">
        <v>1755</v>
      </c>
      <c r="F25" t="s">
        <v>1933</v>
      </c>
      <c r="G25" t="s">
        <v>1929</v>
      </c>
      <c r="H25" s="62">
        <v>9783751.7300000004</v>
      </c>
    </row>
    <row r="26" spans="1:8" ht="14.25" customHeight="1" x14ac:dyDescent="0.25">
      <c r="A26" t="s">
        <v>1732</v>
      </c>
      <c r="B26" t="s">
        <v>1759</v>
      </c>
      <c r="C26" t="s">
        <v>1820</v>
      </c>
      <c r="D26" t="s">
        <v>1757</v>
      </c>
      <c r="E26" t="s">
        <v>1755</v>
      </c>
      <c r="F26" t="s">
        <v>1933</v>
      </c>
      <c r="G26" t="s">
        <v>1929</v>
      </c>
      <c r="H26" s="62">
        <v>3901388.43</v>
      </c>
    </row>
    <row r="27" spans="1:8" ht="14.25" customHeight="1" x14ac:dyDescent="0.25">
      <c r="A27" t="s">
        <v>248</v>
      </c>
      <c r="B27" t="s">
        <v>256</v>
      </c>
      <c r="C27" t="s">
        <v>1820</v>
      </c>
      <c r="D27" t="s">
        <v>1757</v>
      </c>
      <c r="E27" t="s">
        <v>1755</v>
      </c>
      <c r="F27" t="s">
        <v>1929</v>
      </c>
      <c r="G27" t="s">
        <v>1933</v>
      </c>
      <c r="H27" s="62">
        <v>6968432.6399999997</v>
      </c>
    </row>
    <row r="28" spans="1:8" ht="14.25" customHeight="1" x14ac:dyDescent="0.25">
      <c r="A28" t="s">
        <v>249</v>
      </c>
      <c r="B28" t="s">
        <v>257</v>
      </c>
      <c r="C28" t="s">
        <v>1820</v>
      </c>
      <c r="D28" t="s">
        <v>1757</v>
      </c>
      <c r="E28" t="s">
        <v>1776</v>
      </c>
      <c r="F28" t="s">
        <v>1933</v>
      </c>
      <c r="G28" t="s">
        <v>1929</v>
      </c>
      <c r="H28" s="62">
        <v>14185291.16</v>
      </c>
    </row>
    <row r="29" spans="1:8" ht="14.25" customHeight="1" x14ac:dyDescent="0.25">
      <c r="A29" t="s">
        <v>120</v>
      </c>
      <c r="B29" t="s">
        <v>1800</v>
      </c>
      <c r="C29" t="s">
        <v>1762</v>
      </c>
      <c r="D29" t="str">
        <f>VLOOKUP($A29,'[2]Total AUM Data'!$A:$I,5,FALSE)</f>
        <v>Allocation Driven Strategies</v>
      </c>
      <c r="E29" t="str">
        <f>VLOOKUP($A29,'[2]Total AUM Data'!$A:$I,6,FALSE)</f>
        <v>Conservative</v>
      </c>
      <c r="F29" t="s">
        <v>1930</v>
      </c>
      <c r="G29" t="s">
        <v>1887</v>
      </c>
      <c r="H29" s="62">
        <f>VLOOKUP(A29,[3]AUM!$A$3:$B$131,2,0)</f>
        <v>7495265.8199999994</v>
      </c>
    </row>
    <row r="30" spans="1:8" ht="14.25" customHeight="1" x14ac:dyDescent="0.25">
      <c r="A30" t="s">
        <v>121</v>
      </c>
      <c r="B30" t="s">
        <v>1798</v>
      </c>
      <c r="C30" t="s">
        <v>1762</v>
      </c>
      <c r="D30" t="str">
        <f>VLOOKUP($A30,'[2]Total AUM Data'!$A:$I,5,FALSE)</f>
        <v>Allocation Driven Strategies</v>
      </c>
      <c r="E30" t="str">
        <f>VLOOKUP($A30,'[2]Total AUM Data'!$A:$I,6,FALSE)</f>
        <v>Growth</v>
      </c>
      <c r="F30" t="s">
        <v>1887</v>
      </c>
      <c r="G30" t="s">
        <v>1930</v>
      </c>
      <c r="H30" s="62">
        <f>VLOOKUP(A30,[3]AUM!$A$3:$B$131,2,0)</f>
        <v>58236487.470000006</v>
      </c>
    </row>
    <row r="31" spans="1:8" ht="14.25" customHeight="1" x14ac:dyDescent="0.25">
      <c r="A31" t="s">
        <v>119</v>
      </c>
      <c r="B31" t="s">
        <v>1799</v>
      </c>
      <c r="C31" t="s">
        <v>1762</v>
      </c>
      <c r="D31" t="str">
        <f>VLOOKUP($A31,'[2]Total AUM Data'!$A:$I,5,FALSE)</f>
        <v>Allocation Driven Strategies</v>
      </c>
      <c r="E31" t="str">
        <f>VLOOKUP($A31,'[2]Total AUM Data'!$A:$I,6,FALSE)</f>
        <v>Moderate</v>
      </c>
      <c r="F31" t="s">
        <v>1930</v>
      </c>
      <c r="G31" t="s">
        <v>1887</v>
      </c>
      <c r="H31" s="62">
        <f>VLOOKUP(A31,[3]AUM!$A$3:$B$131,2,0)</f>
        <v>121448782.71000001</v>
      </c>
    </row>
    <row r="32" spans="1:8" ht="14.25" customHeight="1" x14ac:dyDescent="0.25">
      <c r="A32" t="s">
        <v>124</v>
      </c>
      <c r="B32" t="s">
        <v>270</v>
      </c>
      <c r="C32" t="s">
        <v>1762</v>
      </c>
      <c r="D32" t="str">
        <f>VLOOKUP($A32,'[2]Total AUM Data'!$A:$I,5,FALSE)</f>
        <v>Allocation Driven Strategies</v>
      </c>
      <c r="E32" t="str">
        <f>VLOOKUP($A32,'[2]Total AUM Data'!$A:$I,6,FALSE)</f>
        <v>Moderate</v>
      </c>
      <c r="F32" t="s">
        <v>1887</v>
      </c>
      <c r="G32" t="s">
        <v>1930</v>
      </c>
      <c r="H32" s="62">
        <f>VLOOKUP(A32,[3]AUM!$A$3:$B$131,2,0)</f>
        <v>324009437.85999995</v>
      </c>
    </row>
    <row r="33" spans="1:8" ht="14.25" customHeight="1" x14ac:dyDescent="0.25">
      <c r="A33" t="s">
        <v>116</v>
      </c>
      <c r="B33" t="s">
        <v>271</v>
      </c>
      <c r="C33" t="s">
        <v>1762</v>
      </c>
      <c r="D33" t="str">
        <f>VLOOKUP($A33,'[2]Total AUM Data'!$A:$I,5,FALSE)</f>
        <v>Allocation Driven Strategies</v>
      </c>
      <c r="E33" t="str">
        <f>VLOOKUP($A33,'[2]Total AUM Data'!$A:$I,6,FALSE)</f>
        <v>Conservative</v>
      </c>
      <c r="F33" t="s">
        <v>1930</v>
      </c>
      <c r="G33" t="s">
        <v>1887</v>
      </c>
      <c r="H33" s="62">
        <f>VLOOKUP(A33,[3]AUM!$A$3:$B$131,2,0)</f>
        <v>242806300.35000002</v>
      </c>
    </row>
    <row r="34" spans="1:8" ht="14.25" customHeight="1" x14ac:dyDescent="0.25">
      <c r="A34" t="s">
        <v>115</v>
      </c>
      <c r="B34" t="s">
        <v>209</v>
      </c>
      <c r="C34" t="s">
        <v>1762</v>
      </c>
      <c r="D34" t="str">
        <f>VLOOKUP($A34,'[2]Total AUM Data'!$A:$I,5,FALSE)</f>
        <v>Allocation Driven Strategies</v>
      </c>
      <c r="E34" t="str">
        <f>VLOOKUP($A34,'[2]Total AUM Data'!$A:$I,6,FALSE)</f>
        <v>Growth</v>
      </c>
      <c r="F34" t="s">
        <v>1928</v>
      </c>
      <c r="G34" t="s">
        <v>1932</v>
      </c>
      <c r="H34" s="62">
        <f>VLOOKUP(A34,[3]AUM!$A$3:$B$131,2,0)</f>
        <v>83823203.900000006</v>
      </c>
    </row>
    <row r="35" spans="1:8" ht="14.25" customHeight="1" x14ac:dyDescent="0.25">
      <c r="A35" t="s">
        <v>829</v>
      </c>
      <c r="B35" t="str">
        <f>VLOOKUP(A35,'[1]Dublin funds'!$B:$AY,7,FALSE)</f>
        <v>Amundi Fund Solutions - Diversified Income Best Select 2022</v>
      </c>
      <c r="C35" t="s">
        <v>1762</v>
      </c>
      <c r="D35" t="str">
        <f>VLOOKUP($A35,'[2]Total AUM Data'!$A:$I,5,FALSE)</f>
        <v>Outcome Oriented Strategies</v>
      </c>
      <c r="E35" t="str">
        <f>VLOOKUP($A35,'[2]Total AUM Data'!$A:$I,6,FALSE)</f>
        <v>Income</v>
      </c>
      <c r="F35" t="s">
        <v>1933</v>
      </c>
      <c r="G35" t="s">
        <v>1934</v>
      </c>
      <c r="H35" s="62">
        <f>VLOOKUP(A35,[3]AUM!$A$3:$B$131,2,0)</f>
        <v>136428638.49000001</v>
      </c>
    </row>
    <row r="36" spans="1:8" ht="14.25" customHeight="1" x14ac:dyDescent="0.25">
      <c r="A36" t="s">
        <v>126</v>
      </c>
      <c r="B36" t="s">
        <v>212</v>
      </c>
      <c r="C36" t="s">
        <v>1762</v>
      </c>
      <c r="D36" t="str">
        <f>VLOOKUP($A36,'[2]Total AUM Data'!$A:$I,5,FALSE)</f>
        <v>Service Fund</v>
      </c>
      <c r="E36" t="str">
        <f>VLOOKUP($A36,'[2]Total AUM Data'!$A:$I,6,FALSE)</f>
        <v>Equity</v>
      </c>
      <c r="F36" t="s">
        <v>1929</v>
      </c>
      <c r="H36" s="62">
        <f>VLOOKUP(A36,[3]AUM!$A$3:$B$131,2,0)</f>
        <v>53160977.919999994</v>
      </c>
    </row>
    <row r="37" spans="1:8" ht="14.25" customHeight="1" x14ac:dyDescent="0.25">
      <c r="A37" t="s">
        <v>125</v>
      </c>
      <c r="B37" t="s">
        <v>211</v>
      </c>
      <c r="C37" t="s">
        <v>1762</v>
      </c>
      <c r="D37" t="str">
        <f>VLOOKUP($A37,'[2]Total AUM Data'!$A:$I,5,FALSE)</f>
        <v>Service Fund</v>
      </c>
      <c r="E37" t="str">
        <f>VLOOKUP($A37,'[2]Total AUM Data'!$A:$I,6,FALSE)</f>
        <v>Bond</v>
      </c>
      <c r="F37" t="s">
        <v>1929</v>
      </c>
      <c r="H37" s="62">
        <f>VLOOKUP(A37,[3]AUM!$A$3:$B$131,2,0)</f>
        <v>74247835.579999998</v>
      </c>
    </row>
    <row r="38" spans="1:8" ht="14.25" customHeight="1" x14ac:dyDescent="0.25">
      <c r="A38" t="s">
        <v>113</v>
      </c>
      <c r="B38" t="s">
        <v>208</v>
      </c>
      <c r="C38" t="s">
        <v>1762</v>
      </c>
      <c r="D38" t="str">
        <f>VLOOKUP($A38,'[2]Total AUM Data'!$A:$I,5,FALSE)</f>
        <v>Service Fund</v>
      </c>
      <c r="E38" t="str">
        <f>VLOOKUP($A38,'[2]Total AUM Data'!$A:$I,6,FALSE)</f>
        <v>Flexible</v>
      </c>
      <c r="F38" t="s">
        <v>1930</v>
      </c>
      <c r="G38" t="s">
        <v>1928</v>
      </c>
      <c r="H38" s="62">
        <f>VLOOKUP(A38,[3]AUM!$A$3:$B$131,2,0)</f>
        <v>198759201.82000002</v>
      </c>
    </row>
    <row r="39" spans="1:8" ht="14.25" customHeight="1" x14ac:dyDescent="0.25">
      <c r="A39" t="s">
        <v>72</v>
      </c>
      <c r="B39" t="s">
        <v>189</v>
      </c>
      <c r="C39" t="s">
        <v>1762</v>
      </c>
      <c r="D39" t="str">
        <f>VLOOKUP($A39,'[2]Total AUM Data'!$A:$I,5,FALSE)</f>
        <v>Service Fund</v>
      </c>
      <c r="E39" t="str">
        <f>VLOOKUP($A39,'[2]Total AUM Data'!$A:$I,6,FALSE)</f>
        <v>Income</v>
      </c>
      <c r="F39" t="s">
        <v>1928</v>
      </c>
      <c r="G39" t="s">
        <v>1929</v>
      </c>
      <c r="H39" s="62">
        <f>VLOOKUP(A39,[3]AUM!$A$3:$B$131,2,0)</f>
        <v>59556669.140000001</v>
      </c>
    </row>
    <row r="40" spans="1:8" ht="14.25" customHeight="1" x14ac:dyDescent="0.25">
      <c r="A40" t="s">
        <v>1856</v>
      </c>
      <c r="B40" t="s">
        <v>1857</v>
      </c>
      <c r="C40" t="s">
        <v>1762</v>
      </c>
      <c r="D40" t="s">
        <v>1754</v>
      </c>
      <c r="E40" t="s">
        <v>1775</v>
      </c>
      <c r="F40" t="s">
        <v>1933</v>
      </c>
      <c r="G40" t="s">
        <v>1928</v>
      </c>
      <c r="H40" s="62">
        <f>VLOOKUP(A40,[3]AUM!$A$3:$B$131,2,0)/147</f>
        <v>73301176.945578232</v>
      </c>
    </row>
    <row r="41" spans="1:8" ht="14.25" customHeight="1" x14ac:dyDescent="0.25">
      <c r="A41" t="s">
        <v>73</v>
      </c>
      <c r="B41" t="s">
        <v>190</v>
      </c>
      <c r="C41" t="s">
        <v>1820</v>
      </c>
      <c r="D41" t="str">
        <f>VLOOKUP($A41,'[2]Desk mapping'!$G:$L,5,FALSE)</f>
        <v>Outcome Oriented Strategies</v>
      </c>
      <c r="E41" t="str">
        <f>VLOOKUP($A41,'[2]Desk mapping'!$G:$L,6,FALSE)</f>
        <v>Capital Protection</v>
      </c>
      <c r="F41" t="s">
        <v>1931</v>
      </c>
      <c r="G41" t="s">
        <v>1929</v>
      </c>
      <c r="H41" s="62">
        <f>VLOOKUP(A41,[3]AUM!$A$3:$B$131,2,0)</f>
        <v>279016</v>
      </c>
    </row>
    <row r="42" spans="1:8" ht="14.25" customHeight="1" x14ac:dyDescent="0.25">
      <c r="A42" t="s">
        <v>140</v>
      </c>
      <c r="B42" t="s">
        <v>218</v>
      </c>
      <c r="C42" t="s">
        <v>1820</v>
      </c>
      <c r="D42" t="str">
        <f>VLOOKUP($A42,'[2]Desk mapping'!$G:$L,5,FALSE)</f>
        <v>Outcome Oriented Strategies</v>
      </c>
      <c r="E42" t="str">
        <f>VLOOKUP($A42,'[2]Desk mapping'!$G:$L,6,FALSE)</f>
        <v>Capital Protection</v>
      </c>
      <c r="F42" t="s">
        <v>1931</v>
      </c>
      <c r="G42" t="s">
        <v>1929</v>
      </c>
      <c r="H42" s="62">
        <f>VLOOKUP(A42,[3]AUM!$A$3:$B$131,2,0)</f>
        <v>4871246</v>
      </c>
    </row>
    <row r="43" spans="1:8" ht="14.25" customHeight="1" x14ac:dyDescent="0.25">
      <c r="A43" t="s">
        <v>74</v>
      </c>
      <c r="B43" t="s">
        <v>191</v>
      </c>
      <c r="C43" t="s">
        <v>1820</v>
      </c>
      <c r="D43" t="str">
        <f>VLOOKUP($A43,'[2]Desk mapping'!$G:$L,5,FALSE)</f>
        <v>Outcome Oriented Strategies</v>
      </c>
      <c r="E43" t="str">
        <f>VLOOKUP($A43,'[2]Desk mapping'!$G:$L,6,FALSE)</f>
        <v>Capital Protection</v>
      </c>
      <c r="F43" t="s">
        <v>1931</v>
      </c>
      <c r="G43" t="s">
        <v>1929</v>
      </c>
      <c r="H43" s="62">
        <f>VLOOKUP(A43,[3]AUM!$A$3:$B$131,2,0)</f>
        <v>187778</v>
      </c>
    </row>
    <row r="44" spans="1:8" ht="14.25" customHeight="1" x14ac:dyDescent="0.25">
      <c r="A44" t="s">
        <v>82</v>
      </c>
      <c r="B44" t="s">
        <v>197</v>
      </c>
      <c r="C44" t="s">
        <v>1820</v>
      </c>
      <c r="D44" t="str">
        <f>VLOOKUP($A44,'[2]Desk mapping'!$G:$L,5,FALSE)</f>
        <v>Outcome Oriented Strategies</v>
      </c>
      <c r="E44" t="str">
        <f>VLOOKUP($A44,'[2]Desk mapping'!$G:$L,6,FALSE)</f>
        <v>Capital Protection</v>
      </c>
      <c r="F44" t="s">
        <v>1931</v>
      </c>
      <c r="G44" t="s">
        <v>1929</v>
      </c>
      <c r="H44" s="62">
        <f>VLOOKUP(A44,[3]AUM!$A$3:$B$131,2,0)</f>
        <v>341235</v>
      </c>
    </row>
    <row r="45" spans="1:8" ht="14.25" customHeight="1" x14ac:dyDescent="0.25">
      <c r="A45" t="s">
        <v>67</v>
      </c>
      <c r="B45" t="s">
        <v>186</v>
      </c>
      <c r="C45" t="s">
        <v>1820</v>
      </c>
      <c r="D45" t="str">
        <f>VLOOKUP($A45,'[2]Desk mapping'!$G:$L,5,FALSE)</f>
        <v>Outcome Oriented Strategies</v>
      </c>
      <c r="E45" t="str">
        <f>VLOOKUP($A45,'[2]Desk mapping'!$G:$L,6,FALSE)</f>
        <v>Capital Protection</v>
      </c>
      <c r="F45" t="s">
        <v>1931</v>
      </c>
      <c r="G45" t="s">
        <v>1929</v>
      </c>
      <c r="H45" s="62">
        <f>VLOOKUP(A45,[3]AUM!$A$3:$B$131,2,0)</f>
        <v>154948</v>
      </c>
    </row>
    <row r="46" spans="1:8" ht="14.25" customHeight="1" x14ac:dyDescent="0.25">
      <c r="A46" t="s">
        <v>83</v>
      </c>
      <c r="B46" t="s">
        <v>198</v>
      </c>
      <c r="C46" t="s">
        <v>1820</v>
      </c>
      <c r="D46" t="str">
        <f>VLOOKUP($A46,'[2]Desk mapping'!$G:$L,5,FALSE)</f>
        <v>Outcome Oriented Strategies</v>
      </c>
      <c r="E46" t="str">
        <f>VLOOKUP($A46,'[2]Desk mapping'!$G:$L,6,FALSE)</f>
        <v>Capital Protection</v>
      </c>
      <c r="F46" t="s">
        <v>1931</v>
      </c>
      <c r="G46" t="s">
        <v>1929</v>
      </c>
      <c r="H46" s="62">
        <f>VLOOKUP(A46,[3]AUM!$A$3:$B$131,2,0)</f>
        <v>87215</v>
      </c>
    </row>
    <row r="47" spans="1:8" ht="14.25" customHeight="1" x14ac:dyDescent="0.25">
      <c r="A47" t="s">
        <v>68</v>
      </c>
      <c r="B47" t="s">
        <v>187</v>
      </c>
      <c r="C47" t="s">
        <v>1820</v>
      </c>
      <c r="D47" t="str">
        <f>VLOOKUP($A47,'[2]Desk mapping'!$G:$L,5,FALSE)</f>
        <v>Outcome Oriented Strategies</v>
      </c>
      <c r="E47" t="str">
        <f>VLOOKUP($A47,'[2]Desk mapping'!$G:$L,6,FALSE)</f>
        <v>Capital Protection</v>
      </c>
      <c r="F47" t="s">
        <v>1931</v>
      </c>
      <c r="G47" t="s">
        <v>1929</v>
      </c>
      <c r="H47" s="62">
        <f>VLOOKUP(A47,[3]AUM!$A$3:$B$131,2,0)</f>
        <v>134904</v>
      </c>
    </row>
    <row r="48" spans="1:8" ht="14.25" customHeight="1" x14ac:dyDescent="0.25">
      <c r="A48" t="s">
        <v>138</v>
      </c>
      <c r="B48" t="s">
        <v>217</v>
      </c>
      <c r="C48" t="s">
        <v>1820</v>
      </c>
      <c r="D48" t="str">
        <f>VLOOKUP($A48,'[2]Desk mapping'!$G:$L,5,FALSE)</f>
        <v>Outcome Oriented Strategies</v>
      </c>
      <c r="E48" t="str">
        <f>VLOOKUP($A48,'[2]Desk mapping'!$G:$L,6,FALSE)</f>
        <v>Capital Protection</v>
      </c>
      <c r="F48" t="s">
        <v>1931</v>
      </c>
      <c r="G48" t="s">
        <v>1929</v>
      </c>
      <c r="H48" s="62">
        <f>VLOOKUP(A48,[3]AUM!$A$3:$B$131,2,0)</f>
        <v>634676</v>
      </c>
    </row>
    <row r="49" spans="1:8" ht="14.25" customHeight="1" x14ac:dyDescent="0.25">
      <c r="A49" t="s">
        <v>80</v>
      </c>
      <c r="B49" t="s">
        <v>195</v>
      </c>
      <c r="C49" t="s">
        <v>1820</v>
      </c>
      <c r="D49" t="str">
        <f>VLOOKUP($A49,'[2]Desk mapping'!$G:$L,5,FALSE)</f>
        <v>Outcome Oriented Strategies</v>
      </c>
      <c r="E49" t="str">
        <f>VLOOKUP($A49,'[2]Desk mapping'!$G:$L,6,FALSE)</f>
        <v>Capital Protection</v>
      </c>
      <c r="F49" t="s">
        <v>1931</v>
      </c>
      <c r="G49" t="s">
        <v>1929</v>
      </c>
      <c r="H49" s="62">
        <f>VLOOKUP(A49,[3]AUM!$A$3:$B$131,2,0)</f>
        <v>142698</v>
      </c>
    </row>
    <row r="50" spans="1:8" ht="14.25" customHeight="1" x14ac:dyDescent="0.25">
      <c r="A50" t="s">
        <v>79</v>
      </c>
      <c r="B50" t="s">
        <v>194</v>
      </c>
      <c r="C50" t="s">
        <v>1820</v>
      </c>
      <c r="D50" t="str">
        <f>VLOOKUP($A50,'[2]Desk mapping'!$G:$L,5,FALSE)</f>
        <v>Outcome Oriented Strategies</v>
      </c>
      <c r="E50" t="str">
        <f>VLOOKUP($A50,'[2]Desk mapping'!$G:$L,6,FALSE)</f>
        <v>Capital Protection</v>
      </c>
      <c r="F50" t="s">
        <v>1931</v>
      </c>
      <c r="G50" t="s">
        <v>1929</v>
      </c>
      <c r="H50" s="62">
        <f>VLOOKUP(A50,[3]AUM!$A$3:$B$131,2,0)</f>
        <v>16557</v>
      </c>
    </row>
    <row r="51" spans="1:8" ht="14.25" customHeight="1" x14ac:dyDescent="0.25">
      <c r="A51" t="s">
        <v>81</v>
      </c>
      <c r="B51" t="s">
        <v>196</v>
      </c>
      <c r="C51" t="s">
        <v>1820</v>
      </c>
      <c r="D51" t="str">
        <f>VLOOKUP($A51,'[2]Desk mapping'!$G:$L,5,FALSE)</f>
        <v>Outcome Oriented Strategies</v>
      </c>
      <c r="E51" t="str">
        <f>VLOOKUP($A51,'[2]Desk mapping'!$G:$L,6,FALSE)</f>
        <v>Capital Protection</v>
      </c>
      <c r="F51" t="s">
        <v>1931</v>
      </c>
      <c r="G51" t="s">
        <v>1929</v>
      </c>
      <c r="H51" s="62">
        <f>VLOOKUP(A51,[3]AUM!$A$3:$B$131,2,0)</f>
        <v>28074</v>
      </c>
    </row>
    <row r="52" spans="1:8" ht="14.25" customHeight="1" x14ac:dyDescent="0.25">
      <c r="A52" t="s">
        <v>14</v>
      </c>
      <c r="B52" t="s">
        <v>162</v>
      </c>
      <c r="C52" t="s">
        <v>1820</v>
      </c>
      <c r="D52" t="str">
        <f>VLOOKUP($A52,'[2]Desk mapping'!$G:$L,5,FALSE)</f>
        <v>Allocation Driven Strategies</v>
      </c>
      <c r="E52" t="str">
        <f>VLOOKUP($A52,'[2]Desk mapping'!$G:$L,6,FALSE)</f>
        <v>Flexible</v>
      </c>
      <c r="F52" t="s">
        <v>1929</v>
      </c>
      <c r="H52" s="62">
        <f>VLOOKUP(A52,[3]AUM!$A$3:$B$131,2,0)</f>
        <v>12280450</v>
      </c>
    </row>
    <row r="53" spans="1:8" ht="14.25" customHeight="1" x14ac:dyDescent="0.25">
      <c r="A53" t="s">
        <v>106</v>
      </c>
      <c r="B53" t="s">
        <v>205</v>
      </c>
      <c r="C53" t="s">
        <v>1820</v>
      </c>
      <c r="D53" t="str">
        <f>VLOOKUP($A53,'[2]Desk mapping'!$G:$L,5,FALSE)</f>
        <v>Allocation Driven Strategies</v>
      </c>
      <c r="E53" t="str">
        <f>VLOOKUP($A53,'[2]Desk mapping'!$G:$L,6,FALSE)</f>
        <v>Growth</v>
      </c>
      <c r="F53" t="s">
        <v>1929</v>
      </c>
      <c r="H53" s="62">
        <f>VLOOKUP(A53,[3]AUM!$A$3:$B$131,2,0)</f>
        <v>395535</v>
      </c>
    </row>
    <row r="54" spans="1:8" ht="14.25" customHeight="1" x14ac:dyDescent="0.25">
      <c r="A54" t="s">
        <v>26</v>
      </c>
      <c r="B54" t="s">
        <v>169</v>
      </c>
      <c r="C54" t="s">
        <v>1820</v>
      </c>
      <c r="D54" t="str">
        <f>VLOOKUP($A54,'[2]Desk mapping'!$G:$L,5,FALSE)</f>
        <v>Allocation Driven Strategies</v>
      </c>
      <c r="E54" t="str">
        <f>VLOOKUP($A54,'[2]Desk mapping'!$G:$L,6,FALSE)</f>
        <v>Conservative</v>
      </c>
      <c r="F54" t="s">
        <v>1929</v>
      </c>
      <c r="H54" s="62">
        <f>VLOOKUP(A54,[3]AUM!$A$3:$B$131,2,0)</f>
        <v>7616069</v>
      </c>
    </row>
    <row r="55" spans="1:8" ht="14.25" customHeight="1" x14ac:dyDescent="0.25">
      <c r="A55" t="s">
        <v>22</v>
      </c>
      <c r="B55" t="s">
        <v>167</v>
      </c>
      <c r="C55" t="s">
        <v>1820</v>
      </c>
      <c r="D55" t="str">
        <f>VLOOKUP($A55,'[2]Desk mapping'!$G:$L,5,FALSE)</f>
        <v>Allocation Driven Strategies</v>
      </c>
      <c r="E55" t="str">
        <f>VLOOKUP($A55,'[2]Desk mapping'!$G:$L,6,FALSE)</f>
        <v>Conservative</v>
      </c>
      <c r="F55" t="s">
        <v>1929</v>
      </c>
      <c r="H55" s="62">
        <f>VLOOKUP(A55,[3]AUM!$A$3:$B$131,2,0)</f>
        <v>1067361</v>
      </c>
    </row>
    <row r="56" spans="1:8" ht="14.25" customHeight="1" x14ac:dyDescent="0.25">
      <c r="A56" t="s">
        <v>39</v>
      </c>
      <c r="B56" t="s">
        <v>174</v>
      </c>
      <c r="C56" t="s">
        <v>1820</v>
      </c>
      <c r="D56" t="str">
        <f>VLOOKUP($A56,'[2]Desk mapping'!$G:$L,5,FALSE)</f>
        <v>Allocation Driven Strategies</v>
      </c>
      <c r="E56" t="str">
        <f>VLOOKUP($A56,'[2]Desk mapping'!$G:$L,6,FALSE)</f>
        <v>Conservative</v>
      </c>
      <c r="F56" t="s">
        <v>1929</v>
      </c>
      <c r="H56" s="62">
        <f>VLOOKUP(A56,[3]AUM!$A$3:$B$131,2,0)</f>
        <v>72484395</v>
      </c>
    </row>
    <row r="57" spans="1:8" ht="14.25" customHeight="1" x14ac:dyDescent="0.25">
      <c r="A57" t="s">
        <v>49</v>
      </c>
      <c r="B57" t="s">
        <v>177</v>
      </c>
      <c r="C57" t="s">
        <v>1820</v>
      </c>
      <c r="D57" t="str">
        <f>VLOOKUP($A57,'[2]Desk mapping'!$G:$L,5,FALSE)</f>
        <v>Allocation Driven Strategies</v>
      </c>
      <c r="E57" t="str">
        <f>VLOOKUP($A57,'[2]Desk mapping'!$G:$L,6,FALSE)</f>
        <v>Moderate</v>
      </c>
      <c r="F57" t="s">
        <v>1929</v>
      </c>
      <c r="H57" s="62">
        <f>VLOOKUP(A57,[3]AUM!$A$3:$B$131,2,0)</f>
        <v>64408792</v>
      </c>
    </row>
    <row r="58" spans="1:8" ht="14.25" customHeight="1" x14ac:dyDescent="0.25">
      <c r="A58" t="s">
        <v>38</v>
      </c>
      <c r="B58" t="s">
        <v>173</v>
      </c>
      <c r="C58" t="s">
        <v>1820</v>
      </c>
      <c r="D58" t="str">
        <f>VLOOKUP($A58,'[2]Desk mapping'!$G:$L,5,FALSE)</f>
        <v>Allocation Driven Strategies</v>
      </c>
      <c r="E58" t="str">
        <f>VLOOKUP($A58,'[2]Desk mapping'!$G:$L,6,FALSE)</f>
        <v>Growth</v>
      </c>
      <c r="F58" t="s">
        <v>1929</v>
      </c>
      <c r="H58" s="62">
        <f>VLOOKUP(A58,[3]AUM!$A$3:$B$131,2,0)</f>
        <v>128787502</v>
      </c>
    </row>
    <row r="59" spans="1:8" ht="14.25" customHeight="1" x14ac:dyDescent="0.25">
      <c r="A59" t="s">
        <v>153</v>
      </c>
      <c r="B59" t="s">
        <v>228</v>
      </c>
      <c r="C59" t="s">
        <v>1820</v>
      </c>
      <c r="D59" t="str">
        <f>VLOOKUP($A59,'[2]Desk mapping'!$G:$L,5,FALSE)</f>
        <v>Allocation Driven Strategies</v>
      </c>
      <c r="E59" t="str">
        <f>VLOOKUP($A59,'[2]Desk mapping'!$G:$L,6,FALSE)</f>
        <v>Conservative</v>
      </c>
      <c r="F59" t="s">
        <v>1929</v>
      </c>
      <c r="H59" s="62">
        <f>VLOOKUP(A59,[3]AUM!$A$3:$B$131,2,0)</f>
        <v>86278219</v>
      </c>
    </row>
    <row r="60" spans="1:8" ht="14.25" customHeight="1" x14ac:dyDescent="0.25">
      <c r="A60" t="s">
        <v>149</v>
      </c>
      <c r="B60" t="s">
        <v>225</v>
      </c>
      <c r="C60" t="s">
        <v>1820</v>
      </c>
      <c r="D60" t="str">
        <f>VLOOKUP($A60,'[2]Desk mapping'!$G:$L,5,FALSE)</f>
        <v>Outcome Oriented Strategies</v>
      </c>
      <c r="E60" t="str">
        <f>VLOOKUP($A60,'[2]Desk mapping'!$G:$L,6,FALSE)</f>
        <v>Income</v>
      </c>
      <c r="F60" t="s">
        <v>1928</v>
      </c>
      <c r="G60" t="s">
        <v>1929</v>
      </c>
      <c r="H60" s="62">
        <f>VLOOKUP(A60,[3]AUM!$A$3:$B$131,2,0)</f>
        <v>215406941</v>
      </c>
    </row>
    <row r="61" spans="1:8" ht="14.25" customHeight="1" x14ac:dyDescent="0.25">
      <c r="A61" t="s">
        <v>16</v>
      </c>
      <c r="B61" t="s">
        <v>164</v>
      </c>
      <c r="C61" t="s">
        <v>1820</v>
      </c>
      <c r="D61" t="str">
        <f>VLOOKUP($A61,'[2]Desk mapping'!$G:$L,5,FALSE)</f>
        <v>Allocation Driven Strategies</v>
      </c>
      <c r="E61" t="str">
        <f>VLOOKUP($A61,'[2]Desk mapping'!$G:$L,6,FALSE)</f>
        <v>Flexible</v>
      </c>
      <c r="F61" t="s">
        <v>1929</v>
      </c>
      <c r="H61" s="62">
        <f>VLOOKUP(A61,[3]AUM!$A$3:$B$131,2,0)</f>
        <v>24819922</v>
      </c>
    </row>
    <row r="62" spans="1:8" ht="14.25" customHeight="1" x14ac:dyDescent="0.25">
      <c r="A62" t="s">
        <v>148</v>
      </c>
      <c r="B62" t="s">
        <v>224</v>
      </c>
      <c r="C62" t="s">
        <v>1820</v>
      </c>
      <c r="D62" t="str">
        <f>VLOOKUP($A62,'[2]Desk mapping'!$G:$L,5,FALSE)</f>
        <v>Outcome Oriented Strategies</v>
      </c>
      <c r="E62" t="str">
        <f>VLOOKUP($A62,'[2]Desk mapping'!$G:$L,6,FALSE)</f>
        <v>Income</v>
      </c>
      <c r="F62" t="s">
        <v>1928</v>
      </c>
      <c r="G62" t="s">
        <v>1929</v>
      </c>
      <c r="H62" s="62">
        <f>VLOOKUP(A62,[3]AUM!$A$3:$B$131,2,0)</f>
        <v>154991340</v>
      </c>
    </row>
    <row r="63" spans="1:8" ht="14.25" customHeight="1" x14ac:dyDescent="0.25">
      <c r="A63" t="s">
        <v>144</v>
      </c>
      <c r="B63" t="s">
        <v>222</v>
      </c>
      <c r="C63" t="s">
        <v>1820</v>
      </c>
      <c r="D63" t="str">
        <f>VLOOKUP($A63,'[2]Desk mapping'!$G:$L,5,FALSE)</f>
        <v>Outcome Oriented Strategies</v>
      </c>
      <c r="E63" t="str">
        <f>VLOOKUP($A63,'[2]Desk mapping'!$G:$L,6,FALSE)</f>
        <v>Risk Accumulation</v>
      </c>
      <c r="F63" t="s">
        <v>1929</v>
      </c>
      <c r="H63" s="62">
        <f>VLOOKUP(A63,[3]AUM!$A$3:$B$131,2,0)</f>
        <v>8203700</v>
      </c>
    </row>
    <row r="64" spans="1:8" ht="14.25" customHeight="1" x14ac:dyDescent="0.25">
      <c r="A64" t="s">
        <v>1733</v>
      </c>
      <c r="B64" t="s">
        <v>1751</v>
      </c>
      <c r="C64" t="s">
        <v>1820</v>
      </c>
      <c r="D64" t="str">
        <f>VLOOKUP($A64,'[2]Desk mapping'!$G:$L,5,FALSE)</f>
        <v>Outcome Oriented Strategies</v>
      </c>
      <c r="E64" t="str">
        <f>VLOOKUP($A64,'[2]Desk mapping'!$G:$L,6,FALSE)</f>
        <v>Thematic</v>
      </c>
      <c r="F64" t="s">
        <v>1933</v>
      </c>
      <c r="H64" s="62">
        <f>VLOOKUP(A64,[3]AUM!$A$3:$B$131,2,0)</f>
        <v>1795670827</v>
      </c>
    </row>
    <row r="65" spans="1:8" ht="14.25" customHeight="1" x14ac:dyDescent="0.25">
      <c r="A65" t="s">
        <v>9</v>
      </c>
      <c r="B65" t="s">
        <v>160</v>
      </c>
      <c r="C65" t="s">
        <v>1820</v>
      </c>
      <c r="D65" t="str">
        <f>VLOOKUP($A65,'[2]Desk mapping'!$G:$L,5,FALSE)</f>
        <v>Allocation Driven Strategies</v>
      </c>
      <c r="E65" t="str">
        <f>VLOOKUP($A65,'[2]Desk mapping'!$G:$L,6,FALSE)</f>
        <v>Moderate</v>
      </c>
      <c r="F65" t="s">
        <v>1929</v>
      </c>
      <c r="H65" s="62">
        <f>VLOOKUP(A65,[3]AUM!$A$3:$B$131,2,0)</f>
        <v>255343</v>
      </c>
    </row>
    <row r="66" spans="1:8" ht="14.25" customHeight="1" x14ac:dyDescent="0.25">
      <c r="A66" t="s">
        <v>1752</v>
      </c>
      <c r="B66" t="s">
        <v>1753</v>
      </c>
      <c r="C66" t="s">
        <v>1820</v>
      </c>
      <c r="D66" t="str">
        <f>VLOOKUP($A66,'[2]Desk mapping'!$G:$L,5,FALSE)</f>
        <v>Outcome Oriented Strategies</v>
      </c>
      <c r="E66" t="str">
        <f>VLOOKUP($A66,'[2]Desk mapping'!$G:$L,6,FALSE)</f>
        <v>Thematic</v>
      </c>
      <c r="F66" t="s">
        <v>1933</v>
      </c>
      <c r="G66" t="s">
        <v>1935</v>
      </c>
      <c r="H66" s="62">
        <f>VLOOKUP(A66,[3]AUM!$A$3:$B$131,2,0)</f>
        <v>973396645</v>
      </c>
    </row>
    <row r="67" spans="1:8" ht="14.25" customHeight="1" x14ac:dyDescent="0.25">
      <c r="A67" t="s">
        <v>143</v>
      </c>
      <c r="B67" t="s">
        <v>221</v>
      </c>
      <c r="C67" t="s">
        <v>1820</v>
      </c>
      <c r="D67" t="str">
        <f>VLOOKUP($A67,'[2]Desk mapping'!$G:$L,5,FALSE)</f>
        <v>Outcome Oriented Strategies</v>
      </c>
      <c r="E67" t="str">
        <f>VLOOKUP($A67,'[2]Desk mapping'!$G:$L,6,FALSE)</f>
        <v>Income</v>
      </c>
      <c r="F67" t="s">
        <v>1928</v>
      </c>
      <c r="G67" t="s">
        <v>1929</v>
      </c>
      <c r="H67" s="62">
        <f>VLOOKUP(A67,[3]AUM!$A$3:$B$131,2,0)</f>
        <v>239238036</v>
      </c>
    </row>
    <row r="68" spans="1:8" ht="14.25" customHeight="1" x14ac:dyDescent="0.25">
      <c r="A68" t="s">
        <v>1903</v>
      </c>
      <c r="B68" t="s">
        <v>1900</v>
      </c>
      <c r="C68" t="s">
        <v>1762</v>
      </c>
      <c r="D68" t="s">
        <v>1754</v>
      </c>
      <c r="E68" t="s">
        <v>1756</v>
      </c>
      <c r="F68" t="s">
        <v>1932</v>
      </c>
      <c r="G68" t="s">
        <v>1928</v>
      </c>
      <c r="H68" s="62" t="e">
        <f>VLOOKUP(A68,[3]AUM!$A$3:$B$131,2,0)</f>
        <v>#N/A</v>
      </c>
    </row>
    <row r="69" spans="1:8" ht="14.25" customHeight="1" x14ac:dyDescent="0.25">
      <c r="A69" t="s">
        <v>1904</v>
      </c>
      <c r="B69" t="s">
        <v>1901</v>
      </c>
      <c r="C69" t="s">
        <v>1762</v>
      </c>
      <c r="D69" t="s">
        <v>1754</v>
      </c>
      <c r="E69" t="s">
        <v>1770</v>
      </c>
      <c r="F69" t="s">
        <v>1932</v>
      </c>
      <c r="G69" t="s">
        <v>1928</v>
      </c>
      <c r="H69" s="62" t="e">
        <f>VLOOKUP(A69,[3]AUM!$A$3:$B$131,2,0)</f>
        <v>#N/A</v>
      </c>
    </row>
    <row r="70" spans="1:8" ht="14.25" customHeight="1" x14ac:dyDescent="0.25">
      <c r="A70" t="s">
        <v>1905</v>
      </c>
      <c r="B70" t="s">
        <v>1902</v>
      </c>
      <c r="C70" t="s">
        <v>1762</v>
      </c>
      <c r="D70" t="s">
        <v>1754</v>
      </c>
      <c r="E70" t="s">
        <v>1769</v>
      </c>
      <c r="F70" t="s">
        <v>1932</v>
      </c>
      <c r="G70" t="s">
        <v>1928</v>
      </c>
      <c r="H70" s="62" t="e">
        <f>VLOOKUP(A70,[3]AUM!$A$3:$B$131,2,0)</f>
        <v>#N/A</v>
      </c>
    </row>
    <row r="71" spans="1:8" ht="14.25" customHeight="1" x14ac:dyDescent="0.25">
      <c r="A71" t="s">
        <v>1912</v>
      </c>
      <c r="B71" t="s">
        <v>1913</v>
      </c>
      <c r="C71" t="s">
        <v>1762</v>
      </c>
      <c r="D71" t="s">
        <v>1757</v>
      </c>
      <c r="E71" t="s">
        <v>1773</v>
      </c>
      <c r="F71" t="s">
        <v>1928</v>
      </c>
      <c r="G71" t="s">
        <v>1929</v>
      </c>
      <c r="H71" s="62">
        <f>VLOOKUP(A71,[3]AUM!$A$3:$B$131,2,0)</f>
        <v>93538758.120000005</v>
      </c>
    </row>
    <row r="72" spans="1:8" ht="14.25" customHeight="1" x14ac:dyDescent="0.25">
      <c r="A72" t="s">
        <v>1883</v>
      </c>
      <c r="B72" t="s">
        <v>1884</v>
      </c>
      <c r="C72" t="s">
        <v>1762</v>
      </c>
      <c r="D72" t="s">
        <v>1757</v>
      </c>
      <c r="E72" t="s">
        <v>1773</v>
      </c>
      <c r="F72" t="s">
        <v>1928</v>
      </c>
      <c r="G72" t="s">
        <v>1929</v>
      </c>
      <c r="H72" s="62" t="e">
        <f>VLOOKUP(A72,[3]AUM!$A$3:$B$131,2,0)</f>
        <v>#N/A</v>
      </c>
    </row>
    <row r="73" spans="1:8" ht="14.25" customHeight="1" x14ac:dyDescent="0.25">
      <c r="A73" t="s">
        <v>151</v>
      </c>
      <c r="B73" t="s">
        <v>227</v>
      </c>
      <c r="C73" t="s">
        <v>1762</v>
      </c>
      <c r="D73" t="str">
        <f>VLOOKUP($A73,'[2]Total AUM Data'!$A:$I,5,FALSE)</f>
        <v>Outcome Oriented Strategies</v>
      </c>
      <c r="E73" t="str">
        <f>VLOOKUP($A73,'[2]Total AUM Data'!$A:$I,6,FALSE)</f>
        <v>Risk Accumulation</v>
      </c>
      <c r="F73" t="s">
        <v>1933</v>
      </c>
      <c r="G73" t="s">
        <v>1932</v>
      </c>
      <c r="H73" s="62" t="e">
        <f>VLOOKUP(A73,[3]AUM!$A$3:$B$131,2,0)</f>
        <v>#N/A</v>
      </c>
    </row>
    <row r="74" spans="1:8" ht="14.25" customHeight="1" x14ac:dyDescent="0.25">
      <c r="A74" t="s">
        <v>136</v>
      </c>
      <c r="B74" t="s">
        <v>216</v>
      </c>
      <c r="C74" t="s">
        <v>1762</v>
      </c>
      <c r="D74" t="str">
        <f>VLOOKUP($A74,'[2]Total AUM Data'!$A:$I,5,FALSE)</f>
        <v>Outcome Oriented Strategies</v>
      </c>
      <c r="E74" t="str">
        <f>VLOOKUP($A74,'[2]Total AUM Data'!$A:$I,6,FALSE)</f>
        <v>Risk Accumulation</v>
      </c>
      <c r="F74" t="s">
        <v>1933</v>
      </c>
      <c r="G74" t="s">
        <v>1932</v>
      </c>
      <c r="H74" s="62" t="e">
        <f>VLOOKUP(A74,[3]AUM!$A$3:$B$131,2,0)</f>
        <v>#N/A</v>
      </c>
    </row>
    <row r="75" spans="1:8" ht="14.25" customHeight="1" x14ac:dyDescent="0.25">
      <c r="A75" t="s">
        <v>135</v>
      </c>
      <c r="B75" t="s">
        <v>215</v>
      </c>
      <c r="C75" t="s">
        <v>1762</v>
      </c>
      <c r="D75" t="str">
        <f>VLOOKUP($A75,'[2]Total AUM Data'!$A:$I,5,FALSE)</f>
        <v>Outcome Oriented Strategies</v>
      </c>
      <c r="E75" t="str">
        <f>VLOOKUP($A75,'[2]Total AUM Data'!$A:$I,6,FALSE)</f>
        <v>Risk Accumulation</v>
      </c>
      <c r="F75" t="s">
        <v>1933</v>
      </c>
      <c r="G75" t="s">
        <v>1932</v>
      </c>
      <c r="H75" s="62" t="e">
        <f>VLOOKUP(A75,[3]AUM!$A$3:$B$131,2,0)</f>
        <v>#N/A</v>
      </c>
    </row>
    <row r="76" spans="1:8" ht="14.25" customHeight="1" x14ac:dyDescent="0.25">
      <c r="A76" t="s">
        <v>243</v>
      </c>
      <c r="B76" t="s">
        <v>259</v>
      </c>
      <c r="C76" t="s">
        <v>1762</v>
      </c>
      <c r="D76" t="str">
        <f>VLOOKUP($A76,'[2]Total AUM Data'!$A:$I,5,FALSE)</f>
        <v>Outcome Oriented Strategies</v>
      </c>
      <c r="E76" t="str">
        <f>VLOOKUP($A76,'[2]Total AUM Data'!$A:$I,6,FALSE)</f>
        <v>Risk Accumulation</v>
      </c>
      <c r="F76" t="s">
        <v>1933</v>
      </c>
      <c r="G76" t="s">
        <v>1932</v>
      </c>
      <c r="H76" s="62" t="e">
        <f>VLOOKUP(A76,[3]AUM!$A$3:$B$131,2,0)</f>
        <v>#N/A</v>
      </c>
    </row>
    <row r="77" spans="1:8" ht="14.25" customHeight="1" x14ac:dyDescent="0.25">
      <c r="A77" t="s">
        <v>1792</v>
      </c>
      <c r="B77" t="s">
        <v>1794</v>
      </c>
      <c r="C77" t="s">
        <v>1762</v>
      </c>
      <c r="D77" t="s">
        <v>1757</v>
      </c>
      <c r="E77" t="s">
        <v>1773</v>
      </c>
      <c r="F77" t="s">
        <v>1933</v>
      </c>
      <c r="G77" t="s">
        <v>1932</v>
      </c>
      <c r="H77" s="62" t="e">
        <f>VLOOKUP(A77,[3]AUM!$A$3:$B$207,2,0)</f>
        <v>#N/A</v>
      </c>
    </row>
    <row r="78" spans="1:8" ht="14.25" customHeight="1" x14ac:dyDescent="0.25">
      <c r="A78" t="s">
        <v>1801</v>
      </c>
      <c r="B78" t="s">
        <v>1802</v>
      </c>
      <c r="C78" t="s">
        <v>1762</v>
      </c>
      <c r="D78" t="s">
        <v>1757</v>
      </c>
      <c r="E78" t="s">
        <v>1773</v>
      </c>
      <c r="F78" t="s">
        <v>1933</v>
      </c>
      <c r="G78" t="s">
        <v>1932</v>
      </c>
      <c r="H78" s="62" t="e">
        <f>VLOOKUP(A78,[3]AUM!$A$3:$B$207,2,0)</f>
        <v>#N/A</v>
      </c>
    </row>
    <row r="79" spans="1:8" ht="14.25" customHeight="1" x14ac:dyDescent="0.25">
      <c r="A79" t="s">
        <v>1830</v>
      </c>
      <c r="B79" t="s">
        <v>1834</v>
      </c>
      <c r="C79" t="s">
        <v>1762</v>
      </c>
      <c r="D79" t="s">
        <v>1754</v>
      </c>
      <c r="E79" t="s">
        <v>1756</v>
      </c>
      <c r="F79" t="s">
        <v>1930</v>
      </c>
      <c r="G79" t="s">
        <v>1928</v>
      </c>
      <c r="H79" s="62">
        <f>VLOOKUP(A79,[3]AUM!$A$3:$B$131,2,0)</f>
        <v>6970226.1600000001</v>
      </c>
    </row>
    <row r="80" spans="1:8" ht="14.25" customHeight="1" x14ac:dyDescent="0.25">
      <c r="A80" t="s">
        <v>1831</v>
      </c>
      <c r="B80" t="s">
        <v>1835</v>
      </c>
      <c r="C80" t="s">
        <v>1762</v>
      </c>
      <c r="D80" t="s">
        <v>1754</v>
      </c>
      <c r="E80" t="s">
        <v>1769</v>
      </c>
      <c r="F80" t="s">
        <v>1931</v>
      </c>
      <c r="G80" t="s">
        <v>1928</v>
      </c>
      <c r="H80" s="62">
        <f>VLOOKUP(A80,[3]AUM!$A$3:$B$131,2,0)</f>
        <v>3927561.09</v>
      </c>
    </row>
    <row r="81" spans="1:8" ht="14.25" customHeight="1" x14ac:dyDescent="0.25">
      <c r="A81" t="s">
        <v>1865</v>
      </c>
      <c r="B81" t="s">
        <v>1849</v>
      </c>
      <c r="C81" t="s">
        <v>1762</v>
      </c>
      <c r="D81" t="s">
        <v>1757</v>
      </c>
      <c r="E81" t="s">
        <v>1773</v>
      </c>
      <c r="F81" t="s">
        <v>1928</v>
      </c>
      <c r="G81" t="s">
        <v>1929</v>
      </c>
      <c r="H81" s="62">
        <f>VLOOKUP(A81,[3]AUM!$A$3:$B$132,2,0)</f>
        <v>451980230.57999998</v>
      </c>
    </row>
    <row r="82" spans="1:8" ht="14.25" customHeight="1" x14ac:dyDescent="0.25">
      <c r="A82" t="s">
        <v>1838</v>
      </c>
      <c r="B82" t="s">
        <v>1837</v>
      </c>
      <c r="C82" t="s">
        <v>1762</v>
      </c>
      <c r="D82" t="s">
        <v>1757</v>
      </c>
      <c r="E82" t="s">
        <v>1776</v>
      </c>
      <c r="F82" t="s">
        <v>1933</v>
      </c>
      <c r="G82" t="s">
        <v>1928</v>
      </c>
      <c r="H82" s="62">
        <f>VLOOKUP(A82,[3]AUM!$A$3:$B$131,2,0)</f>
        <v>651526087.88</v>
      </c>
    </row>
    <row r="83" spans="1:8" ht="14.25" customHeight="1" x14ac:dyDescent="0.25">
      <c r="A83" t="s">
        <v>1864</v>
      </c>
      <c r="B83" t="s">
        <v>1863</v>
      </c>
      <c r="C83" t="s">
        <v>1762</v>
      </c>
      <c r="D83" t="s">
        <v>1757</v>
      </c>
      <c r="E83" t="s">
        <v>1773</v>
      </c>
      <c r="F83" t="s">
        <v>1928</v>
      </c>
      <c r="G83" t="s">
        <v>1929</v>
      </c>
      <c r="H83" s="62">
        <f>VLOOKUP(A83,[3]AUM!$A$3:$B$131,2,0)</f>
        <v>277938223.63</v>
      </c>
    </row>
    <row r="84" spans="1:8" ht="14.25" customHeight="1" x14ac:dyDescent="0.25">
      <c r="A84" t="s">
        <v>1922</v>
      </c>
      <c r="B84" t="s">
        <v>1878</v>
      </c>
      <c r="C84" t="s">
        <v>1762</v>
      </c>
      <c r="D84" t="s">
        <v>1757</v>
      </c>
      <c r="E84" t="s">
        <v>1773</v>
      </c>
      <c r="F84" t="s">
        <v>1928</v>
      </c>
      <c r="G84" t="s">
        <v>1929</v>
      </c>
      <c r="H84" s="62">
        <f>VLOOKUP(A84,[3]AUM!$A$3:$B$131,2,0)</f>
        <v>335146857.69</v>
      </c>
    </row>
    <row r="85" spans="1:8" ht="14.25" customHeight="1" x14ac:dyDescent="0.25">
      <c r="A85" t="s">
        <v>1881</v>
      </c>
      <c r="B85" t="s">
        <v>1882</v>
      </c>
      <c r="C85" t="s">
        <v>1762</v>
      </c>
      <c r="D85" t="s">
        <v>1757</v>
      </c>
      <c r="E85" t="s">
        <v>1773</v>
      </c>
      <c r="F85" t="s">
        <v>1928</v>
      </c>
      <c r="G85" t="s">
        <v>1929</v>
      </c>
      <c r="H85" s="62">
        <f>VLOOKUP(A85,[3]AUM!$A$3:$B$131,2,0)</f>
        <v>319412485.87</v>
      </c>
    </row>
    <row r="86" spans="1:8" ht="14.25" customHeight="1" x14ac:dyDescent="0.25">
      <c r="A86" t="s">
        <v>23</v>
      </c>
      <c r="B86" t="s">
        <v>168</v>
      </c>
      <c r="C86" t="s">
        <v>1820</v>
      </c>
      <c r="D86" t="str">
        <f>VLOOKUP($A86,'[2]Desk mapping'!$G:$L,5,FALSE)</f>
        <v>Allocation Driven Strategies</v>
      </c>
      <c r="E86" t="str">
        <f>VLOOKUP($A86,'[2]Desk mapping'!$G:$L,6,FALSE)</f>
        <v>Flexible</v>
      </c>
      <c r="F86" t="s">
        <v>1929</v>
      </c>
      <c r="H86" s="62">
        <f>VLOOKUP(A86,[3]AUM!$A$3:$B$131,2,0)</f>
        <v>33652386</v>
      </c>
    </row>
    <row r="87" spans="1:8" ht="14.25" customHeight="1" x14ac:dyDescent="0.25">
      <c r="A87" t="s">
        <v>66</v>
      </c>
      <c r="B87" t="s">
        <v>185</v>
      </c>
      <c r="C87" t="s">
        <v>1820</v>
      </c>
      <c r="D87" t="str">
        <f>VLOOKUP($A87,'[2]Total AUM Data'!$A:$I,5,FALSE)</f>
        <v>Outcome Oriented Strategies</v>
      </c>
      <c r="E87" t="str">
        <f>VLOOKUP($A87,'[2]Total AUM Data'!$A:$I,6,FALSE)</f>
        <v>Capital Protection</v>
      </c>
      <c r="F87" t="s">
        <v>1929</v>
      </c>
      <c r="H87" s="62">
        <f>VLOOKUP(A87,[3]AUM!$A$3:$B$131,2,0)</f>
        <v>77561</v>
      </c>
    </row>
    <row r="88" spans="1:8" ht="14.25" customHeight="1" x14ac:dyDescent="0.25">
      <c r="A88" t="s">
        <v>15</v>
      </c>
      <c r="B88" t="s">
        <v>163</v>
      </c>
      <c r="C88" t="s">
        <v>1820</v>
      </c>
      <c r="D88" t="str">
        <f>VLOOKUP($A88,'[2]Desk mapping'!$G:$L,5,FALSE)</f>
        <v>Allocation Driven Strategies</v>
      </c>
      <c r="E88" t="str">
        <f>VLOOKUP($A88,'[2]Desk mapping'!$G:$L,6,FALSE)</f>
        <v>Conservative</v>
      </c>
      <c r="F88" t="s">
        <v>1929</v>
      </c>
      <c r="H88" s="62">
        <f>VLOOKUP(A88,[3]AUM!$A$3:$B$131,2,0)</f>
        <v>87573063</v>
      </c>
    </row>
    <row r="89" spans="1:8" ht="14.25" customHeight="1" x14ac:dyDescent="0.25">
      <c r="A89" t="s">
        <v>69</v>
      </c>
      <c r="B89" t="s">
        <v>188</v>
      </c>
      <c r="C89" t="s">
        <v>1820</v>
      </c>
      <c r="D89" t="str">
        <f>VLOOKUP($A89,'[2]Desk mapping'!$G:$L,5,FALSE)</f>
        <v>Allocation Driven Strategies</v>
      </c>
      <c r="E89" t="str">
        <f>VLOOKUP($A89,'[2]Desk mapping'!$G:$L,6,FALSE)</f>
        <v>Conservative</v>
      </c>
      <c r="F89" t="s">
        <v>1928</v>
      </c>
      <c r="G89" t="s">
        <v>1929</v>
      </c>
      <c r="H89" s="62">
        <f>VLOOKUP(A89,[3]AUM!$A$3:$B$131,2,0)</f>
        <v>122521317</v>
      </c>
    </row>
    <row r="90" spans="1:8" ht="14.25" customHeight="1" x14ac:dyDescent="0.25">
      <c r="A90" t="s">
        <v>244</v>
      </c>
      <c r="B90" t="s">
        <v>258</v>
      </c>
      <c r="C90" t="s">
        <v>1762</v>
      </c>
      <c r="D90" t="str">
        <f>VLOOKUP($A90,'[2]Total AUM Data'!$A:$I,5,FALSE)</f>
        <v>Allocation Driven Strategies</v>
      </c>
      <c r="E90" t="str">
        <f>VLOOKUP($A90,'[2]Total AUM Data'!$A:$I,6,FALSE)</f>
        <v>Flexible</v>
      </c>
      <c r="F90" t="s">
        <v>1928</v>
      </c>
      <c r="G90" t="s">
        <v>1930</v>
      </c>
      <c r="H90" s="62">
        <f>VLOOKUP(A90,[3]AUM!$A$3:$B$131,2,0)/0.8573</f>
        <v>164562917.33348882</v>
      </c>
    </row>
    <row r="91" spans="1:8" ht="14.25" customHeight="1" x14ac:dyDescent="0.25">
      <c r="A91" t="s">
        <v>108</v>
      </c>
      <c r="B91" t="s">
        <v>207</v>
      </c>
      <c r="C91" t="s">
        <v>1820</v>
      </c>
      <c r="D91" t="str">
        <f>VLOOKUP($A91,'[2]Desk mapping'!$G:$L,5,FALSE)</f>
        <v>Allocation Driven Strategies</v>
      </c>
      <c r="E91" t="str">
        <f>VLOOKUP($A91,'[2]Desk mapping'!$G:$L,6,FALSE)</f>
        <v>Growth</v>
      </c>
      <c r="F91" t="s">
        <v>1929</v>
      </c>
      <c r="H91" s="62">
        <f>VLOOKUP(A91,[3]AUM!$A$3:$B$131,2,0)</f>
        <v>20379176</v>
      </c>
    </row>
    <row r="92" spans="1:8" ht="14.25" customHeight="1" x14ac:dyDescent="0.25">
      <c r="A92" t="s">
        <v>922</v>
      </c>
      <c r="B92" t="str">
        <f>VLOOKUP(A92,'[1]Model portfolios'!$A:$AS,4,FALSE)</f>
        <v>CNP Linea Protetta Dinamica Plus</v>
      </c>
      <c r="C92" t="s">
        <v>1820</v>
      </c>
      <c r="D92" t="str">
        <f>VLOOKUP($A92,'[2]Desk mapping'!$G:$L,5,FALSE)</f>
        <v>Allocation Driven Strategies</v>
      </c>
      <c r="E92" t="str">
        <f>VLOOKUP($A92,'[2]Desk mapping'!$G:$L,6,FALSE)</f>
        <v>Growth</v>
      </c>
      <c r="F92" t="s">
        <v>1929</v>
      </c>
      <c r="H92" s="62">
        <f>VLOOKUP(A92,[3]AUM!$A$3:$B$131,2,0)</f>
        <v>3991454</v>
      </c>
    </row>
    <row r="93" spans="1:8" ht="14.25" customHeight="1" x14ac:dyDescent="0.25">
      <c r="A93" t="s">
        <v>1885</v>
      </c>
      <c r="B93" t="s">
        <v>1886</v>
      </c>
      <c r="C93" t="s">
        <v>1820</v>
      </c>
      <c r="D93" t="s">
        <v>1754</v>
      </c>
      <c r="E93" t="s">
        <v>1756</v>
      </c>
      <c r="F93" t="s">
        <v>1932</v>
      </c>
      <c r="G93" t="s">
        <v>1928</v>
      </c>
      <c r="H93" s="62">
        <v>310389062</v>
      </c>
    </row>
    <row r="94" spans="1:8" ht="14.25" customHeight="1" x14ac:dyDescent="0.25">
      <c r="A94" t="s">
        <v>10</v>
      </c>
      <c r="B94" t="s">
        <v>161</v>
      </c>
      <c r="C94" t="s">
        <v>1820</v>
      </c>
      <c r="D94" t="str">
        <f>VLOOKUP($A94,'[2]Desk mapping'!$G:$L,5,FALSE)</f>
        <v>Allocation Driven Strategies</v>
      </c>
      <c r="E94" t="str">
        <f>VLOOKUP($A94,'[2]Desk mapping'!$G:$L,6,FALSE)</f>
        <v>Conservative</v>
      </c>
      <c r="F94" t="s">
        <v>1929</v>
      </c>
      <c r="H94" s="62">
        <f>VLOOKUP(A94,[3]AUM!$A$3:$B$131,2,0)</f>
        <v>78465</v>
      </c>
    </row>
    <row r="95" spans="1:8" ht="14.25" customHeight="1" x14ac:dyDescent="0.25">
      <c r="A95" t="s">
        <v>145</v>
      </c>
      <c r="B95" t="s">
        <v>223</v>
      </c>
      <c r="C95" t="s">
        <v>1820</v>
      </c>
      <c r="D95" t="str">
        <f>VLOOKUP($A95,'[2]Desk mapping'!$G:$L,5,FALSE)</f>
        <v>Allocation Driven Strategies</v>
      </c>
      <c r="E95" t="str">
        <f>VLOOKUP($A95,'[2]Desk mapping'!$G:$L,6,FALSE)</f>
        <v>Flexible</v>
      </c>
      <c r="F95" t="s">
        <v>1930</v>
      </c>
      <c r="G95" t="s">
        <v>1928</v>
      </c>
      <c r="H95" s="62">
        <f>VLOOKUP(A95,[3]AUM!$A$3:$B$131,2,0)</f>
        <v>23044548</v>
      </c>
    </row>
    <row r="96" spans="1:8" ht="14.25" customHeight="1" x14ac:dyDescent="0.25">
      <c r="A96" t="s">
        <v>141</v>
      </c>
      <c r="B96" t="s">
        <v>219</v>
      </c>
      <c r="C96" t="s">
        <v>1820</v>
      </c>
      <c r="D96" t="str">
        <f>VLOOKUP($A96,'[2]Desk mapping'!$G:$L,5,FALSE)</f>
        <v>Allocation Driven Strategies</v>
      </c>
      <c r="E96" t="str">
        <f>VLOOKUP($A96,'[2]Desk mapping'!$G:$L,6,FALSE)</f>
        <v>Flexible</v>
      </c>
      <c r="F96" t="s">
        <v>1930</v>
      </c>
      <c r="G96" t="s">
        <v>1928</v>
      </c>
      <c r="H96" s="62">
        <f>VLOOKUP(A96,[3]AUM!$A$3:$B$131,2,0)</f>
        <v>234658014</v>
      </c>
    </row>
    <row r="97" spans="1:8" ht="14.25" customHeight="1" x14ac:dyDescent="0.25">
      <c r="A97" t="s">
        <v>86</v>
      </c>
      <c r="B97" t="s">
        <v>200</v>
      </c>
      <c r="C97" t="s">
        <v>1820</v>
      </c>
      <c r="D97" t="str">
        <f>VLOOKUP($A97,'[2]Desk mapping'!$G:$L,5,FALSE)</f>
        <v>Allocation Driven Strategies</v>
      </c>
      <c r="E97" t="str">
        <f>VLOOKUP($A97,'[2]Desk mapping'!$G:$L,6,FALSE)</f>
        <v>Flexible</v>
      </c>
      <c r="F97" t="s">
        <v>1930</v>
      </c>
      <c r="G97" t="s">
        <v>1928</v>
      </c>
      <c r="H97" s="62">
        <f>VLOOKUP(A97,[3]AUM!$A$3:$B$131,2,0)</f>
        <v>17723615</v>
      </c>
    </row>
    <row r="98" spans="1:8" ht="14.25" customHeight="1" x14ac:dyDescent="0.25">
      <c r="A98" t="s">
        <v>20</v>
      </c>
      <c r="B98" t="s">
        <v>166</v>
      </c>
      <c r="C98" t="s">
        <v>1820</v>
      </c>
      <c r="D98" t="str">
        <f>VLOOKUP($A98,'[2]Desk mapping'!$G:$L,5,FALSE)</f>
        <v>Allocation Driven Strategies</v>
      </c>
      <c r="E98" t="str">
        <f>VLOOKUP($A98,'[2]Desk mapping'!$G:$L,6,FALSE)</f>
        <v>Flexible</v>
      </c>
      <c r="F98" t="s">
        <v>1930</v>
      </c>
      <c r="G98" t="s">
        <v>1928</v>
      </c>
      <c r="H98" s="62">
        <f>VLOOKUP(A98,[3]AUM!$A$3:$B$131,2,0)</f>
        <v>550852602</v>
      </c>
    </row>
    <row r="99" spans="1:8" ht="14.25" customHeight="1" x14ac:dyDescent="0.25">
      <c r="A99" t="s">
        <v>142</v>
      </c>
      <c r="B99" t="s">
        <v>220</v>
      </c>
      <c r="C99" t="s">
        <v>1820</v>
      </c>
      <c r="D99" t="str">
        <f>VLOOKUP($A99,'[2]Desk mapping'!$G:$L,5,FALSE)</f>
        <v>Allocation Driven Strategies</v>
      </c>
      <c r="E99" t="str">
        <f>VLOOKUP($A99,'[2]Desk mapping'!$G:$L,6,FALSE)</f>
        <v>Flexible</v>
      </c>
      <c r="F99" t="s">
        <v>1930</v>
      </c>
      <c r="G99" t="s">
        <v>1928</v>
      </c>
      <c r="H99" s="62">
        <f>VLOOKUP(A99,[3]AUM!$A$3:$B$131,2,0)</f>
        <v>328851184</v>
      </c>
    </row>
    <row r="100" spans="1:8" ht="14.25" customHeight="1" x14ac:dyDescent="0.25">
      <c r="A100" t="s">
        <v>37</v>
      </c>
      <c r="B100" t="s">
        <v>172</v>
      </c>
      <c r="C100" t="s">
        <v>1820</v>
      </c>
      <c r="D100" t="str">
        <f>VLOOKUP($A100,'[2]Desk mapping'!$G:$L,5,FALSE)</f>
        <v>Outcome Oriented Strategies</v>
      </c>
      <c r="E100" t="str">
        <f>VLOOKUP($A100,'[2]Desk mapping'!$G:$L,6,FALSE)</f>
        <v>Risk Accumulation</v>
      </c>
      <c r="F100" t="s">
        <v>1929</v>
      </c>
      <c r="H100" s="62">
        <f>VLOOKUP(A100,[3]AUM!$A$3:$B$131,2,0)</f>
        <v>4704953</v>
      </c>
    </row>
    <row r="101" spans="1:8" ht="14.25" customHeight="1" x14ac:dyDescent="0.25">
      <c r="A101" t="s">
        <v>127</v>
      </c>
      <c r="B101" t="s">
        <v>213</v>
      </c>
      <c r="C101" t="s">
        <v>1820</v>
      </c>
      <c r="D101" t="str">
        <f>VLOOKUP($A101,'[2]Total AUM Data'!$A:$I,5,FALSE)</f>
        <v>Allocation Driven Strategies</v>
      </c>
      <c r="E101" t="str">
        <f>VLOOKUP($A101,'[2]Total AUM Data'!$A:$I,6,FALSE)</f>
        <v>Moderate</v>
      </c>
      <c r="F101" t="s">
        <v>1929</v>
      </c>
      <c r="H101" s="62">
        <f>VLOOKUP(A101,[3]AUM!$A$3:$B$131,2,0)</f>
        <v>0</v>
      </c>
    </row>
    <row r="102" spans="1:8" ht="14.25" customHeight="1" x14ac:dyDescent="0.25">
      <c r="A102" t="s">
        <v>31</v>
      </c>
      <c r="B102" t="s">
        <v>170</v>
      </c>
      <c r="C102" t="s">
        <v>1820</v>
      </c>
      <c r="D102" t="str">
        <f>VLOOKUP($A102,'[2]Desk mapping'!$G:$L,5,FALSE)</f>
        <v>Allocation Driven Strategies</v>
      </c>
      <c r="E102" t="str">
        <f>VLOOKUP($A102,'[2]Desk mapping'!$G:$L,6,FALSE)</f>
        <v>Moderate</v>
      </c>
      <c r="F102" t="s">
        <v>1929</v>
      </c>
      <c r="H102" s="62">
        <f>VLOOKUP(A102,[3]AUM!$A$3:$B$131,2,0)</f>
        <v>10517233</v>
      </c>
    </row>
    <row r="103" spans="1:8" ht="14.25" customHeight="1" x14ac:dyDescent="0.25">
      <c r="A103" t="s">
        <v>104</v>
      </c>
      <c r="B103" t="s">
        <v>203</v>
      </c>
      <c r="C103" t="s">
        <v>1820</v>
      </c>
      <c r="D103" t="str">
        <f>VLOOKUP($A103,'[2]Desk mapping'!$G:$L,5,FALSE)</f>
        <v>Allocation Driven Strategies</v>
      </c>
      <c r="E103" t="str">
        <f>VLOOKUP($A103,'[2]Desk mapping'!$G:$L,6,FALSE)</f>
        <v>Moderate</v>
      </c>
      <c r="F103" t="s">
        <v>1929</v>
      </c>
      <c r="H103" s="62">
        <f>VLOOKUP(A103,[3]AUM!$A$3:$B$131,2,0)</f>
        <v>17251250</v>
      </c>
    </row>
    <row r="104" spans="1:8" ht="14.25" customHeight="1" x14ac:dyDescent="0.25">
      <c r="A104" t="s">
        <v>59</v>
      </c>
      <c r="B104" t="s">
        <v>183</v>
      </c>
      <c r="C104" t="s">
        <v>1820</v>
      </c>
      <c r="D104" t="str">
        <f>VLOOKUP($A104,'[2]Desk mapping'!$G:$L,5,FALSE)</f>
        <v>Allocation Driven Strategies</v>
      </c>
      <c r="E104" t="str">
        <f>VLOOKUP($A104,'[2]Desk mapping'!$G:$L,6,FALSE)</f>
        <v>Conservative</v>
      </c>
      <c r="F104" t="s">
        <v>1929</v>
      </c>
      <c r="H104" s="62">
        <f>VLOOKUP(A104,[3]AUM!$A$3:$B$131,2,0)</f>
        <v>27311192</v>
      </c>
    </row>
    <row r="105" spans="1:8" ht="14.25" customHeight="1" x14ac:dyDescent="0.25">
      <c r="A105" t="s">
        <v>150</v>
      </c>
      <c r="B105" t="s">
        <v>226</v>
      </c>
      <c r="C105" t="s">
        <v>1820</v>
      </c>
      <c r="D105" t="str">
        <f>VLOOKUP($A105,'[2]Total AUM Data'!$A:$I,5,FALSE)</f>
        <v>Allocation Driven Strategies</v>
      </c>
      <c r="E105" t="str">
        <f>VLOOKUP($A105,'[2]Total AUM Data'!$A:$I,6,FALSE)</f>
        <v>Growth</v>
      </c>
      <c r="F105" t="s">
        <v>1929</v>
      </c>
      <c r="H105" s="62">
        <f>VLOOKUP(A105,[3]AUM!$A$3:$B$131,2,0)</f>
        <v>0</v>
      </c>
    </row>
    <row r="106" spans="1:8" ht="14.25" customHeight="1" x14ac:dyDescent="0.25">
      <c r="A106" t="s">
        <v>57</v>
      </c>
      <c r="B106" t="s">
        <v>181</v>
      </c>
      <c r="C106" t="s">
        <v>1820</v>
      </c>
      <c r="D106" t="str">
        <f>VLOOKUP($A106,'[2]Desk mapping'!$G:$L,5,FALSE)</f>
        <v>Allocation Driven Strategies</v>
      </c>
      <c r="E106" t="str">
        <f>VLOOKUP($A106,'[2]Desk mapping'!$G:$L,6,FALSE)</f>
        <v>Growth</v>
      </c>
      <c r="F106" t="s">
        <v>1929</v>
      </c>
      <c r="H106" s="62">
        <f>VLOOKUP(A106,[3]AUM!$A$3:$B$131,2,0)</f>
        <v>18063937</v>
      </c>
    </row>
    <row r="107" spans="1:8" ht="14.25" customHeight="1" x14ac:dyDescent="0.25">
      <c r="A107" t="s">
        <v>1821</v>
      </c>
      <c r="B107" t="s">
        <v>1825</v>
      </c>
      <c r="C107" t="s">
        <v>1820</v>
      </c>
      <c r="D107" t="s">
        <v>1754</v>
      </c>
      <c r="E107" t="s">
        <v>1775</v>
      </c>
      <c r="F107" t="s">
        <v>1887</v>
      </c>
      <c r="G107" t="s">
        <v>1932</v>
      </c>
      <c r="H107" s="62">
        <f>VLOOKUP(A107,[3]AUM!$A$3:$B$131,2,0)</f>
        <v>1901251614</v>
      </c>
    </row>
    <row r="108" spans="1:8" ht="14.25" customHeight="1" x14ac:dyDescent="0.25">
      <c r="A108" t="s">
        <v>1899</v>
      </c>
      <c r="B108" t="s">
        <v>1898</v>
      </c>
      <c r="C108" t="s">
        <v>1820</v>
      </c>
      <c r="D108" t="s">
        <v>1757</v>
      </c>
      <c r="E108" t="s">
        <v>1776</v>
      </c>
      <c r="F108" t="s">
        <v>1933</v>
      </c>
      <c r="H108" s="62">
        <v>125523485.79000001</v>
      </c>
    </row>
    <row r="109" spans="1:8" ht="14.25" customHeight="1" x14ac:dyDescent="0.25">
      <c r="A109" t="s">
        <v>107</v>
      </c>
      <c r="B109" t="s">
        <v>206</v>
      </c>
      <c r="C109" t="s">
        <v>1820</v>
      </c>
      <c r="D109" t="str">
        <f>VLOOKUP($A109,'[2]Desk mapping'!$G:$L,5,FALSE)</f>
        <v>Allocation Driven Strategies</v>
      </c>
      <c r="E109" t="str">
        <f>VLOOKUP($A109,'[2]Desk mapping'!$G:$L,6,FALSE)</f>
        <v>Growth</v>
      </c>
      <c r="F109" t="s">
        <v>1929</v>
      </c>
      <c r="H109" s="62">
        <f>VLOOKUP(A109,[3]AUM!$A$3:$B$131,2,0)</f>
        <v>411051</v>
      </c>
    </row>
    <row r="110" spans="1:8" ht="14.25" customHeight="1" x14ac:dyDescent="0.25">
      <c r="A110" t="s">
        <v>1896</v>
      </c>
      <c r="B110" t="s">
        <v>1897</v>
      </c>
      <c r="C110" t="s">
        <v>1820</v>
      </c>
      <c r="D110" t="s">
        <v>1757</v>
      </c>
      <c r="E110" t="s">
        <v>1776</v>
      </c>
      <c r="F110" t="s">
        <v>1928</v>
      </c>
      <c r="H110" s="62">
        <f>VLOOKUP(A110,[3]AUM!$A$3:$B$131,2,0)</f>
        <v>252843377</v>
      </c>
    </row>
    <row r="111" spans="1:8" ht="14.25" customHeight="1" x14ac:dyDescent="0.25">
      <c r="A111" t="s">
        <v>55</v>
      </c>
      <c r="B111" t="s">
        <v>179</v>
      </c>
      <c r="C111" t="s">
        <v>1820</v>
      </c>
      <c r="D111" t="str">
        <f>VLOOKUP($A111,'[2]Desk mapping'!$G:$L,5,FALSE)</f>
        <v>Allocation Driven Strategies</v>
      </c>
      <c r="E111" t="str">
        <f>VLOOKUP($A111,'[2]Desk mapping'!$G:$L,6,FALSE)</f>
        <v>Conservative</v>
      </c>
      <c r="F111" t="s">
        <v>1929</v>
      </c>
      <c r="H111" s="62">
        <f>VLOOKUP(A111,[3]AUM!$A$3:$B$131,2,0)</f>
        <v>12030736</v>
      </c>
    </row>
    <row r="112" spans="1:8" ht="14.25" customHeight="1" x14ac:dyDescent="0.25">
      <c r="A112" t="s">
        <v>77</v>
      </c>
      <c r="B112" t="s">
        <v>192</v>
      </c>
      <c r="C112" t="s">
        <v>1820</v>
      </c>
      <c r="D112" t="str">
        <f>VLOOKUP($A112,'[2]Total AUM Data'!$A:$I,5,FALSE)</f>
        <v>Allocation Driven Strategies</v>
      </c>
      <c r="E112" t="str">
        <f>VLOOKUP($A112,'[2]Total AUM Data'!$A:$I,6,FALSE)</f>
        <v>Conservative</v>
      </c>
      <c r="F112" t="s">
        <v>1929</v>
      </c>
      <c r="H112" s="62">
        <f>VLOOKUP(A112,[3]AUM!$A$3:$B$131,2,0)</f>
        <v>0</v>
      </c>
    </row>
    <row r="113" spans="1:8" ht="14.25" customHeight="1" x14ac:dyDescent="0.25">
      <c r="A113" t="s">
        <v>18</v>
      </c>
      <c r="B113" t="s">
        <v>165</v>
      </c>
      <c r="C113" t="s">
        <v>1820</v>
      </c>
      <c r="D113" t="str">
        <f>VLOOKUP($A113,'[2]Total AUM Data'!$A:$I,5,FALSE)</f>
        <v>Allocation Driven Strategies</v>
      </c>
      <c r="E113" t="str">
        <f>VLOOKUP($A113,'[2]Total AUM Data'!$A:$I,6,FALSE)</f>
        <v>Conservative</v>
      </c>
      <c r="F113" t="s">
        <v>1929</v>
      </c>
      <c r="H113" s="62">
        <f>VLOOKUP(A113,[3]AUM!$A$3:$B$131,2,0)</f>
        <v>0</v>
      </c>
    </row>
    <row r="114" spans="1:8" ht="14.25" customHeight="1" x14ac:dyDescent="0.25">
      <c r="A114" t="s">
        <v>56</v>
      </c>
      <c r="B114" t="s">
        <v>180</v>
      </c>
      <c r="C114" t="s">
        <v>1820</v>
      </c>
      <c r="D114" t="str">
        <f>VLOOKUP($A114,'[2]Desk mapping'!$G:$L,5,FALSE)</f>
        <v>Allocation Driven Strategies</v>
      </c>
      <c r="E114" t="str">
        <f>VLOOKUP($A114,'[2]Desk mapping'!$G:$L,6,FALSE)</f>
        <v>Conservative</v>
      </c>
      <c r="F114" t="s">
        <v>1929</v>
      </c>
      <c r="H114" s="62">
        <f>VLOOKUP(A114,[3]AUM!$A$3:$B$131,2,0)</f>
        <v>15554245</v>
      </c>
    </row>
    <row r="115" spans="1:8" ht="14.25" customHeight="1" x14ac:dyDescent="0.25">
      <c r="A115" t="s">
        <v>1866</v>
      </c>
      <c r="B115" t="s">
        <v>1867</v>
      </c>
      <c r="C115" t="s">
        <v>1820</v>
      </c>
      <c r="D115" t="s">
        <v>1757</v>
      </c>
      <c r="E115" t="s">
        <v>1776</v>
      </c>
      <c r="F115" t="s">
        <v>1933</v>
      </c>
      <c r="G115" t="s">
        <v>1928</v>
      </c>
      <c r="H115" s="62">
        <f>VLOOKUP(A115,[3]AUM!$A$3:$B$131,2,0)</f>
        <v>909580051</v>
      </c>
    </row>
    <row r="116" spans="1:8" x14ac:dyDescent="0.25">
      <c r="H116" s="9"/>
    </row>
    <row r="117" spans="1:8" x14ac:dyDescent="0.25">
      <c r="H117" s="3"/>
    </row>
    <row r="128" spans="1:8" x14ac:dyDescent="0.25">
      <c r="B128" s="30"/>
    </row>
  </sheetData>
  <pageMargins left="0.7" right="0.7" top="0.75" bottom="0.75" header="0.3" footer="0.3"/>
  <pageSetup paperSize="9" scale="58" fitToHeight="0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5"/>
  <sheetViews>
    <sheetView zoomScale="90" zoomScaleNormal="90" workbookViewId="0">
      <selection activeCell="B28" sqref="B28"/>
    </sheetView>
  </sheetViews>
  <sheetFormatPr defaultRowHeight="15" x14ac:dyDescent="0.25"/>
  <cols>
    <col min="1" max="1" width="29.28515625" bestFit="1" customWidth="1"/>
    <col min="2" max="2" width="18.28515625" customWidth="1"/>
    <col min="3" max="3" width="29" style="15" customWidth="1"/>
    <col min="4" max="4" width="30.28515625" style="15" customWidth="1"/>
    <col min="5" max="5" width="37.7109375" customWidth="1"/>
    <col min="12" max="12" width="12.140625" bestFit="1" customWidth="1"/>
  </cols>
  <sheetData>
    <row r="1" spans="1:12" x14ac:dyDescent="0.25">
      <c r="C1" s="10" t="s">
        <v>1790</v>
      </c>
      <c r="D1"/>
    </row>
    <row r="2" spans="1:12" x14ac:dyDescent="0.25">
      <c r="A2" s="10" t="s">
        <v>1744</v>
      </c>
      <c r="B2" s="10" t="s">
        <v>1745</v>
      </c>
      <c r="C2" t="s">
        <v>1839</v>
      </c>
      <c r="D2" t="s">
        <v>1840</v>
      </c>
    </row>
    <row r="3" spans="1:12" x14ac:dyDescent="0.25">
      <c r="A3" t="s">
        <v>1754</v>
      </c>
      <c r="B3" t="s">
        <v>1756</v>
      </c>
      <c r="C3" s="11">
        <v>911.70197063000023</v>
      </c>
      <c r="D3" s="11">
        <v>934.10600386999988</v>
      </c>
    </row>
    <row r="4" spans="1:12" x14ac:dyDescent="0.25">
      <c r="B4" t="s">
        <v>1775</v>
      </c>
      <c r="C4" s="11">
        <v>3287.517499392638</v>
      </c>
      <c r="D4" s="11">
        <v>3201.2600351656442</v>
      </c>
    </row>
    <row r="5" spans="1:12" x14ac:dyDescent="0.25">
      <c r="B5" t="s">
        <v>1768</v>
      </c>
      <c r="C5" s="11">
        <v>1395.0837152792037</v>
      </c>
      <c r="D5" s="11">
        <v>1512.392493439434</v>
      </c>
    </row>
    <row r="6" spans="1:12" x14ac:dyDescent="0.25">
      <c r="B6" t="s">
        <v>1769</v>
      </c>
      <c r="C6" s="11">
        <v>633.43393758000002</v>
      </c>
      <c r="D6" s="11">
        <v>601.00330880000013</v>
      </c>
    </row>
    <row r="7" spans="1:12" x14ac:dyDescent="0.25">
      <c r="B7" t="s">
        <v>1770</v>
      </c>
      <c r="C7" s="11">
        <v>616.85594656999979</v>
      </c>
      <c r="D7" s="11">
        <v>621.12456511000005</v>
      </c>
    </row>
    <row r="8" spans="1:12" x14ac:dyDescent="0.25">
      <c r="A8" t="s">
        <v>1782</v>
      </c>
      <c r="C8" s="11">
        <v>6844.593069451842</v>
      </c>
      <c r="D8" s="11">
        <v>6869.8864063850779</v>
      </c>
    </row>
    <row r="9" spans="1:12" x14ac:dyDescent="0.25">
      <c r="A9" t="s">
        <v>1757</v>
      </c>
      <c r="B9" t="s">
        <v>1771</v>
      </c>
      <c r="C9" s="11">
        <v>1208.693608</v>
      </c>
      <c r="D9" s="11">
        <v>1252.858872</v>
      </c>
    </row>
    <row r="10" spans="1:12" x14ac:dyDescent="0.25">
      <c r="B10" t="s">
        <v>1772</v>
      </c>
      <c r="C10" s="11">
        <v>6.955908</v>
      </c>
      <c r="D10" s="11">
        <v>6.9757480000000003</v>
      </c>
    </row>
    <row r="11" spans="1:12" x14ac:dyDescent="0.25">
      <c r="B11" t="s">
        <v>1755</v>
      </c>
      <c r="C11" s="11">
        <v>862.22932435999996</v>
      </c>
      <c r="D11" s="11">
        <v>920.65793202999998</v>
      </c>
    </row>
    <row r="12" spans="1:12" x14ac:dyDescent="0.25">
      <c r="B12" t="s">
        <v>1773</v>
      </c>
      <c r="C12" s="11">
        <v>1773.0446880299999</v>
      </c>
      <c r="D12" s="11">
        <v>2194.2822104500001</v>
      </c>
    </row>
    <row r="13" spans="1:12" x14ac:dyDescent="0.25">
      <c r="B13" t="s">
        <v>1776</v>
      </c>
      <c r="C13" s="11">
        <v>1823.4918663899998</v>
      </c>
      <c r="D13" s="11">
        <v>1655.9710882300001</v>
      </c>
      <c r="L13" s="38" t="s">
        <v>1855</v>
      </c>
    </row>
    <row r="14" spans="1:12" x14ac:dyDescent="0.25">
      <c r="A14" t="s">
        <v>1785</v>
      </c>
      <c r="C14" s="11">
        <v>5674.4153947799996</v>
      </c>
      <c r="D14" s="11">
        <v>6030.74585071</v>
      </c>
    </row>
    <row r="15" spans="1:12" x14ac:dyDescent="0.25">
      <c r="A15" t="s">
        <v>1766</v>
      </c>
      <c r="B15" t="s">
        <v>1774</v>
      </c>
      <c r="C15" s="11">
        <v>74.24783558</v>
      </c>
      <c r="D15" s="11">
        <v>77.232789670000003</v>
      </c>
    </row>
    <row r="16" spans="1:12" x14ac:dyDescent="0.25">
      <c r="B16" t="s">
        <v>1775</v>
      </c>
      <c r="C16" s="11">
        <v>53.160977919999993</v>
      </c>
      <c r="D16" s="11">
        <v>56.764604779999999</v>
      </c>
    </row>
    <row r="17" spans="1:8" x14ac:dyDescent="0.25">
      <c r="B17" t="s">
        <v>1768</v>
      </c>
      <c r="C17" s="11">
        <v>198.75920182000002</v>
      </c>
      <c r="D17" s="11">
        <v>234.21407376000002</v>
      </c>
    </row>
    <row r="18" spans="1:8" x14ac:dyDescent="0.25">
      <c r="B18" t="s">
        <v>1755</v>
      </c>
      <c r="C18" s="11">
        <v>59.556669140000004</v>
      </c>
      <c r="D18" s="11">
        <v>74.824881550000001</v>
      </c>
    </row>
    <row r="19" spans="1:8" x14ac:dyDescent="0.25">
      <c r="A19" t="s">
        <v>1786</v>
      </c>
      <c r="C19" s="11">
        <v>385.72468445999999</v>
      </c>
      <c r="D19" s="11">
        <v>443.03634976000001</v>
      </c>
    </row>
    <row r="20" spans="1:8" x14ac:dyDescent="0.25">
      <c r="A20" t="s">
        <v>1868</v>
      </c>
      <c r="B20" t="s">
        <v>1868</v>
      </c>
      <c r="C20" s="11">
        <v>0</v>
      </c>
      <c r="D20" s="11">
        <v>0</v>
      </c>
    </row>
    <row r="21" spans="1:8" x14ac:dyDescent="0.25">
      <c r="A21" t="s">
        <v>1869</v>
      </c>
      <c r="C21" s="11">
        <v>0</v>
      </c>
      <c r="D21" s="11">
        <v>0</v>
      </c>
      <c r="F21">
        <v>21332</v>
      </c>
      <c r="G21">
        <v>21721</v>
      </c>
      <c r="H21">
        <f>G21-F21</f>
        <v>389</v>
      </c>
    </row>
    <row r="22" spans="1:8" x14ac:dyDescent="0.25">
      <c r="A22" t="s">
        <v>1767</v>
      </c>
      <c r="C22" s="11">
        <v>12904.733148691843</v>
      </c>
      <c r="D22" s="11">
        <v>13343.668606855079</v>
      </c>
    </row>
    <row r="23" spans="1:8" x14ac:dyDescent="0.25">
      <c r="C23"/>
      <c r="D23"/>
    </row>
    <row r="24" spans="1:8" x14ac:dyDescent="0.25">
      <c r="C24"/>
      <c r="D24"/>
    </row>
    <row r="25" spans="1:8" x14ac:dyDescent="0.25">
      <c r="C25"/>
      <c r="D25"/>
    </row>
  </sheetData>
  <pageMargins left="0.7" right="0.7" top="0.75" bottom="0.75" header="0.3" footer="0.3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C39"/>
  <sheetViews>
    <sheetView topLeftCell="C7" zoomScale="70" zoomScaleNormal="70" workbookViewId="0">
      <selection activeCell="C35" sqref="C35"/>
    </sheetView>
  </sheetViews>
  <sheetFormatPr defaultRowHeight="15" x14ac:dyDescent="0.25"/>
  <cols>
    <col min="1" max="1" width="84.28515625" bestFit="1" customWidth="1"/>
    <col min="2" max="2" width="33.5703125" style="3" bestFit="1" customWidth="1"/>
    <col min="3" max="3" width="29.7109375" style="3" bestFit="1" customWidth="1"/>
  </cols>
  <sheetData>
    <row r="3" spans="1:3" x14ac:dyDescent="0.25">
      <c r="A3" s="10" t="s">
        <v>265</v>
      </c>
      <c r="B3" s="9" t="s">
        <v>1818</v>
      </c>
      <c r="C3" s="9" t="s">
        <v>1819</v>
      </c>
    </row>
    <row r="4" spans="1:3" x14ac:dyDescent="0.25">
      <c r="A4" t="s">
        <v>1751</v>
      </c>
      <c r="B4" s="9">
        <v>0</v>
      </c>
      <c r="C4" s="9">
        <v>0</v>
      </c>
    </row>
    <row r="5" spans="1:3" x14ac:dyDescent="0.25">
      <c r="A5" t="s">
        <v>172</v>
      </c>
      <c r="B5" s="9">
        <v>-0.46890500000000002</v>
      </c>
      <c r="C5" s="9">
        <v>-0.34050277000000001</v>
      </c>
    </row>
    <row r="6" spans="1:3" x14ac:dyDescent="0.25">
      <c r="A6" t="s">
        <v>1886</v>
      </c>
      <c r="B6" s="9">
        <v>-7.0611691199999749</v>
      </c>
      <c r="C6" s="9">
        <v>-7.0611691199999749</v>
      </c>
    </row>
    <row r="7" spans="1:3" x14ac:dyDescent="0.25">
      <c r="A7" t="s">
        <v>1800</v>
      </c>
      <c r="B7" s="9">
        <v>-0.82641419000000138</v>
      </c>
      <c r="C7" s="9">
        <v>-0.79892258441351893</v>
      </c>
    </row>
    <row r="8" spans="1:3" x14ac:dyDescent="0.25">
      <c r="A8" t="s">
        <v>1799</v>
      </c>
      <c r="B8" s="9">
        <v>-2.4887236599999962</v>
      </c>
      <c r="C8" s="9">
        <v>-5.4248355633996006</v>
      </c>
    </row>
    <row r="9" spans="1:3" x14ac:dyDescent="0.25">
      <c r="A9" t="s">
        <v>1882</v>
      </c>
      <c r="B9" s="9">
        <v>-89.223301379999995</v>
      </c>
      <c r="C9" s="9">
        <v>-68.314787599999974</v>
      </c>
    </row>
    <row r="10" spans="1:3" x14ac:dyDescent="0.25">
      <c r="A10" t="s">
        <v>1878</v>
      </c>
      <c r="B10" s="9">
        <v>-138.67363238999999</v>
      </c>
      <c r="C10" s="9">
        <v>-114.98840888000004</v>
      </c>
    </row>
    <row r="11" spans="1:3" x14ac:dyDescent="0.25">
      <c r="A11" t="s">
        <v>1884</v>
      </c>
      <c r="B11" s="9">
        <v>-7.3314559100000265</v>
      </c>
      <c r="C11" s="9">
        <v>-10.126505439999999</v>
      </c>
    </row>
    <row r="12" spans="1:3" x14ac:dyDescent="0.25">
      <c r="A12" t="s">
        <v>1835</v>
      </c>
      <c r="B12" s="9">
        <v>0</v>
      </c>
      <c r="C12" s="9">
        <v>0</v>
      </c>
    </row>
    <row r="13" spans="1:3" x14ac:dyDescent="0.25">
      <c r="A13" t="s">
        <v>1834</v>
      </c>
      <c r="B13" s="9">
        <v>0</v>
      </c>
      <c r="C13" s="9">
        <v>0</v>
      </c>
    </row>
    <row r="14" spans="1:3" x14ac:dyDescent="0.25">
      <c r="A14" t="s">
        <v>1791</v>
      </c>
      <c r="B14" s="9">
        <v>-1.3859767000000178</v>
      </c>
      <c r="C14" s="9">
        <v>-4.8674646900000011</v>
      </c>
    </row>
    <row r="15" spans="1:3" x14ac:dyDescent="0.25">
      <c r="A15" t="s">
        <v>209</v>
      </c>
      <c r="B15" s="9">
        <v>-1.8619050799999981</v>
      </c>
      <c r="C15" s="9">
        <v>-1.1998127503379725</v>
      </c>
    </row>
    <row r="16" spans="1:3" x14ac:dyDescent="0.25">
      <c r="A16" t="s">
        <v>271</v>
      </c>
      <c r="B16" s="9">
        <v>-4.3407969299999474</v>
      </c>
      <c r="C16" s="9">
        <v>-6.5852741259017717</v>
      </c>
    </row>
    <row r="17" spans="1:3" x14ac:dyDescent="0.25">
      <c r="A17" t="s">
        <v>270</v>
      </c>
      <c r="B17" s="9">
        <v>0.85909411999994512</v>
      </c>
      <c r="C17" s="9">
        <v>-4.4015434198297569</v>
      </c>
    </row>
    <row r="18" spans="1:3" x14ac:dyDescent="0.25">
      <c r="A18" t="s">
        <v>1857</v>
      </c>
      <c r="B18" s="9">
        <v>-14.474433773006133</v>
      </c>
      <c r="C18" s="9">
        <v>-14.474433773006133</v>
      </c>
    </row>
    <row r="19" spans="1:3" x14ac:dyDescent="0.25">
      <c r="A19" t="s">
        <v>1837</v>
      </c>
      <c r="B19" s="9">
        <v>118.68121780999994</v>
      </c>
      <c r="C19" s="9">
        <v>-136.91223576999997</v>
      </c>
    </row>
    <row r="20" spans="1:3" x14ac:dyDescent="0.25">
      <c r="B20"/>
      <c r="C20"/>
    </row>
    <row r="21" spans="1:3" x14ac:dyDescent="0.25">
      <c r="B21"/>
      <c r="C21"/>
    </row>
    <row r="22" spans="1:3" x14ac:dyDescent="0.25">
      <c r="B22"/>
      <c r="C22"/>
    </row>
    <row r="23" spans="1:3" x14ac:dyDescent="0.25">
      <c r="B23"/>
      <c r="C23"/>
    </row>
    <row r="24" spans="1:3" x14ac:dyDescent="0.25">
      <c r="B24"/>
      <c r="C24"/>
    </row>
    <row r="25" spans="1:3" x14ac:dyDescent="0.25">
      <c r="B25"/>
      <c r="C25"/>
    </row>
    <row r="26" spans="1:3" x14ac:dyDescent="0.25">
      <c r="B26"/>
      <c r="C26"/>
    </row>
    <row r="27" spans="1:3" x14ac:dyDescent="0.25">
      <c r="B27"/>
      <c r="C27"/>
    </row>
    <row r="28" spans="1:3" x14ac:dyDescent="0.25">
      <c r="B28"/>
      <c r="C28"/>
    </row>
    <row r="29" spans="1:3" x14ac:dyDescent="0.25">
      <c r="B29"/>
      <c r="C29"/>
    </row>
    <row r="30" spans="1:3" x14ac:dyDescent="0.25">
      <c r="B30"/>
      <c r="C30"/>
    </row>
    <row r="31" spans="1:3" x14ac:dyDescent="0.25">
      <c r="B31"/>
      <c r="C31"/>
    </row>
    <row r="32" spans="1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pageMargins left="0.7" right="0.7" top="0.75" bottom="0.75" header="0.3" footer="0.3"/>
  <pageSetup paperSize="9" orientation="portrait" verticalDpi="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A33"/>
  <sheetViews>
    <sheetView workbookViewId="0">
      <selection activeCell="A24" sqref="A24"/>
    </sheetView>
  </sheetViews>
  <sheetFormatPr defaultRowHeight="15" x14ac:dyDescent="0.25"/>
  <cols>
    <col min="1" max="1" width="74.7109375" customWidth="1"/>
    <col min="2" max="2" width="18" customWidth="1"/>
  </cols>
  <sheetData>
    <row r="3" spans="1:1" x14ac:dyDescent="0.25">
      <c r="A3" s="10" t="s">
        <v>265</v>
      </c>
    </row>
    <row r="4" spans="1:1" x14ac:dyDescent="0.25">
      <c r="A4" t="s">
        <v>221</v>
      </c>
    </row>
    <row r="5" spans="1:1" x14ac:dyDescent="0.25">
      <c r="A5" t="s">
        <v>1753</v>
      </c>
    </row>
    <row r="6" spans="1:1" x14ac:dyDescent="0.25">
      <c r="A6" t="s">
        <v>166</v>
      </c>
    </row>
    <row r="7" spans="1:1" x14ac:dyDescent="0.25">
      <c r="A7" t="s">
        <v>220</v>
      </c>
    </row>
    <row r="8" spans="1:1" x14ac:dyDescent="0.25">
      <c r="A8" t="s">
        <v>200</v>
      </c>
    </row>
    <row r="9" spans="1:1" x14ac:dyDescent="0.25">
      <c r="A9" t="s">
        <v>219</v>
      </c>
    </row>
    <row r="10" spans="1:1" x14ac:dyDescent="0.25">
      <c r="A10" t="s">
        <v>223</v>
      </c>
    </row>
    <row r="11" spans="1:1" x14ac:dyDescent="0.25">
      <c r="A11" t="s">
        <v>1751</v>
      </c>
    </row>
    <row r="12" spans="1:1" x14ac:dyDescent="0.25">
      <c r="A12" t="s">
        <v>172</v>
      </c>
    </row>
    <row r="13" spans="1:1" x14ac:dyDescent="0.25">
      <c r="A13" t="s">
        <v>224</v>
      </c>
    </row>
    <row r="14" spans="1:1" x14ac:dyDescent="0.25">
      <c r="A14" t="s">
        <v>225</v>
      </c>
    </row>
    <row r="15" spans="1:1" x14ac:dyDescent="0.25">
      <c r="A15" t="s">
        <v>189</v>
      </c>
    </row>
    <row r="16" spans="1:1" x14ac:dyDescent="0.25">
      <c r="A16" t="s">
        <v>212</v>
      </c>
    </row>
    <row r="17" spans="1:1" x14ac:dyDescent="0.25">
      <c r="A17" t="s">
        <v>211</v>
      </c>
    </row>
    <row r="18" spans="1:1" x14ac:dyDescent="0.25">
      <c r="A18" t="s">
        <v>208</v>
      </c>
    </row>
    <row r="19" spans="1:1" x14ac:dyDescent="0.25">
      <c r="A19" t="s">
        <v>193</v>
      </c>
    </row>
    <row r="20" spans="1:1" x14ac:dyDescent="0.25">
      <c r="A20" t="s">
        <v>184</v>
      </c>
    </row>
    <row r="21" spans="1:1" x14ac:dyDescent="0.25">
      <c r="A21" t="s">
        <v>176</v>
      </c>
    </row>
    <row r="22" spans="1:1" x14ac:dyDescent="0.25">
      <c r="A22" t="s">
        <v>1797</v>
      </c>
    </row>
    <row r="23" spans="1:1" x14ac:dyDescent="0.25">
      <c r="A23" t="s">
        <v>1794</v>
      </c>
    </row>
    <row r="24" spans="1:1" x14ac:dyDescent="0.25">
      <c r="A24" t="s">
        <v>1798</v>
      </c>
    </row>
    <row r="25" spans="1:1" x14ac:dyDescent="0.25">
      <c r="A25" t="s">
        <v>1800</v>
      </c>
    </row>
    <row r="26" spans="1:1" x14ac:dyDescent="0.25">
      <c r="A26" t="s">
        <v>216</v>
      </c>
    </row>
    <row r="27" spans="1:1" x14ac:dyDescent="0.25">
      <c r="A27" t="s">
        <v>227</v>
      </c>
    </row>
    <row r="28" spans="1:1" x14ac:dyDescent="0.25">
      <c r="A28" t="s">
        <v>259</v>
      </c>
    </row>
    <row r="29" spans="1:1" x14ac:dyDescent="0.25">
      <c r="A29" t="s">
        <v>215</v>
      </c>
    </row>
    <row r="30" spans="1:1" x14ac:dyDescent="0.25">
      <c r="A30" t="s">
        <v>1791</v>
      </c>
    </row>
    <row r="31" spans="1:1" x14ac:dyDescent="0.25">
      <c r="A31" t="s">
        <v>209</v>
      </c>
    </row>
    <row r="32" spans="1:1" x14ac:dyDescent="0.25">
      <c r="A32" t="s">
        <v>271</v>
      </c>
    </row>
    <row r="33" spans="1:1" x14ac:dyDescent="0.25">
      <c r="A33" t="s">
        <v>270</v>
      </c>
    </row>
  </sheetData>
  <pageMargins left="0.7" right="0.7" top="0.75" bottom="0.75" header="0.3" footer="0.3"/>
  <pageSetup paperSize="9" orientation="portrait" verticalDpi="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A52"/>
  <sheetViews>
    <sheetView topLeftCell="B4" workbookViewId="0">
      <selection activeCell="W12" sqref="W12"/>
    </sheetView>
  </sheetViews>
  <sheetFormatPr defaultRowHeight="15" x14ac:dyDescent="0.25"/>
  <cols>
    <col min="1" max="1" width="58.140625" bestFit="1" customWidth="1"/>
    <col min="2" max="2" width="23.28515625" bestFit="1" customWidth="1"/>
  </cols>
  <sheetData>
    <row r="3" spans="1:1" x14ac:dyDescent="0.25">
      <c r="A3" s="10" t="s">
        <v>265</v>
      </c>
    </row>
    <row r="4" spans="1:1" x14ac:dyDescent="0.25">
      <c r="A4" t="s">
        <v>167</v>
      </c>
    </row>
    <row r="5" spans="1:1" x14ac:dyDescent="0.25">
      <c r="A5" t="s">
        <v>205</v>
      </c>
    </row>
    <row r="6" spans="1:1" x14ac:dyDescent="0.25">
      <c r="A6" t="s">
        <v>206</v>
      </c>
    </row>
    <row r="7" spans="1:1" x14ac:dyDescent="0.25">
      <c r="A7" t="s">
        <v>173</v>
      </c>
    </row>
    <row r="8" spans="1:1" x14ac:dyDescent="0.25">
      <c r="A8" t="s">
        <v>177</v>
      </c>
    </row>
    <row r="9" spans="1:1" x14ac:dyDescent="0.25">
      <c r="A9" t="s">
        <v>174</v>
      </c>
    </row>
    <row r="10" spans="1:1" x14ac:dyDescent="0.25">
      <c r="A10" t="s">
        <v>169</v>
      </c>
    </row>
    <row r="11" spans="1:1" x14ac:dyDescent="0.25">
      <c r="A11" t="s">
        <v>160</v>
      </c>
    </row>
    <row r="12" spans="1:1" x14ac:dyDescent="0.25">
      <c r="A12" t="s">
        <v>162</v>
      </c>
    </row>
    <row r="13" spans="1:1" x14ac:dyDescent="0.25">
      <c r="A13" t="s">
        <v>204</v>
      </c>
    </row>
    <row r="14" spans="1:1" x14ac:dyDescent="0.25">
      <c r="A14" t="s">
        <v>182</v>
      </c>
    </row>
    <row r="15" spans="1:1" x14ac:dyDescent="0.25">
      <c r="A15" t="s">
        <v>171</v>
      </c>
    </row>
    <row r="16" spans="1:1" x14ac:dyDescent="0.25">
      <c r="A16" t="s">
        <v>180</v>
      </c>
    </row>
    <row r="17" spans="1:1" x14ac:dyDescent="0.25">
      <c r="A17" t="s">
        <v>179</v>
      </c>
    </row>
    <row r="18" spans="1:1" x14ac:dyDescent="0.25">
      <c r="A18" t="s">
        <v>181</v>
      </c>
    </row>
    <row r="19" spans="1:1" x14ac:dyDescent="0.25">
      <c r="A19" t="s">
        <v>183</v>
      </c>
    </row>
    <row r="20" spans="1:1" x14ac:dyDescent="0.25">
      <c r="A20" t="s">
        <v>203</v>
      </c>
    </row>
    <row r="21" spans="1:1" x14ac:dyDescent="0.25">
      <c r="A21" t="s">
        <v>170</v>
      </c>
    </row>
    <row r="22" spans="1:1" x14ac:dyDescent="0.25">
      <c r="A22" t="s">
        <v>222</v>
      </c>
    </row>
    <row r="23" spans="1:1" x14ac:dyDescent="0.25">
      <c r="A23" t="s">
        <v>168</v>
      </c>
    </row>
    <row r="24" spans="1:1" x14ac:dyDescent="0.25">
      <c r="A24" t="s">
        <v>188</v>
      </c>
    </row>
    <row r="25" spans="1:1" x14ac:dyDescent="0.25">
      <c r="A25" t="s">
        <v>163</v>
      </c>
    </row>
    <row r="26" spans="1:1" x14ac:dyDescent="0.25">
      <c r="A26" t="s">
        <v>212</v>
      </c>
    </row>
    <row r="27" spans="1:1" x14ac:dyDescent="0.25">
      <c r="A27" t="s">
        <v>211</v>
      </c>
    </row>
    <row r="28" spans="1:1" x14ac:dyDescent="0.25">
      <c r="A28" t="s">
        <v>164</v>
      </c>
    </row>
    <row r="29" spans="1:1" x14ac:dyDescent="0.25">
      <c r="A29" t="s">
        <v>228</v>
      </c>
    </row>
    <row r="30" spans="1:1" x14ac:dyDescent="0.25">
      <c r="A30" t="s">
        <v>158</v>
      </c>
    </row>
    <row r="31" spans="1:1" x14ac:dyDescent="0.25">
      <c r="A31" t="s">
        <v>159</v>
      </c>
    </row>
    <row r="32" spans="1:1" x14ac:dyDescent="0.25">
      <c r="A32" t="s">
        <v>161</v>
      </c>
    </row>
    <row r="33" spans="1:1" x14ac:dyDescent="0.25">
      <c r="A33" t="s">
        <v>194</v>
      </c>
    </row>
    <row r="34" spans="1:1" x14ac:dyDescent="0.25">
      <c r="A34" t="s">
        <v>202</v>
      </c>
    </row>
    <row r="35" spans="1:1" x14ac:dyDescent="0.25">
      <c r="A35" t="s">
        <v>196</v>
      </c>
    </row>
    <row r="36" spans="1:1" x14ac:dyDescent="0.25">
      <c r="A36" t="s">
        <v>201</v>
      </c>
    </row>
    <row r="37" spans="1:1" x14ac:dyDescent="0.25">
      <c r="A37" t="s">
        <v>190</v>
      </c>
    </row>
    <row r="38" spans="1:1" x14ac:dyDescent="0.25">
      <c r="A38" t="s">
        <v>199</v>
      </c>
    </row>
    <row r="39" spans="1:1" x14ac:dyDescent="0.25">
      <c r="A39" t="s">
        <v>186</v>
      </c>
    </row>
    <row r="40" spans="1:1" x14ac:dyDescent="0.25">
      <c r="A40" t="s">
        <v>187</v>
      </c>
    </row>
    <row r="41" spans="1:1" x14ac:dyDescent="0.25">
      <c r="A41" t="s">
        <v>185</v>
      </c>
    </row>
    <row r="42" spans="1:1" x14ac:dyDescent="0.25">
      <c r="A42" t="s">
        <v>217</v>
      </c>
    </row>
    <row r="43" spans="1:1" x14ac:dyDescent="0.25">
      <c r="A43" t="s">
        <v>191</v>
      </c>
    </row>
    <row r="44" spans="1:1" x14ac:dyDescent="0.25">
      <c r="A44" t="s">
        <v>197</v>
      </c>
    </row>
    <row r="45" spans="1:1" x14ac:dyDescent="0.25">
      <c r="A45" t="s">
        <v>218</v>
      </c>
    </row>
    <row r="46" spans="1:1" x14ac:dyDescent="0.25">
      <c r="A46" t="s">
        <v>214</v>
      </c>
    </row>
    <row r="47" spans="1:1" x14ac:dyDescent="0.25">
      <c r="A47" t="s">
        <v>207</v>
      </c>
    </row>
    <row r="48" spans="1:1" x14ac:dyDescent="0.25">
      <c r="A48" t="s">
        <v>175</v>
      </c>
    </row>
    <row r="49" spans="1:1" x14ac:dyDescent="0.25">
      <c r="A49" t="s">
        <v>178</v>
      </c>
    </row>
    <row r="50" spans="1:1" x14ac:dyDescent="0.25">
      <c r="A50" t="s">
        <v>176</v>
      </c>
    </row>
    <row r="51" spans="1:1" x14ac:dyDescent="0.25">
      <c r="A51" t="s">
        <v>198</v>
      </c>
    </row>
    <row r="52" spans="1:1" x14ac:dyDescent="0.25">
      <c r="A52" t="s">
        <v>195</v>
      </c>
    </row>
  </sheetData>
  <pageMargins left="0.7" right="0.7" top="0.75" bottom="0.75" header="0.3" footer="0.3"/>
  <pageSetup paperSize="9" orientation="portrait" verticalDpi="0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G37"/>
  <sheetViews>
    <sheetView workbookViewId="0">
      <selection activeCell="B24" sqref="B24"/>
    </sheetView>
  </sheetViews>
  <sheetFormatPr defaultRowHeight="15" x14ac:dyDescent="0.25"/>
  <cols>
    <col min="1" max="1" width="18.28515625" customWidth="1"/>
    <col min="2" max="2" width="16.28515625" style="14" customWidth="1"/>
    <col min="3" max="3" width="8" style="14" bestFit="1" customWidth="1"/>
    <col min="4" max="4" width="10.42578125" bestFit="1" customWidth="1"/>
    <col min="5" max="5" width="8" bestFit="1" customWidth="1"/>
    <col min="6" max="6" width="20.7109375" customWidth="1"/>
    <col min="7" max="7" width="32.5703125" customWidth="1"/>
    <col min="8" max="8" width="20.7109375" bestFit="1" customWidth="1"/>
    <col min="9" max="9" width="32.5703125" bestFit="1" customWidth="1"/>
  </cols>
  <sheetData>
    <row r="3" spans="1:7" ht="36" customHeight="1" x14ac:dyDescent="0.25">
      <c r="B3" s="10" t="s">
        <v>1889</v>
      </c>
      <c r="C3"/>
    </row>
    <row r="4" spans="1:7" ht="60" hidden="1" x14ac:dyDescent="0.25">
      <c r="B4" s="42" t="s">
        <v>1861</v>
      </c>
      <c r="C4" s="42"/>
      <c r="D4" s="42" t="s">
        <v>1862</v>
      </c>
      <c r="E4" s="42"/>
      <c r="F4" t="s">
        <v>1890</v>
      </c>
      <c r="G4" t="s">
        <v>1891</v>
      </c>
    </row>
    <row r="5" spans="1:7" x14ac:dyDescent="0.25">
      <c r="A5" s="10" t="s">
        <v>1853</v>
      </c>
      <c r="B5" t="s">
        <v>1762</v>
      </c>
      <c r="C5" t="s">
        <v>1820</v>
      </c>
      <c r="D5" t="s">
        <v>1762</v>
      </c>
      <c r="E5" t="s">
        <v>1820</v>
      </c>
    </row>
    <row r="6" spans="1:7" x14ac:dyDescent="0.25">
      <c r="A6" s="12" t="s">
        <v>1774</v>
      </c>
      <c r="B6" s="27">
        <v>-2.977460730000002</v>
      </c>
      <c r="C6" s="27"/>
      <c r="D6" s="27">
        <v>-2.9849540900000036</v>
      </c>
      <c r="E6" s="27"/>
      <c r="F6" s="27">
        <v>-2.977460730000002</v>
      </c>
      <c r="G6" s="27">
        <v>-2.9849540900000036</v>
      </c>
    </row>
    <row r="7" spans="1:7" hidden="1" x14ac:dyDescent="0.25">
      <c r="A7" s="12" t="s">
        <v>1771</v>
      </c>
      <c r="B7" s="27"/>
      <c r="C7" s="27">
        <v>-65.534485890000028</v>
      </c>
      <c r="D7" s="27"/>
      <c r="E7" s="27">
        <v>-44.165264000000001</v>
      </c>
      <c r="F7" s="27">
        <v>-65.534485890000028</v>
      </c>
      <c r="G7" s="27">
        <v>-44.165264000000001</v>
      </c>
    </row>
    <row r="8" spans="1:7" x14ac:dyDescent="0.25">
      <c r="A8" s="12" t="s">
        <v>1772</v>
      </c>
      <c r="B8" s="27"/>
      <c r="C8" s="27">
        <v>-8.7313300000000038E-2</v>
      </c>
      <c r="D8" s="27"/>
      <c r="E8" s="27">
        <v>-1.984E-2</v>
      </c>
      <c r="F8" s="27">
        <v>-8.7313300000000038E-2</v>
      </c>
      <c r="G8" s="27">
        <v>-1.984E-2</v>
      </c>
    </row>
    <row r="9" spans="1:7" x14ac:dyDescent="0.25">
      <c r="A9" s="12" t="s">
        <v>1756</v>
      </c>
      <c r="B9" s="27">
        <v>-7.3841967103152903</v>
      </c>
      <c r="C9" s="27">
        <v>-20.272350039999978</v>
      </c>
      <c r="D9" s="27">
        <v>-5.1672111199999486</v>
      </c>
      <c r="E9" s="27">
        <v>-17.236822119999974</v>
      </c>
      <c r="F9" s="27">
        <v>-27.656546750315268</v>
      </c>
      <c r="G9" s="27">
        <v>-22.404033239999922</v>
      </c>
    </row>
    <row r="10" spans="1:7" x14ac:dyDescent="0.25">
      <c r="A10" s="12" t="s">
        <v>1775</v>
      </c>
      <c r="B10" s="27">
        <v>-14.921085353006134</v>
      </c>
      <c r="C10" s="27">
        <v>-35.84882743</v>
      </c>
      <c r="D10" s="27">
        <v>-18.078060633006139</v>
      </c>
      <c r="E10" s="27">
        <v>100.73189800000002</v>
      </c>
      <c r="F10" s="27">
        <v>-50.769912783006134</v>
      </c>
      <c r="G10" s="27">
        <v>82.653837366993884</v>
      </c>
    </row>
    <row r="11" spans="1:7" x14ac:dyDescent="0.25">
      <c r="A11" s="12" t="s">
        <v>1768</v>
      </c>
      <c r="B11" s="27">
        <v>-26.306785200000004</v>
      </c>
      <c r="C11" s="27">
        <v>-130.64609221999999</v>
      </c>
      <c r="D11" s="27">
        <v>-32.025050100230274</v>
      </c>
      <c r="E11" s="27">
        <v>-120.73859999999999</v>
      </c>
      <c r="F11" s="27">
        <v>-156.95287741999999</v>
      </c>
      <c r="G11" s="27">
        <v>-152.76365010023028</v>
      </c>
    </row>
    <row r="12" spans="1:7" x14ac:dyDescent="0.25">
      <c r="A12" s="12" t="s">
        <v>1769</v>
      </c>
      <c r="B12" s="27">
        <v>25.096397303936381</v>
      </c>
      <c r="C12" s="27">
        <v>-11.949810230000001</v>
      </c>
      <c r="D12" s="27">
        <v>27.735834780000005</v>
      </c>
      <c r="E12" s="27">
        <v>4.694793999999999</v>
      </c>
      <c r="F12" s="27">
        <v>13.146587073936381</v>
      </c>
      <c r="G12" s="27">
        <v>32.430628780000006</v>
      </c>
    </row>
    <row r="13" spans="1:7" x14ac:dyDescent="0.25">
      <c r="A13" s="12" t="s">
        <v>1755</v>
      </c>
      <c r="B13" s="27">
        <v>-11.006051520000002</v>
      </c>
      <c r="C13" s="27">
        <v>-54.349644720000022</v>
      </c>
      <c r="D13" s="27">
        <v>-16.633531450000032</v>
      </c>
      <c r="E13" s="27">
        <v>-57.063288630000002</v>
      </c>
      <c r="F13" s="27">
        <v>-65.355696240000029</v>
      </c>
      <c r="G13" s="27">
        <v>-73.696820080000037</v>
      </c>
    </row>
    <row r="14" spans="1:7" x14ac:dyDescent="0.25">
      <c r="A14" s="12" t="s">
        <v>1770</v>
      </c>
      <c r="B14" s="27">
        <v>-9.8263789832293575</v>
      </c>
      <c r="C14" s="27">
        <v>-3.7120639899999999</v>
      </c>
      <c r="D14" s="27">
        <v>-1.6296295400000511</v>
      </c>
      <c r="E14" s="27">
        <v>-2.638989</v>
      </c>
      <c r="F14" s="27">
        <v>-13.538442973229358</v>
      </c>
      <c r="G14" s="27">
        <v>-4.2686185400000509</v>
      </c>
    </row>
    <row r="15" spans="1:7" x14ac:dyDescent="0.25">
      <c r="A15" s="12" t="s">
        <v>1773</v>
      </c>
      <c r="B15" s="27">
        <v>-335.01256567000001</v>
      </c>
      <c r="C15" s="27">
        <v>-0.67521059999999999</v>
      </c>
      <c r="D15" s="27">
        <v>-420.76861742</v>
      </c>
      <c r="E15" s="27">
        <v>-0.46890500000000002</v>
      </c>
      <c r="F15" s="27">
        <v>-335.68777627000003</v>
      </c>
      <c r="G15" s="27">
        <v>-421.23752242</v>
      </c>
    </row>
    <row r="16" spans="1:7" x14ac:dyDescent="0.25">
      <c r="A16" s="12" t="s">
        <v>1776</v>
      </c>
      <c r="B16" s="27">
        <v>-136.91223576999997</v>
      </c>
      <c r="C16" s="27">
        <v>15.630024119999987</v>
      </c>
      <c r="D16" s="27">
        <v>118.68121780999994</v>
      </c>
      <c r="E16" s="27">
        <v>48.839560349999999</v>
      </c>
      <c r="F16" s="27">
        <v>-121.28221164999998</v>
      </c>
      <c r="G16" s="27">
        <v>167.52077815999994</v>
      </c>
    </row>
    <row r="17" spans="1:7" x14ac:dyDescent="0.25">
      <c r="A17" s="12" t="s">
        <v>1767</v>
      </c>
      <c r="B17" s="27">
        <v>-519.25036263261438</v>
      </c>
      <c r="C17" s="27">
        <v>-307.44577430000004</v>
      </c>
      <c r="D17" s="27">
        <v>-350.87000176323647</v>
      </c>
      <c r="E17" s="27">
        <v>-88.065456399999988</v>
      </c>
      <c r="F17" s="27">
        <v>-826.69613693261442</v>
      </c>
      <c r="G17" s="27">
        <v>-438.93545816323649</v>
      </c>
    </row>
    <row r="18" spans="1:7" x14ac:dyDescent="0.25">
      <c r="B18"/>
      <c r="C18"/>
    </row>
    <row r="19" spans="1:7" x14ac:dyDescent="0.25">
      <c r="B19"/>
      <c r="C19"/>
    </row>
    <row r="20" spans="1:7" x14ac:dyDescent="0.25">
      <c r="B20"/>
      <c r="C20"/>
    </row>
    <row r="21" spans="1:7" x14ac:dyDescent="0.25">
      <c r="B21"/>
      <c r="C21"/>
    </row>
    <row r="22" spans="1:7" x14ac:dyDescent="0.25">
      <c r="B22"/>
      <c r="C22"/>
    </row>
    <row r="23" spans="1:7" x14ac:dyDescent="0.25">
      <c r="B23"/>
      <c r="C23"/>
    </row>
    <row r="24" spans="1:7" x14ac:dyDescent="0.25">
      <c r="B24"/>
      <c r="C24"/>
    </row>
    <row r="25" spans="1:7" x14ac:dyDescent="0.25">
      <c r="B25"/>
      <c r="C25"/>
    </row>
    <row r="26" spans="1:7" x14ac:dyDescent="0.25">
      <c r="B26"/>
      <c r="C26"/>
    </row>
    <row r="27" spans="1:7" x14ac:dyDescent="0.25">
      <c r="B27"/>
      <c r="C27"/>
    </row>
    <row r="28" spans="1:7" x14ac:dyDescent="0.25">
      <c r="B28"/>
      <c r="C28"/>
    </row>
    <row r="29" spans="1:7" x14ac:dyDescent="0.25">
      <c r="B29"/>
      <c r="C29"/>
    </row>
    <row r="30" spans="1:7" x14ac:dyDescent="0.25">
      <c r="B30"/>
      <c r="C30"/>
    </row>
    <row r="31" spans="1:7" x14ac:dyDescent="0.25">
      <c r="B31"/>
      <c r="C31"/>
    </row>
    <row r="32" spans="1:7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pageMargins left="0.7" right="0.7" top="0.75" bottom="0.75" header="0.3" footer="0.3"/>
  <pageSetup paperSize="9" orientation="portrait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D125"/>
  <sheetViews>
    <sheetView workbookViewId="0">
      <selection activeCell="H18" sqref="H18"/>
    </sheetView>
  </sheetViews>
  <sheetFormatPr defaultRowHeight="15" x14ac:dyDescent="0.25"/>
  <cols>
    <col min="1" max="1" width="29.28515625" bestFit="1" customWidth="1"/>
    <col min="2" max="2" width="21.85546875" bestFit="1" customWidth="1"/>
    <col min="3" max="3" width="15.140625" bestFit="1" customWidth="1"/>
    <col min="4" max="4" width="11.85546875" bestFit="1" customWidth="1"/>
  </cols>
  <sheetData>
    <row r="3" spans="1:4" x14ac:dyDescent="0.25">
      <c r="A3" s="10" t="s">
        <v>1765</v>
      </c>
    </row>
    <row r="4" spans="1:4" x14ac:dyDescent="0.25">
      <c r="A4" s="10" t="s">
        <v>1744</v>
      </c>
      <c r="B4" s="10" t="s">
        <v>1745</v>
      </c>
      <c r="C4" s="10" t="s">
        <v>264</v>
      </c>
      <c r="D4" t="s">
        <v>1777</v>
      </c>
    </row>
    <row r="5" spans="1:4" x14ac:dyDescent="0.25">
      <c r="A5" t="s">
        <v>1754</v>
      </c>
      <c r="B5" t="s">
        <v>1756</v>
      </c>
      <c r="C5" t="s">
        <v>40</v>
      </c>
      <c r="D5" s="11">
        <v>-338342</v>
      </c>
    </row>
    <row r="6" spans="1:4" x14ac:dyDescent="0.25">
      <c r="C6" t="s">
        <v>87</v>
      </c>
      <c r="D6" s="11">
        <v>0</v>
      </c>
    </row>
    <row r="7" spans="1:4" x14ac:dyDescent="0.25">
      <c r="C7" t="s">
        <v>99</v>
      </c>
      <c r="D7" s="11">
        <v>323</v>
      </c>
    </row>
    <row r="8" spans="1:4" x14ac:dyDescent="0.25">
      <c r="C8" t="s">
        <v>5</v>
      </c>
      <c r="D8" s="11">
        <v>0</v>
      </c>
    </row>
    <row r="9" spans="1:4" x14ac:dyDescent="0.25">
      <c r="C9" t="s">
        <v>120</v>
      </c>
      <c r="D9" s="11">
        <v>-826414.19000000134</v>
      </c>
    </row>
    <row r="10" spans="1:4" x14ac:dyDescent="0.25">
      <c r="C10" t="s">
        <v>116</v>
      </c>
      <c r="D10" s="11">
        <v>-4340796.9299999475</v>
      </c>
    </row>
    <row r="11" spans="1:4" x14ac:dyDescent="0.25">
      <c r="C11" t="s">
        <v>26</v>
      </c>
      <c r="D11" s="11">
        <v>-304730</v>
      </c>
    </row>
    <row r="12" spans="1:4" x14ac:dyDescent="0.25">
      <c r="C12" t="s">
        <v>22</v>
      </c>
      <c r="D12" s="11">
        <v>-182213</v>
      </c>
    </row>
    <row r="13" spans="1:4" x14ac:dyDescent="0.25">
      <c r="C13" t="s">
        <v>39</v>
      </c>
      <c r="D13" s="11">
        <v>-1380437</v>
      </c>
    </row>
    <row r="14" spans="1:4" x14ac:dyDescent="0.25">
      <c r="C14" t="s">
        <v>153</v>
      </c>
      <c r="D14" s="11">
        <v>-3214771</v>
      </c>
    </row>
    <row r="15" spans="1:4" x14ac:dyDescent="0.25">
      <c r="C15" t="s">
        <v>15</v>
      </c>
      <c r="D15" s="11">
        <v>-3879674</v>
      </c>
    </row>
    <row r="16" spans="1:4" x14ac:dyDescent="0.25">
      <c r="C16" t="s">
        <v>69</v>
      </c>
      <c r="D16" s="11">
        <v>682015</v>
      </c>
    </row>
    <row r="17" spans="2:4" x14ac:dyDescent="0.25">
      <c r="C17" t="s">
        <v>10</v>
      </c>
      <c r="D17" s="11">
        <v>1073</v>
      </c>
    </row>
    <row r="18" spans="2:4" x14ac:dyDescent="0.25">
      <c r="C18" t="s">
        <v>59</v>
      </c>
      <c r="D18" s="11">
        <v>-286322</v>
      </c>
    </row>
    <row r="19" spans="2:4" x14ac:dyDescent="0.25">
      <c r="C19" t="s">
        <v>55</v>
      </c>
      <c r="D19" s="11">
        <v>-659260</v>
      </c>
    </row>
    <row r="20" spans="2:4" x14ac:dyDescent="0.25">
      <c r="C20" t="s">
        <v>77</v>
      </c>
      <c r="D20" s="11">
        <v>0</v>
      </c>
    </row>
    <row r="21" spans="2:4" x14ac:dyDescent="0.25">
      <c r="C21" t="s">
        <v>18</v>
      </c>
      <c r="D21" s="11">
        <v>0</v>
      </c>
    </row>
    <row r="22" spans="2:4" x14ac:dyDescent="0.25">
      <c r="C22" t="s">
        <v>56</v>
      </c>
      <c r="D22" s="11">
        <v>-613315</v>
      </c>
    </row>
    <row r="23" spans="2:4" x14ac:dyDescent="0.25">
      <c r="C23" t="s">
        <v>1903</v>
      </c>
      <c r="D23" s="11"/>
    </row>
    <row r="24" spans="2:4" x14ac:dyDescent="0.25">
      <c r="C24" t="s">
        <v>1830</v>
      </c>
      <c r="D24" s="11">
        <v>0</v>
      </c>
    </row>
    <row r="25" spans="2:4" x14ac:dyDescent="0.25">
      <c r="C25" t="s">
        <v>1885</v>
      </c>
      <c r="D25" s="11">
        <v>-7061169.119999975</v>
      </c>
    </row>
    <row r="26" spans="2:4" x14ac:dyDescent="0.25">
      <c r="B26" t="s">
        <v>1778</v>
      </c>
      <c r="D26" s="11">
        <v>-22404033.239999924</v>
      </c>
    </row>
    <row r="27" spans="2:4" x14ac:dyDescent="0.25">
      <c r="B27" t="s">
        <v>1775</v>
      </c>
      <c r="D27" s="11">
        <v>86257464.226993859</v>
      </c>
    </row>
    <row r="28" spans="2:4" x14ac:dyDescent="0.25">
      <c r="B28" t="s">
        <v>1768</v>
      </c>
      <c r="C28" t="s">
        <v>14</v>
      </c>
      <c r="D28" s="11">
        <v>-616815</v>
      </c>
    </row>
    <row r="29" spans="2:4" x14ac:dyDescent="0.25">
      <c r="C29" t="s">
        <v>16</v>
      </c>
      <c r="D29" s="11">
        <v>-811947</v>
      </c>
    </row>
    <row r="30" spans="2:4" x14ac:dyDescent="0.25">
      <c r="C30" t="s">
        <v>23</v>
      </c>
      <c r="D30" s="11">
        <v>-299069</v>
      </c>
    </row>
    <row r="31" spans="2:4" x14ac:dyDescent="0.25">
      <c r="C31" t="s">
        <v>244</v>
      </c>
      <c r="D31" s="11">
        <v>3429821.839769721</v>
      </c>
    </row>
    <row r="32" spans="2:4" x14ac:dyDescent="0.25">
      <c r="C32" t="s">
        <v>145</v>
      </c>
      <c r="D32" s="11">
        <v>-1465146</v>
      </c>
    </row>
    <row r="33" spans="2:4" x14ac:dyDescent="0.25">
      <c r="C33" t="s">
        <v>141</v>
      </c>
      <c r="D33" s="11">
        <v>-16022861</v>
      </c>
    </row>
    <row r="34" spans="2:4" x14ac:dyDescent="0.25">
      <c r="C34" t="s">
        <v>86</v>
      </c>
      <c r="D34" s="11">
        <v>-1488772</v>
      </c>
    </row>
    <row r="35" spans="2:4" x14ac:dyDescent="0.25">
      <c r="C35" t="s">
        <v>20</v>
      </c>
      <c r="D35" s="11">
        <v>-62412056</v>
      </c>
    </row>
    <row r="36" spans="2:4" x14ac:dyDescent="0.25">
      <c r="C36" t="s">
        <v>142</v>
      </c>
      <c r="D36" s="11">
        <v>-37621934</v>
      </c>
    </row>
    <row r="37" spans="2:4" x14ac:dyDescent="0.25">
      <c r="B37" t="s">
        <v>1779</v>
      </c>
      <c r="D37" s="11">
        <v>-117308778.16023028</v>
      </c>
    </row>
    <row r="38" spans="2:4" x14ac:dyDescent="0.25">
      <c r="B38" t="s">
        <v>1769</v>
      </c>
      <c r="C38" t="s">
        <v>42</v>
      </c>
      <c r="D38" s="11">
        <v>9459997</v>
      </c>
    </row>
    <row r="39" spans="2:4" x14ac:dyDescent="0.25">
      <c r="C39" t="s">
        <v>131</v>
      </c>
      <c r="D39" s="11">
        <v>32879</v>
      </c>
    </row>
    <row r="40" spans="2:4" x14ac:dyDescent="0.25">
      <c r="C40" t="s">
        <v>7</v>
      </c>
      <c r="D40" s="11">
        <v>0</v>
      </c>
    </row>
    <row r="41" spans="2:4" x14ac:dyDescent="0.25">
      <c r="C41" t="s">
        <v>121</v>
      </c>
      <c r="D41" s="11">
        <v>1644961.7400000021</v>
      </c>
    </row>
    <row r="42" spans="2:4" x14ac:dyDescent="0.25">
      <c r="C42" t="s">
        <v>115</v>
      </c>
      <c r="D42" s="11">
        <v>-1861905.0799999982</v>
      </c>
    </row>
    <row r="43" spans="2:4" x14ac:dyDescent="0.25">
      <c r="C43" t="s">
        <v>106</v>
      </c>
      <c r="D43" s="11">
        <v>2361</v>
      </c>
    </row>
    <row r="44" spans="2:4" x14ac:dyDescent="0.25">
      <c r="C44" t="s">
        <v>38</v>
      </c>
      <c r="D44" s="11">
        <v>-3946471</v>
      </c>
    </row>
    <row r="45" spans="2:4" x14ac:dyDescent="0.25">
      <c r="C45" t="s">
        <v>108</v>
      </c>
      <c r="D45" s="11">
        <v>14288</v>
      </c>
    </row>
    <row r="46" spans="2:4" x14ac:dyDescent="0.25">
      <c r="C46" t="s">
        <v>922</v>
      </c>
      <c r="D46" s="11">
        <v>77644</v>
      </c>
    </row>
    <row r="47" spans="2:4" x14ac:dyDescent="0.25">
      <c r="C47" t="s">
        <v>150</v>
      </c>
      <c r="D47" s="11">
        <v>0</v>
      </c>
    </row>
    <row r="48" spans="2:4" x14ac:dyDescent="0.25">
      <c r="C48" t="s">
        <v>57</v>
      </c>
      <c r="D48" s="11">
        <v>-950039</v>
      </c>
    </row>
    <row r="49" spans="2:4" x14ac:dyDescent="0.25">
      <c r="C49" t="s">
        <v>107</v>
      </c>
      <c r="D49" s="11">
        <v>4135</v>
      </c>
    </row>
    <row r="50" spans="2:4" x14ac:dyDescent="0.25">
      <c r="C50" t="s">
        <v>1905</v>
      </c>
      <c r="D50" s="11"/>
    </row>
    <row r="51" spans="2:4" x14ac:dyDescent="0.25">
      <c r="C51" t="s">
        <v>1831</v>
      </c>
      <c r="D51" s="11">
        <v>0</v>
      </c>
    </row>
    <row r="52" spans="2:4" x14ac:dyDescent="0.25">
      <c r="C52" t="s">
        <v>1948</v>
      </c>
      <c r="D52" s="11">
        <v>27952778.120000001</v>
      </c>
    </row>
    <row r="53" spans="2:4" x14ac:dyDescent="0.25">
      <c r="B53" t="s">
        <v>1780</v>
      </c>
      <c r="D53" s="11">
        <v>32430628.780000005</v>
      </c>
    </row>
    <row r="54" spans="2:4" x14ac:dyDescent="0.25">
      <c r="B54" t="s">
        <v>1770</v>
      </c>
      <c r="C54" t="s">
        <v>51</v>
      </c>
      <c r="D54" s="11">
        <v>-42336</v>
      </c>
    </row>
    <row r="55" spans="2:4" x14ac:dyDescent="0.25">
      <c r="C55" t="s">
        <v>85</v>
      </c>
      <c r="D55" s="11">
        <v>5450</v>
      </c>
    </row>
    <row r="56" spans="2:4" x14ac:dyDescent="0.25">
      <c r="C56" t="s">
        <v>32</v>
      </c>
      <c r="D56" s="11">
        <v>-1129</v>
      </c>
    </row>
    <row r="57" spans="2:4" x14ac:dyDescent="0.25">
      <c r="C57" t="s">
        <v>58</v>
      </c>
      <c r="D57" s="11">
        <v>-9927</v>
      </c>
    </row>
    <row r="58" spans="2:4" x14ac:dyDescent="0.25">
      <c r="C58" t="s">
        <v>105</v>
      </c>
      <c r="D58" s="11">
        <v>1046</v>
      </c>
    </row>
    <row r="59" spans="2:4" x14ac:dyDescent="0.25">
      <c r="C59" t="s">
        <v>119</v>
      </c>
      <c r="D59" s="11">
        <v>-2488723.6599999964</v>
      </c>
    </row>
    <row r="60" spans="2:4" x14ac:dyDescent="0.25">
      <c r="C60" t="s">
        <v>124</v>
      </c>
      <c r="D60" s="11">
        <v>859094.11999994516</v>
      </c>
    </row>
    <row r="61" spans="2:4" x14ac:dyDescent="0.25">
      <c r="C61" t="s">
        <v>49</v>
      </c>
      <c r="D61" s="11">
        <v>-1501878</v>
      </c>
    </row>
    <row r="62" spans="2:4" x14ac:dyDescent="0.25">
      <c r="C62" t="s">
        <v>9</v>
      </c>
      <c r="D62" s="11">
        <v>-17422</v>
      </c>
    </row>
    <row r="63" spans="2:4" x14ac:dyDescent="0.25">
      <c r="C63" t="s">
        <v>127</v>
      </c>
      <c r="D63" s="11">
        <v>0</v>
      </c>
    </row>
    <row r="64" spans="2:4" x14ac:dyDescent="0.25">
      <c r="C64" t="s">
        <v>31</v>
      </c>
      <c r="D64" s="11">
        <v>-597412</v>
      </c>
    </row>
    <row r="65" spans="1:4" x14ac:dyDescent="0.25">
      <c r="C65" t="s">
        <v>104</v>
      </c>
      <c r="D65" s="11">
        <v>-475381</v>
      </c>
    </row>
    <row r="66" spans="1:4" x14ac:dyDescent="0.25">
      <c r="C66" t="s">
        <v>1904</v>
      </c>
      <c r="D66" s="11"/>
    </row>
    <row r="67" spans="1:4" x14ac:dyDescent="0.25">
      <c r="B67" t="s">
        <v>1787</v>
      </c>
      <c r="D67" s="11">
        <v>-4268618.5400000513</v>
      </c>
    </row>
    <row r="68" spans="1:4" x14ac:dyDescent="0.25">
      <c r="A68" t="s">
        <v>1782</v>
      </c>
      <c r="D68" s="11">
        <v>-25293336.933236387</v>
      </c>
    </row>
    <row r="69" spans="1:4" x14ac:dyDescent="0.25">
      <c r="A69" t="s">
        <v>1757</v>
      </c>
      <c r="B69" t="s">
        <v>1771</v>
      </c>
      <c r="C69" t="s">
        <v>1746</v>
      </c>
      <c r="D69" s="11">
        <v>-2123896</v>
      </c>
    </row>
    <row r="70" spans="1:4" x14ac:dyDescent="0.25">
      <c r="C70" t="s">
        <v>64</v>
      </c>
      <c r="D70" s="11">
        <v>-15428341</v>
      </c>
    </row>
    <row r="71" spans="1:4" x14ac:dyDescent="0.25">
      <c r="C71" t="s">
        <v>78</v>
      </c>
      <c r="D71" s="11">
        <v>-24414320</v>
      </c>
    </row>
    <row r="72" spans="1:4" x14ac:dyDescent="0.25">
      <c r="C72" t="s">
        <v>1803</v>
      </c>
      <c r="D72" s="11">
        <v>-6386983</v>
      </c>
    </row>
    <row r="73" spans="1:4" x14ac:dyDescent="0.25">
      <c r="C73" t="s">
        <v>1804</v>
      </c>
      <c r="D73" s="11">
        <v>-4918099</v>
      </c>
    </row>
    <row r="74" spans="1:4" x14ac:dyDescent="0.25">
      <c r="C74" t="s">
        <v>1893</v>
      </c>
      <c r="D74" s="11">
        <v>3955401</v>
      </c>
    </row>
    <row r="75" spans="1:4" x14ac:dyDescent="0.25">
      <c r="C75" t="s">
        <v>1892</v>
      </c>
      <c r="D75" s="11">
        <v>5150974</v>
      </c>
    </row>
    <row r="76" spans="1:4" x14ac:dyDescent="0.25">
      <c r="B76" t="s">
        <v>1783</v>
      </c>
      <c r="D76" s="11">
        <v>-44165264</v>
      </c>
    </row>
    <row r="77" spans="1:4" x14ac:dyDescent="0.25">
      <c r="B77" t="s">
        <v>1772</v>
      </c>
      <c r="D77" s="11">
        <v>-19840</v>
      </c>
    </row>
    <row r="78" spans="1:4" x14ac:dyDescent="0.25">
      <c r="B78" t="s">
        <v>1755</v>
      </c>
      <c r="C78" t="s">
        <v>1731</v>
      </c>
      <c r="D78" s="11">
        <v>-341462.86000000127</v>
      </c>
    </row>
    <row r="79" spans="1:4" x14ac:dyDescent="0.25">
      <c r="C79" t="s">
        <v>1732</v>
      </c>
      <c r="D79" s="11">
        <v>-555952.98</v>
      </c>
    </row>
    <row r="80" spans="1:4" x14ac:dyDescent="0.25">
      <c r="C80" t="s">
        <v>248</v>
      </c>
      <c r="D80" s="11">
        <v>-1737052.79</v>
      </c>
    </row>
    <row r="81" spans="2:4" x14ac:dyDescent="0.25">
      <c r="C81" t="s">
        <v>829</v>
      </c>
      <c r="D81" s="11">
        <v>-1385976.7000000179</v>
      </c>
    </row>
    <row r="82" spans="2:4" x14ac:dyDescent="0.25">
      <c r="C82" t="s">
        <v>149</v>
      </c>
      <c r="D82" s="11">
        <v>-15083516</v>
      </c>
    </row>
    <row r="83" spans="2:4" x14ac:dyDescent="0.25">
      <c r="C83" t="s">
        <v>148</v>
      </c>
      <c r="D83" s="11">
        <v>-15027385</v>
      </c>
    </row>
    <row r="84" spans="2:4" x14ac:dyDescent="0.25">
      <c r="C84" t="s">
        <v>143</v>
      </c>
      <c r="D84" s="11">
        <v>-24317919</v>
      </c>
    </row>
    <row r="85" spans="2:4" x14ac:dyDescent="0.25">
      <c r="C85" t="s">
        <v>1941</v>
      </c>
      <c r="D85" s="11">
        <v>20657.659999981523</v>
      </c>
    </row>
    <row r="86" spans="2:4" x14ac:dyDescent="0.25">
      <c r="B86" t="s">
        <v>1784</v>
      </c>
      <c r="D86" s="11">
        <v>-58428607.670000039</v>
      </c>
    </row>
    <row r="87" spans="2:4" x14ac:dyDescent="0.25">
      <c r="B87" t="s">
        <v>1773</v>
      </c>
      <c r="C87" t="s">
        <v>144</v>
      </c>
      <c r="D87" s="11">
        <v>0</v>
      </c>
    </row>
    <row r="88" spans="2:4" x14ac:dyDescent="0.25">
      <c r="C88" t="s">
        <v>151</v>
      </c>
      <c r="D88" s="11"/>
    </row>
    <row r="89" spans="2:4" x14ac:dyDescent="0.25">
      <c r="C89" t="s">
        <v>136</v>
      </c>
      <c r="D89" s="11"/>
    </row>
    <row r="90" spans="2:4" x14ac:dyDescent="0.25">
      <c r="C90" t="s">
        <v>135</v>
      </c>
      <c r="D90" s="11"/>
    </row>
    <row r="91" spans="2:4" x14ac:dyDescent="0.25">
      <c r="C91" t="s">
        <v>243</v>
      </c>
      <c r="D91" s="11"/>
    </row>
    <row r="92" spans="2:4" x14ac:dyDescent="0.25">
      <c r="C92" t="s">
        <v>37</v>
      </c>
      <c r="D92" s="11">
        <v>-468905</v>
      </c>
    </row>
    <row r="93" spans="2:4" x14ac:dyDescent="0.25">
      <c r="C93" t="s">
        <v>1912</v>
      </c>
      <c r="D93" s="11">
        <v>-18141243.890000001</v>
      </c>
    </row>
    <row r="94" spans="2:4" x14ac:dyDescent="0.25">
      <c r="C94" t="s">
        <v>1922</v>
      </c>
      <c r="D94" s="11">
        <v>-138673632.38999999</v>
      </c>
    </row>
    <row r="95" spans="2:4" x14ac:dyDescent="0.25">
      <c r="C95" t="s">
        <v>1881</v>
      </c>
      <c r="D95" s="11">
        <v>-89223301.379999995</v>
      </c>
    </row>
    <row r="96" spans="2:4" x14ac:dyDescent="0.25">
      <c r="C96" t="s">
        <v>1940</v>
      </c>
      <c r="D96" s="11">
        <v>-7331455.9100000262</v>
      </c>
    </row>
    <row r="97" spans="1:4" x14ac:dyDescent="0.25">
      <c r="C97" t="s">
        <v>1865</v>
      </c>
      <c r="D97" s="11">
        <v>-103514836.18000001</v>
      </c>
    </row>
    <row r="98" spans="1:4" x14ac:dyDescent="0.25">
      <c r="C98" t="s">
        <v>1864</v>
      </c>
      <c r="D98" s="11">
        <v>-63884147.670000017</v>
      </c>
    </row>
    <row r="99" spans="1:4" x14ac:dyDescent="0.25">
      <c r="B99" t="s">
        <v>1788</v>
      </c>
      <c r="D99" s="11">
        <v>-421237522.42000002</v>
      </c>
    </row>
    <row r="100" spans="1:4" x14ac:dyDescent="0.25">
      <c r="B100" t="s">
        <v>1776</v>
      </c>
      <c r="C100" t="s">
        <v>249</v>
      </c>
      <c r="D100" s="11">
        <v>-4642940.6500000004</v>
      </c>
    </row>
    <row r="101" spans="1:4" x14ac:dyDescent="0.25">
      <c r="C101" t="s">
        <v>1733</v>
      </c>
      <c r="D101" s="11">
        <v>0</v>
      </c>
    </row>
    <row r="102" spans="1:4" x14ac:dyDescent="0.25">
      <c r="C102" t="s">
        <v>1752</v>
      </c>
      <c r="D102" s="11">
        <v>0</v>
      </c>
    </row>
    <row r="103" spans="1:4" x14ac:dyDescent="0.25">
      <c r="C103" t="s">
        <v>1838</v>
      </c>
      <c r="D103" s="11">
        <v>118681217.80999994</v>
      </c>
    </row>
    <row r="104" spans="1:4" x14ac:dyDescent="0.25">
      <c r="C104" t="s">
        <v>1866</v>
      </c>
      <c r="D104" s="11">
        <v>40512971</v>
      </c>
    </row>
    <row r="105" spans="1:4" x14ac:dyDescent="0.25">
      <c r="C105" t="s">
        <v>1896</v>
      </c>
      <c r="D105" s="11">
        <v>12969530</v>
      </c>
    </row>
    <row r="106" spans="1:4" x14ac:dyDescent="0.25">
      <c r="C106" t="s">
        <v>1899</v>
      </c>
      <c r="D106" s="11">
        <v>0</v>
      </c>
    </row>
    <row r="107" spans="1:4" x14ac:dyDescent="0.25">
      <c r="B107" t="s">
        <v>1781</v>
      </c>
      <c r="D107" s="11">
        <v>167520778.15999994</v>
      </c>
    </row>
    <row r="108" spans="1:4" x14ac:dyDescent="0.25">
      <c r="A108" t="s">
        <v>1785</v>
      </c>
      <c r="D108" s="11">
        <v>-356330455.93000013</v>
      </c>
    </row>
    <row r="109" spans="1:4" x14ac:dyDescent="0.25">
      <c r="A109" t="s">
        <v>1766</v>
      </c>
      <c r="B109" t="s">
        <v>1774</v>
      </c>
      <c r="D109" s="11">
        <v>-2984954.0900000036</v>
      </c>
    </row>
    <row r="110" spans="1:4" x14ac:dyDescent="0.25">
      <c r="B110" t="s">
        <v>1775</v>
      </c>
      <c r="D110" s="11">
        <v>-3603626.8600000069</v>
      </c>
    </row>
    <row r="111" spans="1:4" x14ac:dyDescent="0.25">
      <c r="B111" t="s">
        <v>1768</v>
      </c>
      <c r="C111" t="s">
        <v>113</v>
      </c>
      <c r="D111" s="11">
        <v>-35454871.939999998</v>
      </c>
    </row>
    <row r="112" spans="1:4" x14ac:dyDescent="0.25">
      <c r="B112" t="s">
        <v>1779</v>
      </c>
      <c r="D112" s="11">
        <v>-35454871.939999998</v>
      </c>
    </row>
    <row r="113" spans="1:4" x14ac:dyDescent="0.25">
      <c r="B113" t="s">
        <v>1755</v>
      </c>
      <c r="C113" t="s">
        <v>72</v>
      </c>
      <c r="D113" s="11">
        <v>-15268212.409999996</v>
      </c>
    </row>
    <row r="114" spans="1:4" x14ac:dyDescent="0.25">
      <c r="B114" t="s">
        <v>1784</v>
      </c>
      <c r="D114" s="11">
        <v>-15268212.409999996</v>
      </c>
    </row>
    <row r="115" spans="1:4" x14ac:dyDescent="0.25">
      <c r="A115" t="s">
        <v>1786</v>
      </c>
      <c r="D115" s="11">
        <v>-57311665.300000004</v>
      </c>
    </row>
    <row r="116" spans="1:4" x14ac:dyDescent="0.25">
      <c r="A116" t="s">
        <v>1868</v>
      </c>
      <c r="B116" t="s">
        <v>1868</v>
      </c>
      <c r="C116" t="s">
        <v>250</v>
      </c>
      <c r="D116" s="11">
        <v>0</v>
      </c>
    </row>
    <row r="117" spans="1:4" x14ac:dyDescent="0.25">
      <c r="C117" t="s">
        <v>252</v>
      </c>
      <c r="D117" s="11">
        <v>0</v>
      </c>
    </row>
    <row r="118" spans="1:4" x14ac:dyDescent="0.25">
      <c r="C118" t="s">
        <v>251</v>
      </c>
      <c r="D118" s="11">
        <v>0</v>
      </c>
    </row>
    <row r="119" spans="1:4" x14ac:dyDescent="0.25">
      <c r="C119" t="s">
        <v>253</v>
      </c>
      <c r="D119" s="11">
        <v>0</v>
      </c>
    </row>
    <row r="120" spans="1:4" x14ac:dyDescent="0.25">
      <c r="C120" t="s">
        <v>1792</v>
      </c>
      <c r="D120" s="11"/>
    </row>
    <row r="121" spans="1:4" x14ac:dyDescent="0.25">
      <c r="C121" t="s">
        <v>1868</v>
      </c>
      <c r="D121" s="11"/>
    </row>
    <row r="122" spans="1:4" x14ac:dyDescent="0.25">
      <c r="C122" t="s">
        <v>1801</v>
      </c>
      <c r="D122" s="11"/>
    </row>
    <row r="123" spans="1:4" x14ac:dyDescent="0.25">
      <c r="B123" t="s">
        <v>1869</v>
      </c>
      <c r="D123" s="11">
        <v>0</v>
      </c>
    </row>
    <row r="124" spans="1:4" x14ac:dyDescent="0.25">
      <c r="A124" t="s">
        <v>1869</v>
      </c>
      <c r="D124" s="11">
        <v>0</v>
      </c>
    </row>
    <row r="125" spans="1:4" x14ac:dyDescent="0.25">
      <c r="A125" t="s">
        <v>1767</v>
      </c>
      <c r="D125" s="11">
        <v>-438935458.16323662</v>
      </c>
    </row>
  </sheetData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671"/>
  <sheetViews>
    <sheetView workbookViewId="0">
      <selection activeCell="F39" sqref="F39"/>
    </sheetView>
  </sheetViews>
  <sheetFormatPr defaultRowHeight="15" x14ac:dyDescent="0.25"/>
  <cols>
    <col min="1" max="1" width="11.42578125"/>
    <col min="2" max="2" width="31.85546875" style="3" bestFit="1" customWidth="1"/>
  </cols>
  <sheetData>
    <row r="1" spans="1:2" x14ac:dyDescent="0.25">
      <c r="A1" s="1" t="s">
        <v>272</v>
      </c>
      <c r="B1" s="2" t="s">
        <v>1729</v>
      </c>
    </row>
    <row r="2" spans="1:2" x14ac:dyDescent="0.25">
      <c r="A2" t="s">
        <v>273</v>
      </c>
      <c r="B2" s="3">
        <v>27804534.98</v>
      </c>
    </row>
    <row r="3" spans="1:2" x14ac:dyDescent="0.25">
      <c r="A3" t="s">
        <v>274</v>
      </c>
      <c r="B3" s="3">
        <v>849369.14</v>
      </c>
    </row>
    <row r="4" spans="1:2" x14ac:dyDescent="0.25">
      <c r="A4" t="s">
        <v>275</v>
      </c>
      <c r="B4" s="3">
        <v>138430468.43000001</v>
      </c>
    </row>
    <row r="5" spans="1:2" x14ac:dyDescent="0.25">
      <c r="A5" t="s">
        <v>276</v>
      </c>
      <c r="B5" s="3">
        <v>32322420</v>
      </c>
    </row>
    <row r="6" spans="1:2" x14ac:dyDescent="0.25">
      <c r="A6" t="s">
        <v>277</v>
      </c>
      <c r="B6" s="3">
        <v>3946939.73</v>
      </c>
    </row>
    <row r="7" spans="1:2" x14ac:dyDescent="0.25">
      <c r="A7" t="s">
        <v>278</v>
      </c>
      <c r="B7" s="3">
        <v>13352727.74</v>
      </c>
    </row>
    <row r="8" spans="1:2" x14ac:dyDescent="0.25">
      <c r="A8" t="s">
        <v>279</v>
      </c>
      <c r="B8" s="3">
        <v>13352727.74</v>
      </c>
    </row>
    <row r="9" spans="1:2" x14ac:dyDescent="0.25">
      <c r="A9" t="s">
        <v>280</v>
      </c>
      <c r="B9" s="3">
        <v>3533283.16</v>
      </c>
    </row>
    <row r="10" spans="1:2" x14ac:dyDescent="0.25">
      <c r="A10" t="s">
        <v>281</v>
      </c>
      <c r="B10" s="3">
        <v>290865973.00999999</v>
      </c>
    </row>
    <row r="11" spans="1:2" x14ac:dyDescent="0.25">
      <c r="A11" t="s">
        <v>282</v>
      </c>
      <c r="B11" s="3">
        <v>206625614.5</v>
      </c>
    </row>
    <row r="12" spans="1:2" x14ac:dyDescent="0.25">
      <c r="A12" t="s">
        <v>283</v>
      </c>
      <c r="B12" s="3">
        <v>442763303.01999998</v>
      </c>
    </row>
    <row r="13" spans="1:2" x14ac:dyDescent="0.25">
      <c r="A13" t="s">
        <v>284</v>
      </c>
      <c r="B13" s="3">
        <v>378907897.60000002</v>
      </c>
    </row>
    <row r="14" spans="1:2" x14ac:dyDescent="0.25">
      <c r="A14" t="s">
        <v>285</v>
      </c>
    </row>
    <row r="15" spans="1:2" x14ac:dyDescent="0.25">
      <c r="A15" t="s">
        <v>286</v>
      </c>
      <c r="B15" s="3">
        <v>38184641.609999999</v>
      </c>
    </row>
    <row r="16" spans="1:2" x14ac:dyDescent="0.25">
      <c r="A16" t="s">
        <v>287</v>
      </c>
      <c r="B16" s="3">
        <v>27770578.09</v>
      </c>
    </row>
    <row r="17" spans="1:2" x14ac:dyDescent="0.25">
      <c r="A17" t="s">
        <v>288</v>
      </c>
      <c r="B17" s="3">
        <v>11473666.08</v>
      </c>
    </row>
    <row r="18" spans="1:2" x14ac:dyDescent="0.25">
      <c r="A18" t="s">
        <v>289</v>
      </c>
      <c r="B18" s="3">
        <v>25893408.030000001</v>
      </c>
    </row>
    <row r="19" spans="1:2" x14ac:dyDescent="0.25">
      <c r="A19" t="s">
        <v>290</v>
      </c>
      <c r="B19" s="3">
        <v>23766298.260000002</v>
      </c>
    </row>
    <row r="20" spans="1:2" x14ac:dyDescent="0.25">
      <c r="A20" t="s">
        <v>291</v>
      </c>
      <c r="B20" s="3">
        <v>336342776.25</v>
      </c>
    </row>
    <row r="21" spans="1:2" x14ac:dyDescent="0.25">
      <c r="A21" t="s">
        <v>292</v>
      </c>
      <c r="B21" s="3">
        <v>336342776.25</v>
      </c>
    </row>
    <row r="22" spans="1:2" x14ac:dyDescent="0.25">
      <c r="A22" t="s">
        <v>293</v>
      </c>
      <c r="B22" s="3">
        <v>36112109.340000004</v>
      </c>
    </row>
    <row r="23" spans="1:2" x14ac:dyDescent="0.25">
      <c r="A23" t="s">
        <v>294</v>
      </c>
      <c r="B23" s="3">
        <v>36112109.340000004</v>
      </c>
    </row>
    <row r="24" spans="1:2" x14ac:dyDescent="0.25">
      <c r="A24" t="s">
        <v>295</v>
      </c>
      <c r="B24" s="3">
        <v>51147818.350000001</v>
      </c>
    </row>
    <row r="25" spans="1:2" x14ac:dyDescent="0.25">
      <c r="A25" t="s">
        <v>296</v>
      </c>
      <c r="B25" s="3">
        <v>8001635.96</v>
      </c>
    </row>
    <row r="26" spans="1:2" x14ac:dyDescent="0.25">
      <c r="A26" t="s">
        <v>297</v>
      </c>
      <c r="B26" s="3">
        <v>8001635.96</v>
      </c>
    </row>
    <row r="27" spans="1:2" x14ac:dyDescent="0.25">
      <c r="A27" t="s">
        <v>298</v>
      </c>
      <c r="B27" s="3">
        <v>4753355.6100000003</v>
      </c>
    </row>
    <row r="28" spans="1:2" x14ac:dyDescent="0.25">
      <c r="A28" t="s">
        <v>299</v>
      </c>
      <c r="B28" s="3">
        <v>4753355.6100000003</v>
      </c>
    </row>
    <row r="29" spans="1:2" x14ac:dyDescent="0.25">
      <c r="A29" t="s">
        <v>300</v>
      </c>
      <c r="B29" s="3">
        <v>46148364.259999998</v>
      </c>
    </row>
    <row r="30" spans="1:2" x14ac:dyDescent="0.25">
      <c r="A30" t="s">
        <v>301</v>
      </c>
      <c r="B30" s="3">
        <v>46148364.259999998</v>
      </c>
    </row>
    <row r="31" spans="1:2" x14ac:dyDescent="0.25">
      <c r="A31" t="s">
        <v>302</v>
      </c>
      <c r="B31" s="3">
        <v>25362145.940000001</v>
      </c>
    </row>
    <row r="32" spans="1:2" x14ac:dyDescent="0.25">
      <c r="A32" t="s">
        <v>303</v>
      </c>
      <c r="B32" s="3">
        <v>25362145.940000001</v>
      </c>
    </row>
    <row r="33" spans="1:2" x14ac:dyDescent="0.25">
      <c r="A33" t="s">
        <v>304</v>
      </c>
      <c r="B33" s="3">
        <v>25362145.940000001</v>
      </c>
    </row>
    <row r="34" spans="1:2" x14ac:dyDescent="0.25">
      <c r="A34" t="s">
        <v>305</v>
      </c>
      <c r="B34" s="3">
        <v>2323085.09</v>
      </c>
    </row>
    <row r="35" spans="1:2" x14ac:dyDescent="0.25">
      <c r="A35" t="s">
        <v>306</v>
      </c>
      <c r="B35" s="3">
        <v>76960838.209999993</v>
      </c>
    </row>
    <row r="37" spans="1:2" x14ac:dyDescent="0.25">
      <c r="A37" t="s">
        <v>307</v>
      </c>
      <c r="B37" s="3">
        <v>76960838.209999993</v>
      </c>
    </row>
    <row r="38" spans="1:2" x14ac:dyDescent="0.25">
      <c r="A38" t="s">
        <v>308</v>
      </c>
      <c r="B38" s="3">
        <v>14943332.779999999</v>
      </c>
    </row>
    <row r="39" spans="1:2" x14ac:dyDescent="0.25">
      <c r="A39" t="s">
        <v>309</v>
      </c>
      <c r="B39" s="3">
        <v>49484990.710000001</v>
      </c>
    </row>
    <row r="40" spans="1:2" x14ac:dyDescent="0.25">
      <c r="A40" t="s">
        <v>310</v>
      </c>
      <c r="B40" s="3">
        <v>49695034.990000002</v>
      </c>
    </row>
    <row r="41" spans="1:2" x14ac:dyDescent="0.25">
      <c r="A41" t="s">
        <v>311</v>
      </c>
      <c r="B41" s="3">
        <v>25708336.43</v>
      </c>
    </row>
    <row r="42" spans="1:2" x14ac:dyDescent="0.25">
      <c r="A42" t="s">
        <v>312</v>
      </c>
      <c r="B42" s="3">
        <v>9142641.5999999996</v>
      </c>
    </row>
    <row r="43" spans="1:2" x14ac:dyDescent="0.25">
      <c r="A43" t="s">
        <v>313</v>
      </c>
      <c r="B43" s="3">
        <v>9142641.5999999996</v>
      </c>
    </row>
    <row r="44" spans="1:2" x14ac:dyDescent="0.25">
      <c r="A44" t="s">
        <v>314</v>
      </c>
      <c r="B44" s="3">
        <v>12680698.26</v>
      </c>
    </row>
    <row r="45" spans="1:2" x14ac:dyDescent="0.25">
      <c r="A45" t="s">
        <v>315</v>
      </c>
      <c r="B45" s="3">
        <v>12680698.26</v>
      </c>
    </row>
    <row r="46" spans="1:2" x14ac:dyDescent="0.25">
      <c r="A46" t="s">
        <v>316</v>
      </c>
      <c r="B46" s="3">
        <v>21641258.940000001</v>
      </c>
    </row>
    <row r="47" spans="1:2" x14ac:dyDescent="0.25">
      <c r="A47" t="s">
        <v>317</v>
      </c>
      <c r="B47" s="3">
        <v>21641258.940000001</v>
      </c>
    </row>
    <row r="48" spans="1:2" x14ac:dyDescent="0.25">
      <c r="A48" t="s">
        <v>318</v>
      </c>
      <c r="B48" s="3">
        <v>21641258.940000001</v>
      </c>
    </row>
    <row r="49" spans="1:2" x14ac:dyDescent="0.25">
      <c r="A49" t="s">
        <v>319</v>
      </c>
      <c r="B49" s="3">
        <v>21641258.940000001</v>
      </c>
    </row>
    <row r="50" spans="1:2" x14ac:dyDescent="0.25">
      <c r="A50" t="s">
        <v>320</v>
      </c>
      <c r="B50" s="3">
        <v>63284152.030000001</v>
      </c>
    </row>
    <row r="51" spans="1:2" x14ac:dyDescent="0.25">
      <c r="A51" t="s">
        <v>321</v>
      </c>
      <c r="B51" s="3">
        <v>63284152.030000001</v>
      </c>
    </row>
    <row r="52" spans="1:2" x14ac:dyDescent="0.25">
      <c r="A52" t="s">
        <v>322</v>
      </c>
      <c r="B52" s="3">
        <v>63284152.030000001</v>
      </c>
    </row>
    <row r="53" spans="1:2" x14ac:dyDescent="0.25">
      <c r="A53" t="s">
        <v>323</v>
      </c>
      <c r="B53" s="3">
        <v>29612650.57</v>
      </c>
    </row>
    <row r="54" spans="1:2" x14ac:dyDescent="0.25">
      <c r="A54" t="s">
        <v>324</v>
      </c>
      <c r="B54" s="3">
        <v>29612650.57</v>
      </c>
    </row>
    <row r="55" spans="1:2" x14ac:dyDescent="0.25">
      <c r="A55" t="s">
        <v>325</v>
      </c>
      <c r="B55" s="3">
        <v>29612650.57</v>
      </c>
    </row>
    <row r="56" spans="1:2" x14ac:dyDescent="0.25">
      <c r="A56" t="s">
        <v>326</v>
      </c>
      <c r="B56" s="3">
        <v>29612650.57</v>
      </c>
    </row>
    <row r="57" spans="1:2" x14ac:dyDescent="0.25">
      <c r="A57" t="s">
        <v>327</v>
      </c>
      <c r="B57" s="3">
        <v>29612650.57</v>
      </c>
    </row>
    <row r="58" spans="1:2" x14ac:dyDescent="0.25">
      <c r="A58" t="s">
        <v>328</v>
      </c>
      <c r="B58" s="3">
        <v>68285990.283768401</v>
      </c>
    </row>
    <row r="59" spans="1:2" x14ac:dyDescent="0.25">
      <c r="A59" t="s">
        <v>329</v>
      </c>
      <c r="B59" s="3">
        <v>68285990.283768401</v>
      </c>
    </row>
    <row r="60" spans="1:2" x14ac:dyDescent="0.25">
      <c r="A60" t="s">
        <v>330</v>
      </c>
      <c r="B60" s="3">
        <v>68285990.283768401</v>
      </c>
    </row>
    <row r="61" spans="1:2" x14ac:dyDescent="0.25">
      <c r="A61" t="s">
        <v>331</v>
      </c>
      <c r="B61" s="3">
        <v>68285990.283768401</v>
      </c>
    </row>
    <row r="62" spans="1:2" x14ac:dyDescent="0.25">
      <c r="A62" t="s">
        <v>332</v>
      </c>
      <c r="B62" s="3">
        <v>68285990.283768401</v>
      </c>
    </row>
    <row r="63" spans="1:2" x14ac:dyDescent="0.25">
      <c r="A63" t="s">
        <v>333</v>
      </c>
      <c r="B63" s="3">
        <v>68285990.283768401</v>
      </c>
    </row>
    <row r="64" spans="1:2" x14ac:dyDescent="0.25">
      <c r="A64" t="s">
        <v>334</v>
      </c>
      <c r="B64" s="3">
        <v>68285990.283768401</v>
      </c>
    </row>
    <row r="65" spans="1:2" x14ac:dyDescent="0.25">
      <c r="A65" t="s">
        <v>335</v>
      </c>
      <c r="B65" s="3">
        <v>130862073.43000001</v>
      </c>
    </row>
    <row r="66" spans="1:2" x14ac:dyDescent="0.25">
      <c r="A66" t="s">
        <v>336</v>
      </c>
      <c r="B66" s="3">
        <v>130862073.43000001</v>
      </c>
    </row>
    <row r="67" spans="1:2" x14ac:dyDescent="0.25">
      <c r="A67" t="s">
        <v>337</v>
      </c>
      <c r="B67" s="3">
        <v>130862073.43000001</v>
      </c>
    </row>
    <row r="68" spans="1:2" x14ac:dyDescent="0.25">
      <c r="A68" t="s">
        <v>338</v>
      </c>
      <c r="B68" s="3">
        <v>130862073.43000001</v>
      </c>
    </row>
    <row r="69" spans="1:2" x14ac:dyDescent="0.25">
      <c r="A69" t="s">
        <v>339</v>
      </c>
      <c r="B69" s="3">
        <v>196326037.74000001</v>
      </c>
    </row>
    <row r="70" spans="1:2" x14ac:dyDescent="0.25">
      <c r="A70" t="s">
        <v>340</v>
      </c>
      <c r="B70" s="3">
        <v>10019087.93</v>
      </c>
    </row>
    <row r="71" spans="1:2" x14ac:dyDescent="0.25">
      <c r="A71" t="s">
        <v>341</v>
      </c>
      <c r="B71" s="3">
        <v>10019087.93</v>
      </c>
    </row>
    <row r="72" spans="1:2" x14ac:dyDescent="0.25">
      <c r="A72" t="s">
        <v>342</v>
      </c>
      <c r="B72" s="3">
        <v>10019087.93</v>
      </c>
    </row>
    <row r="73" spans="1:2" x14ac:dyDescent="0.25">
      <c r="A73" t="s">
        <v>343</v>
      </c>
      <c r="B73" s="3">
        <v>8078951.4800000004</v>
      </c>
    </row>
    <row r="74" spans="1:2" x14ac:dyDescent="0.25">
      <c r="A74" t="s">
        <v>344</v>
      </c>
      <c r="B74" s="3">
        <v>8078951.4800000004</v>
      </c>
    </row>
    <row r="75" spans="1:2" x14ac:dyDescent="0.25">
      <c r="A75" t="s">
        <v>345</v>
      </c>
      <c r="B75" s="3">
        <v>14549989.800000001</v>
      </c>
    </row>
    <row r="76" spans="1:2" x14ac:dyDescent="0.25">
      <c r="A76" t="s">
        <v>346</v>
      </c>
      <c r="B76" s="3">
        <v>91454373.939999998</v>
      </c>
    </row>
    <row r="77" spans="1:2" x14ac:dyDescent="0.25">
      <c r="A77" t="s">
        <v>347</v>
      </c>
      <c r="B77" s="3">
        <v>91454373.939999998</v>
      </c>
    </row>
    <row r="78" spans="1:2" x14ac:dyDescent="0.25">
      <c r="A78" t="s">
        <v>348</v>
      </c>
      <c r="B78" s="3">
        <v>77180302.400000006</v>
      </c>
    </row>
    <row r="79" spans="1:2" x14ac:dyDescent="0.25">
      <c r="A79" t="s">
        <v>349</v>
      </c>
      <c r="B79" s="3">
        <v>77180302.400000006</v>
      </c>
    </row>
    <row r="80" spans="1:2" x14ac:dyDescent="0.25">
      <c r="A80" t="s">
        <v>350</v>
      </c>
      <c r="B80" s="3">
        <v>42840595.719999999</v>
      </c>
    </row>
    <row r="81" spans="1:2" x14ac:dyDescent="0.25">
      <c r="A81" t="s">
        <v>351</v>
      </c>
    </row>
    <row r="82" spans="1:2" x14ac:dyDescent="0.25">
      <c r="A82" t="s">
        <v>352</v>
      </c>
      <c r="B82" s="3">
        <v>449255941.25999999</v>
      </c>
    </row>
    <row r="83" spans="1:2" x14ac:dyDescent="0.25">
      <c r="A83" t="s">
        <v>353</v>
      </c>
      <c r="B83" s="3">
        <v>472881940.19</v>
      </c>
    </row>
    <row r="84" spans="1:2" x14ac:dyDescent="0.25">
      <c r="A84" t="s">
        <v>354</v>
      </c>
      <c r="B84" s="3">
        <v>16435819.800000001</v>
      </c>
    </row>
    <row r="85" spans="1:2" x14ac:dyDescent="0.25">
      <c r="A85" t="s">
        <v>355</v>
      </c>
      <c r="B85" s="3">
        <v>1439290.98</v>
      </c>
    </row>
    <row r="86" spans="1:2" x14ac:dyDescent="0.25">
      <c r="A86" t="s">
        <v>356</v>
      </c>
      <c r="B86" s="3">
        <v>102026658.86</v>
      </c>
    </row>
    <row r="87" spans="1:2" x14ac:dyDescent="0.25">
      <c r="A87" t="s">
        <v>357</v>
      </c>
      <c r="B87" s="3">
        <v>28294962.309999999</v>
      </c>
    </row>
    <row r="88" spans="1:2" x14ac:dyDescent="0.25">
      <c r="A88" t="s">
        <v>358</v>
      </c>
      <c r="B88" s="3">
        <v>16170337.83</v>
      </c>
    </row>
    <row r="89" spans="1:2" x14ac:dyDescent="0.25">
      <c r="A89" t="s">
        <v>359</v>
      </c>
      <c r="B89" s="3">
        <v>22773776.91</v>
      </c>
    </row>
    <row r="90" spans="1:2" x14ac:dyDescent="0.25">
      <c r="A90" t="s">
        <v>360</v>
      </c>
      <c r="B90" s="3">
        <v>11021283.52</v>
      </c>
    </row>
    <row r="91" spans="1:2" x14ac:dyDescent="0.25">
      <c r="A91" t="s">
        <v>361</v>
      </c>
      <c r="B91" s="3">
        <v>13039893.34</v>
      </c>
    </row>
    <row r="92" spans="1:2" x14ac:dyDescent="0.25">
      <c r="A92" t="s">
        <v>362</v>
      </c>
      <c r="B92" s="3">
        <v>13039893.34</v>
      </c>
    </row>
    <row r="93" spans="1:2" x14ac:dyDescent="0.25">
      <c r="A93" t="s">
        <v>363</v>
      </c>
      <c r="B93" s="3">
        <v>738569450.45000005</v>
      </c>
    </row>
    <row r="94" spans="1:2" x14ac:dyDescent="0.25">
      <c r="A94" t="s">
        <v>364</v>
      </c>
      <c r="B94" s="3">
        <v>738569450.45000005</v>
      </c>
    </row>
    <row r="95" spans="1:2" x14ac:dyDescent="0.25">
      <c r="A95" t="s">
        <v>365</v>
      </c>
      <c r="B95" s="3">
        <v>738569450.45000005</v>
      </c>
    </row>
    <row r="96" spans="1:2" x14ac:dyDescent="0.25">
      <c r="A96" t="s">
        <v>366</v>
      </c>
      <c r="B96" s="3">
        <v>78800259.329999998</v>
      </c>
    </row>
    <row r="97" spans="1:2" x14ac:dyDescent="0.25">
      <c r="A97" t="s">
        <v>366</v>
      </c>
      <c r="B97" s="3">
        <v>78800259.329999998</v>
      </c>
    </row>
    <row r="98" spans="1:2" x14ac:dyDescent="0.25">
      <c r="A98" t="s">
        <v>367</v>
      </c>
      <c r="B98" s="3">
        <v>0</v>
      </c>
    </row>
    <row r="99" spans="1:2" x14ac:dyDescent="0.25">
      <c r="A99" t="s">
        <v>368</v>
      </c>
      <c r="B99" s="3">
        <v>78800259.329999998</v>
      </c>
    </row>
    <row r="100" spans="1:2" x14ac:dyDescent="0.25">
      <c r="A100" t="s">
        <v>369</v>
      </c>
      <c r="B100" s="3">
        <v>78800259.329999998</v>
      </c>
    </row>
    <row r="101" spans="1:2" x14ac:dyDescent="0.25">
      <c r="A101" t="s">
        <v>370</v>
      </c>
      <c r="B101" s="3">
        <v>78800259.329999998</v>
      </c>
    </row>
    <row r="102" spans="1:2" x14ac:dyDescent="0.25">
      <c r="A102" t="s">
        <v>371</v>
      </c>
      <c r="B102" s="3">
        <v>78800259.329999998</v>
      </c>
    </row>
    <row r="103" spans="1:2" x14ac:dyDescent="0.25">
      <c r="A103" t="s">
        <v>372</v>
      </c>
      <c r="B103" s="3">
        <v>78800259.329999998</v>
      </c>
    </row>
    <row r="104" spans="1:2" x14ac:dyDescent="0.25">
      <c r="A104" t="s">
        <v>373</v>
      </c>
      <c r="B104" s="3">
        <v>78800259.329999998</v>
      </c>
    </row>
    <row r="105" spans="1:2" x14ac:dyDescent="0.25">
      <c r="A105" t="s">
        <v>374</v>
      </c>
      <c r="B105" s="3">
        <v>78800259.329999998</v>
      </c>
    </row>
    <row r="106" spans="1:2" x14ac:dyDescent="0.25">
      <c r="A106" t="s">
        <v>375</v>
      </c>
      <c r="B106" s="3">
        <v>180400521.69999999</v>
      </c>
    </row>
    <row r="107" spans="1:2" x14ac:dyDescent="0.25">
      <c r="A107" t="s">
        <v>376</v>
      </c>
      <c r="B107" s="3">
        <v>44381887.530000001</v>
      </c>
    </row>
    <row r="108" spans="1:2" x14ac:dyDescent="0.25">
      <c r="A108" t="s">
        <v>377</v>
      </c>
      <c r="B108" s="3">
        <v>14257962.449999999</v>
      </c>
    </row>
    <row r="109" spans="1:2" x14ac:dyDescent="0.25">
      <c r="A109" t="s">
        <v>378</v>
      </c>
      <c r="B109" s="3">
        <v>14257962.449999999</v>
      </c>
    </row>
    <row r="110" spans="1:2" x14ac:dyDescent="0.25">
      <c r="A110" t="s">
        <v>379</v>
      </c>
      <c r="B110" s="3">
        <v>19274777.030000001</v>
      </c>
    </row>
    <row r="111" spans="1:2" x14ac:dyDescent="0.25">
      <c r="A111" t="s">
        <v>380</v>
      </c>
      <c r="B111" s="3">
        <v>7769393.1200000001</v>
      </c>
    </row>
    <row r="112" spans="1:2" x14ac:dyDescent="0.25">
      <c r="A112" t="s">
        <v>381</v>
      </c>
      <c r="B112" s="3">
        <v>19172293.120000001</v>
      </c>
    </row>
    <row r="113" spans="1:2" x14ac:dyDescent="0.25">
      <c r="A113" t="s">
        <v>382</v>
      </c>
      <c r="B113" s="3">
        <v>3157999.88</v>
      </c>
    </row>
    <row r="114" spans="1:2" x14ac:dyDescent="0.25">
      <c r="A114" t="s">
        <v>383</v>
      </c>
      <c r="B114" s="3">
        <v>45845682.399999999</v>
      </c>
    </row>
    <row r="115" spans="1:2" x14ac:dyDescent="0.25">
      <c r="A115" t="s">
        <v>384</v>
      </c>
      <c r="B115" s="3">
        <v>36043132.299999997</v>
      </c>
    </row>
    <row r="116" spans="1:2" x14ac:dyDescent="0.25">
      <c r="A116" t="s">
        <v>385</v>
      </c>
      <c r="B116" s="3">
        <v>4916067.3499999996</v>
      </c>
    </row>
    <row r="117" spans="1:2" x14ac:dyDescent="0.25">
      <c r="A117" t="s">
        <v>386</v>
      </c>
      <c r="B117" s="3">
        <v>48180984.140000001</v>
      </c>
    </row>
    <row r="118" spans="1:2" x14ac:dyDescent="0.25">
      <c r="A118" t="s">
        <v>387</v>
      </c>
      <c r="B118" s="3">
        <v>3621856.4</v>
      </c>
    </row>
    <row r="119" spans="1:2" x14ac:dyDescent="0.25">
      <c r="A119" t="s">
        <v>388</v>
      </c>
      <c r="B119" s="3">
        <v>17471501.670000002</v>
      </c>
    </row>
    <row r="120" spans="1:2" x14ac:dyDescent="0.25">
      <c r="A120" t="s">
        <v>389</v>
      </c>
      <c r="B120" s="3">
        <v>10755532.35</v>
      </c>
    </row>
    <row r="121" spans="1:2" x14ac:dyDescent="0.25">
      <c r="A121" t="s">
        <v>390</v>
      </c>
      <c r="B121" s="3">
        <v>17595239.449999999</v>
      </c>
    </row>
    <row r="122" spans="1:2" x14ac:dyDescent="0.25">
      <c r="A122" t="s">
        <v>391</v>
      </c>
      <c r="B122" s="3">
        <v>41968861.340000004</v>
      </c>
    </row>
    <row r="123" spans="1:2" x14ac:dyDescent="0.25">
      <c r="A123" t="s">
        <v>392</v>
      </c>
      <c r="B123" s="3">
        <v>32006882.399999999</v>
      </c>
    </row>
    <row r="124" spans="1:2" x14ac:dyDescent="0.25">
      <c r="A124" t="s">
        <v>393</v>
      </c>
      <c r="B124" s="3">
        <v>7888357.3600000003</v>
      </c>
    </row>
    <row r="125" spans="1:2" x14ac:dyDescent="0.25">
      <c r="A125" t="s">
        <v>394</v>
      </c>
      <c r="B125" s="3">
        <v>14599222.300000001</v>
      </c>
    </row>
    <row r="126" spans="1:2" x14ac:dyDescent="0.25">
      <c r="A126" t="s">
        <v>395</v>
      </c>
      <c r="B126" s="3">
        <v>16959717.27</v>
      </c>
    </row>
    <row r="127" spans="1:2" x14ac:dyDescent="0.25">
      <c r="A127" t="s">
        <v>396</v>
      </c>
      <c r="B127" s="3">
        <v>16959717.27</v>
      </c>
    </row>
    <row r="128" spans="1:2" x14ac:dyDescent="0.25">
      <c r="A128" t="s">
        <v>397</v>
      </c>
      <c r="B128" s="3">
        <v>1101190.45</v>
      </c>
    </row>
    <row r="129" spans="1:2" x14ac:dyDescent="0.25">
      <c r="A129" t="s">
        <v>398</v>
      </c>
      <c r="B129" s="3">
        <v>16485257.34</v>
      </c>
    </row>
    <row r="130" spans="1:2" x14ac:dyDescent="0.25">
      <c r="A130" t="s">
        <v>399</v>
      </c>
      <c r="B130" s="3">
        <v>17775773.890000001</v>
      </c>
    </row>
    <row r="131" spans="1:2" x14ac:dyDescent="0.25">
      <c r="A131" t="s">
        <v>400</v>
      </c>
      <c r="B131" s="3">
        <v>9365931.8699999992</v>
      </c>
    </row>
    <row r="132" spans="1:2" x14ac:dyDescent="0.25">
      <c r="A132" t="s">
        <v>401</v>
      </c>
      <c r="B132" s="3">
        <v>4320270.72</v>
      </c>
    </row>
    <row r="133" spans="1:2" x14ac:dyDescent="0.25">
      <c r="A133" t="s">
        <v>402</v>
      </c>
      <c r="B133" s="3">
        <v>18687573.399999999</v>
      </c>
    </row>
    <row r="134" spans="1:2" x14ac:dyDescent="0.25">
      <c r="A134" t="s">
        <v>403</v>
      </c>
      <c r="B134" s="3">
        <v>9725266.4900000002</v>
      </c>
    </row>
    <row r="135" spans="1:2" x14ac:dyDescent="0.25">
      <c r="A135" t="s">
        <v>404</v>
      </c>
      <c r="B135" s="3">
        <v>14339884.65</v>
      </c>
    </row>
    <row r="136" spans="1:2" x14ac:dyDescent="0.25">
      <c r="A136" t="s">
        <v>405</v>
      </c>
      <c r="B136" s="3">
        <v>9725551.1699999999</v>
      </c>
    </row>
    <row r="137" spans="1:2" x14ac:dyDescent="0.25">
      <c r="A137" t="s">
        <v>406</v>
      </c>
      <c r="B137" s="3">
        <v>4546809.68</v>
      </c>
    </row>
    <row r="138" spans="1:2" x14ac:dyDescent="0.25">
      <c r="A138" t="s">
        <v>407</v>
      </c>
      <c r="B138" s="3">
        <v>38379397.979999997</v>
      </c>
    </row>
    <row r="139" spans="1:2" x14ac:dyDescent="0.25">
      <c r="A139" t="s">
        <v>408</v>
      </c>
      <c r="B139" s="3">
        <v>8569572.75</v>
      </c>
    </row>
    <row r="140" spans="1:2" x14ac:dyDescent="0.25">
      <c r="A140" t="s">
        <v>409</v>
      </c>
      <c r="B140" s="3">
        <v>16769552.9</v>
      </c>
    </row>
    <row r="141" spans="1:2" x14ac:dyDescent="0.25">
      <c r="A141" t="s">
        <v>410</v>
      </c>
      <c r="B141" s="3">
        <v>301846661.55000001</v>
      </c>
    </row>
    <row r="142" spans="1:2" x14ac:dyDescent="0.25">
      <c r="A142" t="s">
        <v>411</v>
      </c>
      <c r="B142" s="3">
        <v>34418361.609999999</v>
      </c>
    </row>
    <row r="143" spans="1:2" x14ac:dyDescent="0.25">
      <c r="A143" t="s">
        <v>412</v>
      </c>
      <c r="B143" s="3">
        <v>34418361.609999999</v>
      </c>
    </row>
    <row r="144" spans="1:2" x14ac:dyDescent="0.25">
      <c r="A144" t="s">
        <v>413</v>
      </c>
      <c r="B144" s="3">
        <v>34418361.609999999</v>
      </c>
    </row>
    <row r="145" spans="1:2" x14ac:dyDescent="0.25">
      <c r="A145" t="s">
        <v>414</v>
      </c>
      <c r="B145" s="3">
        <v>55176429.219999999</v>
      </c>
    </row>
    <row r="146" spans="1:2" x14ac:dyDescent="0.25">
      <c r="A146" t="s">
        <v>415</v>
      </c>
      <c r="B146" s="3">
        <v>479463623.72000003</v>
      </c>
    </row>
    <row r="147" spans="1:2" x14ac:dyDescent="0.25">
      <c r="A147" t="s">
        <v>416</v>
      </c>
      <c r="B147" s="3">
        <v>330766064.80000001</v>
      </c>
    </row>
    <row r="148" spans="1:2" x14ac:dyDescent="0.25">
      <c r="A148" t="s">
        <v>417</v>
      </c>
      <c r="B148" s="3">
        <v>330766064.80000001</v>
      </c>
    </row>
    <row r="149" spans="1:2" x14ac:dyDescent="0.25">
      <c r="A149" t="s">
        <v>418</v>
      </c>
      <c r="B149" s="3">
        <v>330766064.80000001</v>
      </c>
    </row>
    <row r="151" spans="1:2" x14ac:dyDescent="0.25">
      <c r="A151" t="s">
        <v>419</v>
      </c>
      <c r="B151" s="3">
        <v>330766064.80000001</v>
      </c>
    </row>
    <row r="152" spans="1:2" x14ac:dyDescent="0.25">
      <c r="A152" t="s">
        <v>420</v>
      </c>
      <c r="B152" s="3">
        <v>196326037.74000001</v>
      </c>
    </row>
    <row r="153" spans="1:2" x14ac:dyDescent="0.25">
      <c r="A153" t="s">
        <v>421</v>
      </c>
      <c r="B153" s="3">
        <v>196326037.74000001</v>
      </c>
    </row>
    <row r="154" spans="1:2" x14ac:dyDescent="0.25">
      <c r="A154" t="s">
        <v>422</v>
      </c>
      <c r="B154" s="3">
        <v>301938128.98000002</v>
      </c>
    </row>
    <row r="155" spans="1:2" x14ac:dyDescent="0.25">
      <c r="A155" t="s">
        <v>423</v>
      </c>
      <c r="B155" s="3">
        <v>301938128.98000002</v>
      </c>
    </row>
    <row r="156" spans="1:2" x14ac:dyDescent="0.25">
      <c r="A156" t="s">
        <v>424</v>
      </c>
      <c r="B156" s="3">
        <v>301938128.98000002</v>
      </c>
    </row>
    <row r="157" spans="1:2" x14ac:dyDescent="0.25">
      <c r="A157" t="s">
        <v>425</v>
      </c>
      <c r="B157" s="3">
        <v>153300925.71000001</v>
      </c>
    </row>
    <row r="158" spans="1:2" x14ac:dyDescent="0.25">
      <c r="A158" t="s">
        <v>426</v>
      </c>
      <c r="B158" s="3">
        <v>153300925.71000001</v>
      </c>
    </row>
    <row r="159" spans="1:2" x14ac:dyDescent="0.25">
      <c r="A159" t="s">
        <v>427</v>
      </c>
      <c r="B159" s="3">
        <v>153300925.71000001</v>
      </c>
    </row>
    <row r="160" spans="1:2" x14ac:dyDescent="0.25">
      <c r="A160" t="s">
        <v>428</v>
      </c>
      <c r="B160" s="3">
        <v>153300925.71000001</v>
      </c>
    </row>
    <row r="161" spans="1:2" x14ac:dyDescent="0.25">
      <c r="A161" t="s">
        <v>429</v>
      </c>
      <c r="B161" s="3">
        <v>8569572.75</v>
      </c>
    </row>
    <row r="162" spans="1:2" x14ac:dyDescent="0.25">
      <c r="A162" t="s">
        <v>430</v>
      </c>
      <c r="B162" s="3">
        <v>471217.6</v>
      </c>
    </row>
    <row r="163" spans="1:2" x14ac:dyDescent="0.25">
      <c r="A163" t="s">
        <v>431</v>
      </c>
      <c r="B163" s="3">
        <v>4264453.24</v>
      </c>
    </row>
    <row r="164" spans="1:2" x14ac:dyDescent="0.25">
      <c r="A164" t="s">
        <v>432</v>
      </c>
      <c r="B164" s="3">
        <v>15585069.34</v>
      </c>
    </row>
    <row r="165" spans="1:2" x14ac:dyDescent="0.25">
      <c r="A165" t="s">
        <v>433</v>
      </c>
      <c r="B165" s="3">
        <v>753470905.88999999</v>
      </c>
    </row>
    <row r="166" spans="1:2" x14ac:dyDescent="0.25">
      <c r="A166" t="s">
        <v>434</v>
      </c>
      <c r="B166" s="3">
        <v>753470905.88999999</v>
      </c>
    </row>
    <row r="167" spans="1:2" x14ac:dyDescent="0.25">
      <c r="A167" t="s">
        <v>435</v>
      </c>
      <c r="B167" s="3">
        <v>180209090.86000001</v>
      </c>
    </row>
    <row r="168" spans="1:2" x14ac:dyDescent="0.25">
      <c r="A168" t="s">
        <v>436</v>
      </c>
      <c r="B168" s="3">
        <v>180209090.86000001</v>
      </c>
    </row>
    <row r="169" spans="1:2" x14ac:dyDescent="0.25">
      <c r="A169" t="s">
        <v>437</v>
      </c>
      <c r="B169" s="3">
        <v>16089280.810000001</v>
      </c>
    </row>
    <row r="170" spans="1:2" x14ac:dyDescent="0.25">
      <c r="A170" t="s">
        <v>438</v>
      </c>
      <c r="B170" s="3">
        <v>92187534.769999996</v>
      </c>
    </row>
    <row r="171" spans="1:2" x14ac:dyDescent="0.25">
      <c r="A171" t="s">
        <v>439</v>
      </c>
      <c r="B171" s="3">
        <v>30421769.829999998</v>
      </c>
    </row>
    <row r="172" spans="1:2" x14ac:dyDescent="0.25">
      <c r="A172" t="s">
        <v>440</v>
      </c>
      <c r="B172" s="3">
        <v>31186005.050000001</v>
      </c>
    </row>
    <row r="173" spans="1:2" x14ac:dyDescent="0.25">
      <c r="A173" t="s">
        <v>441</v>
      </c>
      <c r="B173" s="3">
        <v>30579759.879999999</v>
      </c>
    </row>
    <row r="174" spans="1:2" x14ac:dyDescent="0.25">
      <c r="A174" t="s">
        <v>442</v>
      </c>
      <c r="B174" s="3">
        <v>54758881.560000002</v>
      </c>
    </row>
    <row r="175" spans="1:2" x14ac:dyDescent="0.25">
      <c r="A175" t="s">
        <v>443</v>
      </c>
      <c r="B175" s="3">
        <v>1202240156.9400001</v>
      </c>
    </row>
    <row r="176" spans="1:2" x14ac:dyDescent="0.25">
      <c r="A176" t="s">
        <v>444</v>
      </c>
      <c r="B176" s="3">
        <v>1304127450.5999999</v>
      </c>
    </row>
    <row r="177" spans="1:2" x14ac:dyDescent="0.25">
      <c r="A177" t="s">
        <v>445</v>
      </c>
      <c r="B177" s="3">
        <v>247567176.5</v>
      </c>
    </row>
    <row r="178" spans="1:2" x14ac:dyDescent="0.25">
      <c r="A178" t="s">
        <v>446</v>
      </c>
      <c r="B178" s="3">
        <v>1076168695.1199999</v>
      </c>
    </row>
    <row r="180" spans="1:2" x14ac:dyDescent="0.25">
      <c r="A180" t="s">
        <v>447</v>
      </c>
      <c r="B180" s="3">
        <v>1993080691.1600001</v>
      </c>
    </row>
    <row r="181" spans="1:2" x14ac:dyDescent="0.25">
      <c r="A181" t="s">
        <v>448</v>
      </c>
      <c r="B181" s="3">
        <v>213422486.11000001</v>
      </c>
    </row>
    <row r="182" spans="1:2" x14ac:dyDescent="0.25">
      <c r="A182" t="s">
        <v>449</v>
      </c>
      <c r="B182" s="3">
        <v>200715687.38999999</v>
      </c>
    </row>
    <row r="183" spans="1:2" x14ac:dyDescent="0.25">
      <c r="A183" t="s">
        <v>450</v>
      </c>
    </row>
    <row r="184" spans="1:2" x14ac:dyDescent="0.25">
      <c r="A184" t="s">
        <v>451</v>
      </c>
    </row>
    <row r="185" spans="1:2" x14ac:dyDescent="0.25">
      <c r="A185" t="s">
        <v>452</v>
      </c>
    </row>
    <row r="186" spans="1:2" x14ac:dyDescent="0.25">
      <c r="A186" t="s">
        <v>453</v>
      </c>
    </row>
    <row r="187" spans="1:2" x14ac:dyDescent="0.25">
      <c r="A187" t="s">
        <v>454</v>
      </c>
    </row>
    <row r="188" spans="1:2" x14ac:dyDescent="0.25">
      <c r="A188" t="s">
        <v>455</v>
      </c>
    </row>
    <row r="189" spans="1:2" x14ac:dyDescent="0.25">
      <c r="A189" t="s">
        <v>456</v>
      </c>
    </row>
    <row r="190" spans="1:2" x14ac:dyDescent="0.25">
      <c r="A190" t="s">
        <v>457</v>
      </c>
    </row>
    <row r="191" spans="1:2" x14ac:dyDescent="0.25">
      <c r="A191" t="s">
        <v>458</v>
      </c>
    </row>
    <row r="192" spans="1:2" x14ac:dyDescent="0.25">
      <c r="A192" t="s">
        <v>459</v>
      </c>
    </row>
    <row r="193" spans="1:2" x14ac:dyDescent="0.25">
      <c r="A193" t="s">
        <v>460</v>
      </c>
    </row>
    <row r="194" spans="1:2" x14ac:dyDescent="0.25">
      <c r="A194" t="s">
        <v>461</v>
      </c>
    </row>
    <row r="195" spans="1:2" x14ac:dyDescent="0.25">
      <c r="A195" t="s">
        <v>462</v>
      </c>
    </row>
    <row r="196" spans="1:2" x14ac:dyDescent="0.25">
      <c r="A196" t="s">
        <v>463</v>
      </c>
    </row>
    <row r="197" spans="1:2" x14ac:dyDescent="0.25">
      <c r="A197" t="s">
        <v>464</v>
      </c>
    </row>
    <row r="198" spans="1:2" x14ac:dyDescent="0.25">
      <c r="A198" t="s">
        <v>465</v>
      </c>
    </row>
    <row r="199" spans="1:2" x14ac:dyDescent="0.25">
      <c r="A199" t="s">
        <v>466</v>
      </c>
    </row>
    <row r="200" spans="1:2" x14ac:dyDescent="0.25">
      <c r="A200" t="s">
        <v>467</v>
      </c>
    </row>
    <row r="201" spans="1:2" x14ac:dyDescent="0.25">
      <c r="A201" t="s">
        <v>468</v>
      </c>
    </row>
    <row r="202" spans="1:2" x14ac:dyDescent="0.25">
      <c r="A202" t="s">
        <v>469</v>
      </c>
    </row>
    <row r="203" spans="1:2" x14ac:dyDescent="0.25">
      <c r="A203" t="s">
        <v>470</v>
      </c>
    </row>
    <row r="204" spans="1:2" x14ac:dyDescent="0.25">
      <c r="A204" t="s">
        <v>471</v>
      </c>
    </row>
    <row r="205" spans="1:2" x14ac:dyDescent="0.25">
      <c r="A205" t="s">
        <v>472</v>
      </c>
      <c r="B205" s="3">
        <v>18935455.739999998</v>
      </c>
    </row>
    <row r="206" spans="1:2" x14ac:dyDescent="0.25">
      <c r="A206" t="s">
        <v>473</v>
      </c>
    </row>
    <row r="207" spans="1:2" x14ac:dyDescent="0.25">
      <c r="A207" t="s">
        <v>474</v>
      </c>
    </row>
    <row r="208" spans="1:2" x14ac:dyDescent="0.25">
      <c r="A208" t="s">
        <v>475</v>
      </c>
    </row>
    <row r="209" spans="1:2" x14ac:dyDescent="0.25">
      <c r="A209" t="s">
        <v>476</v>
      </c>
    </row>
    <row r="210" spans="1:2" x14ac:dyDescent="0.25">
      <c r="A210" t="s">
        <v>477</v>
      </c>
    </row>
    <row r="211" spans="1:2" x14ac:dyDescent="0.25">
      <c r="A211" t="s">
        <v>478</v>
      </c>
    </row>
    <row r="212" spans="1:2" x14ac:dyDescent="0.25">
      <c r="A212" t="s">
        <v>479</v>
      </c>
      <c r="B212" s="3">
        <v>3944079.95</v>
      </c>
    </row>
    <row r="213" spans="1:2" x14ac:dyDescent="0.25">
      <c r="A213" t="s">
        <v>480</v>
      </c>
    </row>
    <row r="214" spans="1:2" x14ac:dyDescent="0.25">
      <c r="A214" t="s">
        <v>481</v>
      </c>
    </row>
    <row r="215" spans="1:2" x14ac:dyDescent="0.25">
      <c r="A215" t="s">
        <v>482</v>
      </c>
    </row>
    <row r="216" spans="1:2" x14ac:dyDescent="0.25">
      <c r="A216" t="s">
        <v>483</v>
      </c>
    </row>
    <row r="217" spans="1:2" x14ac:dyDescent="0.25">
      <c r="A217" t="s">
        <v>484</v>
      </c>
    </row>
    <row r="218" spans="1:2" x14ac:dyDescent="0.25">
      <c r="A218" t="s">
        <v>485</v>
      </c>
    </row>
    <row r="219" spans="1:2" x14ac:dyDescent="0.25">
      <c r="A219" t="s">
        <v>486</v>
      </c>
    </row>
    <row r="220" spans="1:2" x14ac:dyDescent="0.25">
      <c r="A220" t="s">
        <v>487</v>
      </c>
    </row>
    <row r="221" spans="1:2" x14ac:dyDescent="0.25">
      <c r="A221" t="s">
        <v>488</v>
      </c>
    </row>
    <row r="222" spans="1:2" x14ac:dyDescent="0.25">
      <c r="A222" t="s">
        <v>489</v>
      </c>
    </row>
    <row r="223" spans="1:2" x14ac:dyDescent="0.25">
      <c r="A223" t="s">
        <v>490</v>
      </c>
    </row>
    <row r="224" spans="1:2" x14ac:dyDescent="0.25">
      <c r="A224" t="s">
        <v>491</v>
      </c>
    </row>
    <row r="225" spans="1:1" x14ac:dyDescent="0.25">
      <c r="A225" t="s">
        <v>492</v>
      </c>
    </row>
    <row r="226" spans="1:1" x14ac:dyDescent="0.25">
      <c r="A226" t="s">
        <v>493</v>
      </c>
    </row>
    <row r="227" spans="1:1" x14ac:dyDescent="0.25">
      <c r="A227" t="s">
        <v>494</v>
      </c>
    </row>
    <row r="228" spans="1:1" x14ac:dyDescent="0.25">
      <c r="A228" t="s">
        <v>495</v>
      </c>
    </row>
    <row r="229" spans="1:1" x14ac:dyDescent="0.25">
      <c r="A229" t="s">
        <v>496</v>
      </c>
    </row>
    <row r="230" spans="1:1" x14ac:dyDescent="0.25">
      <c r="A230" t="s">
        <v>497</v>
      </c>
    </row>
    <row r="231" spans="1:1" x14ac:dyDescent="0.25">
      <c r="A231" t="s">
        <v>498</v>
      </c>
    </row>
    <row r="232" spans="1:1" x14ac:dyDescent="0.25">
      <c r="A232" t="s">
        <v>499</v>
      </c>
    </row>
    <row r="233" spans="1:1" x14ac:dyDescent="0.25">
      <c r="A233" t="s">
        <v>500</v>
      </c>
    </row>
    <row r="234" spans="1:1" x14ac:dyDescent="0.25">
      <c r="A234" t="s">
        <v>501</v>
      </c>
    </row>
    <row r="235" spans="1:1" x14ac:dyDescent="0.25">
      <c r="A235" t="s">
        <v>502</v>
      </c>
    </row>
    <row r="236" spans="1:1" x14ac:dyDescent="0.25">
      <c r="A236" t="s">
        <v>503</v>
      </c>
    </row>
    <row r="237" spans="1:1" x14ac:dyDescent="0.25">
      <c r="A237" t="s">
        <v>504</v>
      </c>
    </row>
    <row r="238" spans="1:1" x14ac:dyDescent="0.25">
      <c r="A238" t="s">
        <v>505</v>
      </c>
    </row>
    <row r="239" spans="1:1" x14ac:dyDescent="0.25">
      <c r="A239" t="s">
        <v>506</v>
      </c>
    </row>
    <row r="240" spans="1:1" x14ac:dyDescent="0.25">
      <c r="A240" t="s">
        <v>507</v>
      </c>
    </row>
    <row r="241" spans="1:1" x14ac:dyDescent="0.25">
      <c r="A241" t="s">
        <v>508</v>
      </c>
    </row>
    <row r="242" spans="1:1" x14ac:dyDescent="0.25">
      <c r="A242" t="s">
        <v>509</v>
      </c>
    </row>
    <row r="243" spans="1:1" x14ac:dyDescent="0.25">
      <c r="A243" t="s">
        <v>510</v>
      </c>
    </row>
    <row r="244" spans="1:1" x14ac:dyDescent="0.25">
      <c r="A244" t="s">
        <v>511</v>
      </c>
    </row>
    <row r="245" spans="1:1" x14ac:dyDescent="0.25">
      <c r="A245" t="s">
        <v>512</v>
      </c>
    </row>
    <row r="246" spans="1:1" x14ac:dyDescent="0.25">
      <c r="A246" t="s">
        <v>513</v>
      </c>
    </row>
    <row r="247" spans="1:1" x14ac:dyDescent="0.25">
      <c r="A247" t="s">
        <v>514</v>
      </c>
    </row>
    <row r="248" spans="1:1" x14ac:dyDescent="0.25">
      <c r="A248" t="s">
        <v>515</v>
      </c>
    </row>
    <row r="249" spans="1:1" x14ac:dyDescent="0.25">
      <c r="A249" t="s">
        <v>516</v>
      </c>
    </row>
    <row r="250" spans="1:1" x14ac:dyDescent="0.25">
      <c r="A250" t="s">
        <v>517</v>
      </c>
    </row>
    <row r="251" spans="1:1" x14ac:dyDescent="0.25">
      <c r="A251" t="s">
        <v>518</v>
      </c>
    </row>
    <row r="252" spans="1:1" x14ac:dyDescent="0.25">
      <c r="A252" t="s">
        <v>519</v>
      </c>
    </row>
    <row r="253" spans="1:1" x14ac:dyDescent="0.25">
      <c r="A253" t="s">
        <v>520</v>
      </c>
    </row>
    <row r="254" spans="1:1" x14ac:dyDescent="0.25">
      <c r="A254" t="s">
        <v>521</v>
      </c>
    </row>
    <row r="255" spans="1:1" x14ac:dyDescent="0.25">
      <c r="A255" t="s">
        <v>522</v>
      </c>
    </row>
    <row r="256" spans="1:1" x14ac:dyDescent="0.25">
      <c r="A256" t="s">
        <v>523</v>
      </c>
    </row>
    <row r="257" spans="1:1" x14ac:dyDescent="0.25">
      <c r="A257" t="s">
        <v>524</v>
      </c>
    </row>
    <row r="258" spans="1:1" x14ac:dyDescent="0.25">
      <c r="A258" t="s">
        <v>525</v>
      </c>
    </row>
    <row r="259" spans="1:1" x14ac:dyDescent="0.25">
      <c r="A259" t="s">
        <v>526</v>
      </c>
    </row>
    <row r="260" spans="1:1" x14ac:dyDescent="0.25">
      <c r="A260" t="s">
        <v>527</v>
      </c>
    </row>
    <row r="261" spans="1:1" x14ac:dyDescent="0.25">
      <c r="A261" t="s">
        <v>528</v>
      </c>
    </row>
    <row r="262" spans="1:1" x14ac:dyDescent="0.25">
      <c r="A262" t="s">
        <v>529</v>
      </c>
    </row>
    <row r="263" spans="1:1" x14ac:dyDescent="0.25">
      <c r="A263" t="s">
        <v>530</v>
      </c>
    </row>
    <row r="264" spans="1:1" x14ac:dyDescent="0.25">
      <c r="A264" t="s">
        <v>531</v>
      </c>
    </row>
    <row r="265" spans="1:1" x14ac:dyDescent="0.25">
      <c r="A265" t="s">
        <v>532</v>
      </c>
    </row>
    <row r="266" spans="1:1" x14ac:dyDescent="0.25">
      <c r="A266" t="s">
        <v>533</v>
      </c>
    </row>
    <row r="267" spans="1:1" x14ac:dyDescent="0.25">
      <c r="A267" t="s">
        <v>534</v>
      </c>
    </row>
    <row r="268" spans="1:1" x14ac:dyDescent="0.25">
      <c r="A268" t="s">
        <v>535</v>
      </c>
    </row>
    <row r="269" spans="1:1" x14ac:dyDescent="0.25">
      <c r="A269" t="s">
        <v>536</v>
      </c>
    </row>
    <row r="270" spans="1:1" x14ac:dyDescent="0.25">
      <c r="A270" t="s">
        <v>537</v>
      </c>
    </row>
    <row r="271" spans="1:1" x14ac:dyDescent="0.25">
      <c r="A271" t="s">
        <v>538</v>
      </c>
    </row>
    <row r="272" spans="1:1" x14ac:dyDescent="0.25">
      <c r="A272" t="s">
        <v>539</v>
      </c>
    </row>
    <row r="273" spans="1:1" x14ac:dyDescent="0.25">
      <c r="A273" t="s">
        <v>540</v>
      </c>
    </row>
    <row r="274" spans="1:1" x14ac:dyDescent="0.25">
      <c r="A274" t="s">
        <v>541</v>
      </c>
    </row>
    <row r="275" spans="1:1" x14ac:dyDescent="0.25">
      <c r="A275" t="s">
        <v>542</v>
      </c>
    </row>
    <row r="276" spans="1:1" x14ac:dyDescent="0.25">
      <c r="A276" t="s">
        <v>543</v>
      </c>
    </row>
    <row r="277" spans="1:1" x14ac:dyDescent="0.25">
      <c r="A277" t="s">
        <v>544</v>
      </c>
    </row>
    <row r="278" spans="1:1" x14ac:dyDescent="0.25">
      <c r="A278" t="s">
        <v>545</v>
      </c>
    </row>
    <row r="279" spans="1:1" x14ac:dyDescent="0.25">
      <c r="A279" t="s">
        <v>546</v>
      </c>
    </row>
    <row r="280" spans="1:1" x14ac:dyDescent="0.25">
      <c r="A280" t="s">
        <v>547</v>
      </c>
    </row>
    <row r="281" spans="1:1" x14ac:dyDescent="0.25">
      <c r="A281" t="s">
        <v>548</v>
      </c>
    </row>
    <row r="282" spans="1:1" x14ac:dyDescent="0.25">
      <c r="A282" t="s">
        <v>549</v>
      </c>
    </row>
    <row r="283" spans="1:1" x14ac:dyDescent="0.25">
      <c r="A283" t="s">
        <v>550</v>
      </c>
    </row>
    <row r="284" spans="1:1" x14ac:dyDescent="0.25">
      <c r="A284" t="s">
        <v>551</v>
      </c>
    </row>
    <row r="285" spans="1:1" x14ac:dyDescent="0.25">
      <c r="A285" t="s">
        <v>552</v>
      </c>
    </row>
    <row r="286" spans="1:1" x14ac:dyDescent="0.25">
      <c r="A286" t="s">
        <v>553</v>
      </c>
    </row>
    <row r="287" spans="1:1" x14ac:dyDescent="0.25">
      <c r="A287" t="s">
        <v>554</v>
      </c>
    </row>
    <row r="288" spans="1:1" x14ac:dyDescent="0.25">
      <c r="A288" t="s">
        <v>555</v>
      </c>
    </row>
    <row r="289" spans="1:2" x14ac:dyDescent="0.25">
      <c r="A289" t="s">
        <v>556</v>
      </c>
    </row>
    <row r="290" spans="1:2" x14ac:dyDescent="0.25">
      <c r="A290" t="s">
        <v>557</v>
      </c>
    </row>
    <row r="291" spans="1:2" x14ac:dyDescent="0.25">
      <c r="A291" t="s">
        <v>558</v>
      </c>
    </row>
    <row r="292" spans="1:2" x14ac:dyDescent="0.25">
      <c r="A292" t="s">
        <v>559</v>
      </c>
    </row>
    <row r="293" spans="1:2" x14ac:dyDescent="0.25">
      <c r="A293" t="s">
        <v>560</v>
      </c>
    </row>
    <row r="294" spans="1:2" x14ac:dyDescent="0.25">
      <c r="A294" t="s">
        <v>561</v>
      </c>
      <c r="B294" s="3">
        <v>41668274</v>
      </c>
    </row>
    <row r="295" spans="1:2" x14ac:dyDescent="0.25">
      <c r="A295" t="s">
        <v>562</v>
      </c>
      <c r="B295" s="3">
        <v>48076001.170000002</v>
      </c>
    </row>
    <row r="296" spans="1:2" x14ac:dyDescent="0.25">
      <c r="A296" t="s">
        <v>563</v>
      </c>
      <c r="B296" s="3">
        <v>10109974.367367201</v>
      </c>
    </row>
    <row r="297" spans="1:2" x14ac:dyDescent="0.25">
      <c r="A297" t="s">
        <v>564</v>
      </c>
      <c r="B297" s="3">
        <v>433982131.22097999</v>
      </c>
    </row>
    <row r="298" spans="1:2" x14ac:dyDescent="0.25">
      <c r="A298" t="s">
        <v>565</v>
      </c>
      <c r="B298" s="3">
        <v>433982131.22097999</v>
      </c>
    </row>
    <row r="299" spans="1:2" x14ac:dyDescent="0.25">
      <c r="A299" t="s">
        <v>566</v>
      </c>
      <c r="B299" s="3">
        <v>433982131.22097999</v>
      </c>
    </row>
    <row r="300" spans="1:2" x14ac:dyDescent="0.25">
      <c r="A300" t="s">
        <v>567</v>
      </c>
      <c r="B300" s="3">
        <v>433982131.22097999</v>
      </c>
    </row>
    <row r="301" spans="1:2" x14ac:dyDescent="0.25">
      <c r="A301" t="s">
        <v>568</v>
      </c>
      <c r="B301" s="3">
        <v>433982131.22097999</v>
      </c>
    </row>
    <row r="302" spans="1:2" x14ac:dyDescent="0.25">
      <c r="A302" t="s">
        <v>569</v>
      </c>
      <c r="B302" s="3">
        <v>433982131.22097999</v>
      </c>
    </row>
    <row r="303" spans="1:2" x14ac:dyDescent="0.25">
      <c r="A303" t="s">
        <v>570</v>
      </c>
      <c r="B303" s="3">
        <v>433982131.22097999</v>
      </c>
    </row>
    <row r="304" spans="1:2" x14ac:dyDescent="0.25">
      <c r="A304" t="s">
        <v>571</v>
      </c>
      <c r="B304" s="3">
        <v>433982131.22097999</v>
      </c>
    </row>
    <row r="305" spans="1:2" x14ac:dyDescent="0.25">
      <c r="A305" t="s">
        <v>572</v>
      </c>
      <c r="B305" s="3">
        <v>433982131.22097999</v>
      </c>
    </row>
    <row r="306" spans="1:2" x14ac:dyDescent="0.25">
      <c r="A306" t="s">
        <v>573</v>
      </c>
      <c r="B306" s="3">
        <v>433982131.22097999</v>
      </c>
    </row>
    <row r="307" spans="1:2" x14ac:dyDescent="0.25">
      <c r="A307" t="s">
        <v>574</v>
      </c>
      <c r="B307" s="3">
        <v>433982131.22097999</v>
      </c>
    </row>
    <row r="308" spans="1:2" x14ac:dyDescent="0.25">
      <c r="A308" t="s">
        <v>575</v>
      </c>
      <c r="B308" s="3">
        <v>433982131.22097999</v>
      </c>
    </row>
    <row r="309" spans="1:2" x14ac:dyDescent="0.25">
      <c r="A309" t="s">
        <v>576</v>
      </c>
      <c r="B309" s="3">
        <v>433982131.22097999</v>
      </c>
    </row>
    <row r="310" spans="1:2" x14ac:dyDescent="0.25">
      <c r="A310" t="s">
        <v>577</v>
      </c>
      <c r="B310" s="3">
        <v>433982131.22097999</v>
      </c>
    </row>
    <row r="311" spans="1:2" x14ac:dyDescent="0.25">
      <c r="A311" t="s">
        <v>578</v>
      </c>
      <c r="B311" s="3">
        <v>433982131.22097999</v>
      </c>
    </row>
    <row r="312" spans="1:2" x14ac:dyDescent="0.25">
      <c r="A312" t="s">
        <v>579</v>
      </c>
      <c r="B312" s="3">
        <v>391347262.72871703</v>
      </c>
    </row>
    <row r="313" spans="1:2" x14ac:dyDescent="0.25">
      <c r="A313" t="s">
        <v>580</v>
      </c>
      <c r="B313" s="3">
        <v>391347262.72871703</v>
      </c>
    </row>
    <row r="314" spans="1:2" x14ac:dyDescent="0.25">
      <c r="A314" t="s">
        <v>581</v>
      </c>
      <c r="B314" s="3">
        <v>391347262.72871703</v>
      </c>
    </row>
    <row r="315" spans="1:2" x14ac:dyDescent="0.25">
      <c r="A315" t="s">
        <v>582</v>
      </c>
      <c r="B315" s="3">
        <v>391347262.72871703</v>
      </c>
    </row>
    <row r="316" spans="1:2" x14ac:dyDescent="0.25">
      <c r="A316" t="s">
        <v>583</v>
      </c>
      <c r="B316" s="3">
        <v>391347262.72871703</v>
      </c>
    </row>
    <row r="317" spans="1:2" x14ac:dyDescent="0.25">
      <c r="A317" t="s">
        <v>584</v>
      </c>
      <c r="B317" s="3">
        <v>391347262.72871703</v>
      </c>
    </row>
    <row r="318" spans="1:2" x14ac:dyDescent="0.25">
      <c r="A318" t="s">
        <v>585</v>
      </c>
      <c r="B318" s="3">
        <v>391347262.72871703</v>
      </c>
    </row>
    <row r="319" spans="1:2" x14ac:dyDescent="0.25">
      <c r="A319" t="s">
        <v>586</v>
      </c>
      <c r="B319" s="3">
        <v>391347262.72871703</v>
      </c>
    </row>
    <row r="320" spans="1:2" x14ac:dyDescent="0.25">
      <c r="A320" t="s">
        <v>587</v>
      </c>
      <c r="B320" s="3">
        <v>391347262.72871703</v>
      </c>
    </row>
    <row r="321" spans="1:2" x14ac:dyDescent="0.25">
      <c r="A321" t="s">
        <v>588</v>
      </c>
      <c r="B321" s="3">
        <v>391347262.72871703</v>
      </c>
    </row>
    <row r="322" spans="1:2" x14ac:dyDescent="0.25">
      <c r="A322" t="s">
        <v>589</v>
      </c>
      <c r="B322" s="3">
        <v>391347262.72871703</v>
      </c>
    </row>
    <row r="323" spans="1:2" x14ac:dyDescent="0.25">
      <c r="A323" t="s">
        <v>590</v>
      </c>
      <c r="B323" s="3">
        <v>391347262.72871703</v>
      </c>
    </row>
    <row r="324" spans="1:2" x14ac:dyDescent="0.25">
      <c r="A324" t="s">
        <v>591</v>
      </c>
      <c r="B324" s="3">
        <v>391347262.72871703</v>
      </c>
    </row>
    <row r="325" spans="1:2" x14ac:dyDescent="0.25">
      <c r="A325" t="s">
        <v>592</v>
      </c>
      <c r="B325" s="3">
        <v>391347262.72871703</v>
      </c>
    </row>
    <row r="326" spans="1:2" x14ac:dyDescent="0.25">
      <c r="A326" t="s">
        <v>593</v>
      </c>
      <c r="B326" s="3">
        <v>100800.52</v>
      </c>
    </row>
    <row r="327" spans="1:2" x14ac:dyDescent="0.25">
      <c r="A327" t="s">
        <v>594</v>
      </c>
      <c r="B327" s="3">
        <v>5049.6400000000003</v>
      </c>
    </row>
    <row r="328" spans="1:2" x14ac:dyDescent="0.25">
      <c r="A328" t="s">
        <v>595</v>
      </c>
      <c r="B328" s="3">
        <v>391347262.72871703</v>
      </c>
    </row>
    <row r="329" spans="1:2" x14ac:dyDescent="0.25">
      <c r="A329" t="s">
        <v>596</v>
      </c>
      <c r="B329" s="3">
        <v>88035669.359999999</v>
      </c>
    </row>
    <row r="330" spans="1:2" x14ac:dyDescent="0.25">
      <c r="A330" t="s">
        <v>597</v>
      </c>
      <c r="B330" s="3">
        <v>88035669.359999999</v>
      </c>
    </row>
    <row r="331" spans="1:2" x14ac:dyDescent="0.25">
      <c r="A331" t="s">
        <v>598</v>
      </c>
      <c r="B331" s="3">
        <v>88035669.359999999</v>
      </c>
    </row>
    <row r="332" spans="1:2" x14ac:dyDescent="0.25">
      <c r="A332" t="s">
        <v>599</v>
      </c>
      <c r="B332" s="3">
        <v>88035669.359999999</v>
      </c>
    </row>
    <row r="333" spans="1:2" x14ac:dyDescent="0.25">
      <c r="A333" t="s">
        <v>600</v>
      </c>
      <c r="B333" s="3">
        <v>0</v>
      </c>
    </row>
    <row r="334" spans="1:2" x14ac:dyDescent="0.25">
      <c r="A334" t="s">
        <v>601</v>
      </c>
      <c r="B334" s="3">
        <v>0</v>
      </c>
    </row>
    <row r="335" spans="1:2" x14ac:dyDescent="0.25">
      <c r="A335" t="s">
        <v>602</v>
      </c>
      <c r="B335" s="3">
        <v>34582028.590000004</v>
      </c>
    </row>
    <row r="336" spans="1:2" x14ac:dyDescent="0.25">
      <c r="A336" t="s">
        <v>603</v>
      </c>
      <c r="B336" s="3">
        <v>630212619.80476701</v>
      </c>
    </row>
    <row r="337" spans="1:2" x14ac:dyDescent="0.25">
      <c r="A337" t="s">
        <v>604</v>
      </c>
      <c r="B337" s="3">
        <v>630212619.80476701</v>
      </c>
    </row>
    <row r="338" spans="1:2" x14ac:dyDescent="0.25">
      <c r="A338" t="s">
        <v>605</v>
      </c>
      <c r="B338" s="3">
        <v>630212619.80476701</v>
      </c>
    </row>
    <row r="339" spans="1:2" x14ac:dyDescent="0.25">
      <c r="A339" t="s">
        <v>606</v>
      </c>
      <c r="B339" s="3">
        <v>630212619.80476701</v>
      </c>
    </row>
    <row r="340" spans="1:2" x14ac:dyDescent="0.25">
      <c r="A340" t="s">
        <v>607</v>
      </c>
      <c r="B340" s="3">
        <v>630212619.80476701</v>
      </c>
    </row>
    <row r="341" spans="1:2" x14ac:dyDescent="0.25">
      <c r="A341" t="s">
        <v>608</v>
      </c>
      <c r="B341" s="3">
        <v>630212619.80476701</v>
      </c>
    </row>
    <row r="342" spans="1:2" x14ac:dyDescent="0.25">
      <c r="A342" t="s">
        <v>609</v>
      </c>
      <c r="B342" s="3">
        <v>630212619.80476701</v>
      </c>
    </row>
    <row r="343" spans="1:2" x14ac:dyDescent="0.25">
      <c r="A343" t="s">
        <v>610</v>
      </c>
      <c r="B343" s="3">
        <v>630212619.80476701</v>
      </c>
    </row>
    <row r="344" spans="1:2" x14ac:dyDescent="0.25">
      <c r="A344" t="s">
        <v>611</v>
      </c>
      <c r="B344" s="3">
        <v>630212619.80476701</v>
      </c>
    </row>
    <row r="345" spans="1:2" x14ac:dyDescent="0.25">
      <c r="A345" t="s">
        <v>612</v>
      </c>
      <c r="B345" s="3">
        <v>630212619.80476701</v>
      </c>
    </row>
    <row r="346" spans="1:2" x14ac:dyDescent="0.25">
      <c r="A346" t="s">
        <v>613</v>
      </c>
      <c r="B346" s="3">
        <v>630212619.80476701</v>
      </c>
    </row>
    <row r="347" spans="1:2" x14ac:dyDescent="0.25">
      <c r="A347" t="s">
        <v>614</v>
      </c>
      <c r="B347" s="3">
        <v>630212619.80476701</v>
      </c>
    </row>
    <row r="348" spans="1:2" x14ac:dyDescent="0.25">
      <c r="A348" t="s">
        <v>615</v>
      </c>
      <c r="B348" s="3">
        <v>630212619.80476701</v>
      </c>
    </row>
    <row r="349" spans="1:2" x14ac:dyDescent="0.25">
      <c r="A349" t="s">
        <v>616</v>
      </c>
      <c r="B349" s="3">
        <v>630212619.80476701</v>
      </c>
    </row>
    <row r="350" spans="1:2" x14ac:dyDescent="0.25">
      <c r="A350" t="s">
        <v>617</v>
      </c>
      <c r="B350" s="3">
        <v>630212619.80476701</v>
      </c>
    </row>
    <row r="351" spans="1:2" x14ac:dyDescent="0.25">
      <c r="A351" t="s">
        <v>618</v>
      </c>
      <c r="B351" s="3">
        <v>630212619.80476701</v>
      </c>
    </row>
    <row r="352" spans="1:2" x14ac:dyDescent="0.25">
      <c r="A352" t="s">
        <v>619</v>
      </c>
      <c r="B352" s="3">
        <v>630212619.80476701</v>
      </c>
    </row>
    <row r="353" spans="1:2" x14ac:dyDescent="0.25">
      <c r="A353" t="s">
        <v>620</v>
      </c>
      <c r="B353" s="3">
        <v>630212619.80476701</v>
      </c>
    </row>
    <row r="354" spans="1:2" x14ac:dyDescent="0.25">
      <c r="A354" t="s">
        <v>621</v>
      </c>
      <c r="B354" s="3">
        <v>630212619.80476701</v>
      </c>
    </row>
    <row r="355" spans="1:2" x14ac:dyDescent="0.25">
      <c r="A355" t="s">
        <v>622</v>
      </c>
      <c r="B355" s="3">
        <v>665252477.89778697</v>
      </c>
    </row>
    <row r="356" spans="1:2" x14ac:dyDescent="0.25">
      <c r="A356" t="s">
        <v>623</v>
      </c>
      <c r="B356" s="3">
        <v>630212619.80476701</v>
      </c>
    </row>
    <row r="357" spans="1:2" x14ac:dyDescent="0.25">
      <c r="A357" t="s">
        <v>624</v>
      </c>
      <c r="B357" s="3">
        <v>0</v>
      </c>
    </row>
    <row r="358" spans="1:2" x14ac:dyDescent="0.25">
      <c r="A358" t="s">
        <v>625</v>
      </c>
      <c r="B358" s="3">
        <v>630212619.80476701</v>
      </c>
    </row>
    <row r="359" spans="1:2" x14ac:dyDescent="0.25">
      <c r="A359" t="s">
        <v>626</v>
      </c>
      <c r="B359" s="3">
        <v>630212619.80476701</v>
      </c>
    </row>
    <row r="360" spans="1:2" x14ac:dyDescent="0.25">
      <c r="A360" t="s">
        <v>627</v>
      </c>
      <c r="B360" s="3">
        <v>630212619.80476701</v>
      </c>
    </row>
    <row r="361" spans="1:2" x14ac:dyDescent="0.25">
      <c r="A361" t="s">
        <v>628</v>
      </c>
      <c r="B361" s="3">
        <v>630212619.80476701</v>
      </c>
    </row>
    <row r="362" spans="1:2" x14ac:dyDescent="0.25">
      <c r="A362" t="s">
        <v>629</v>
      </c>
      <c r="B362" s="3">
        <v>630212619.80476701</v>
      </c>
    </row>
    <row r="363" spans="1:2" x14ac:dyDescent="0.25">
      <c r="A363" t="s">
        <v>630</v>
      </c>
      <c r="B363" s="3">
        <v>630212619.80476701</v>
      </c>
    </row>
    <row r="364" spans="1:2" x14ac:dyDescent="0.25">
      <c r="A364" t="s">
        <v>631</v>
      </c>
      <c r="B364" s="3">
        <v>630212619.80476701</v>
      </c>
    </row>
    <row r="365" spans="1:2" x14ac:dyDescent="0.25">
      <c r="A365" t="s">
        <v>632</v>
      </c>
      <c r="B365" s="3">
        <v>630212619.80476701</v>
      </c>
    </row>
    <row r="366" spans="1:2" x14ac:dyDescent="0.25">
      <c r="A366" t="s">
        <v>633</v>
      </c>
      <c r="B366" s="3">
        <v>630212619.80476701</v>
      </c>
    </row>
    <row r="367" spans="1:2" x14ac:dyDescent="0.25">
      <c r="A367" t="s">
        <v>634</v>
      </c>
      <c r="B367" s="3">
        <v>630212619.80476701</v>
      </c>
    </row>
    <row r="368" spans="1:2" x14ac:dyDescent="0.25">
      <c r="A368" t="s">
        <v>635</v>
      </c>
      <c r="B368" s="3">
        <v>630212619.80476701</v>
      </c>
    </row>
    <row r="369" spans="1:2" x14ac:dyDescent="0.25">
      <c r="A369" t="s">
        <v>636</v>
      </c>
      <c r="B369" s="3">
        <v>690831449.69954097</v>
      </c>
    </row>
    <row r="370" spans="1:2" x14ac:dyDescent="0.25">
      <c r="A370" t="s">
        <v>637</v>
      </c>
      <c r="B370" s="3">
        <v>690831449.69954097</v>
      </c>
    </row>
    <row r="371" spans="1:2" x14ac:dyDescent="0.25">
      <c r="A371" t="s">
        <v>638</v>
      </c>
      <c r="B371" s="3">
        <v>690831449.69954097</v>
      </c>
    </row>
    <row r="372" spans="1:2" x14ac:dyDescent="0.25">
      <c r="A372" t="s">
        <v>639</v>
      </c>
      <c r="B372" s="3">
        <v>690831449.69954097</v>
      </c>
    </row>
    <row r="373" spans="1:2" x14ac:dyDescent="0.25">
      <c r="A373" t="s">
        <v>640</v>
      </c>
      <c r="B373" s="3">
        <v>690831449.69954097</v>
      </c>
    </row>
    <row r="374" spans="1:2" x14ac:dyDescent="0.25">
      <c r="A374" t="s">
        <v>641</v>
      </c>
      <c r="B374" s="3">
        <v>690831449.69954097</v>
      </c>
    </row>
    <row r="375" spans="1:2" x14ac:dyDescent="0.25">
      <c r="A375" t="s">
        <v>642</v>
      </c>
      <c r="B375" s="3">
        <v>690831449.69954097</v>
      </c>
    </row>
    <row r="376" spans="1:2" x14ac:dyDescent="0.25">
      <c r="A376" t="s">
        <v>643</v>
      </c>
      <c r="B376" s="3">
        <v>690831449.69954097</v>
      </c>
    </row>
    <row r="377" spans="1:2" x14ac:dyDescent="0.25">
      <c r="A377" t="s">
        <v>644</v>
      </c>
      <c r="B377" s="3">
        <v>690831449.69954097</v>
      </c>
    </row>
    <row r="378" spans="1:2" x14ac:dyDescent="0.25">
      <c r="A378" t="s">
        <v>645</v>
      </c>
      <c r="B378" s="3">
        <v>690831449.69954097</v>
      </c>
    </row>
    <row r="379" spans="1:2" x14ac:dyDescent="0.25">
      <c r="A379" t="s">
        <v>646</v>
      </c>
      <c r="B379" s="3">
        <v>690831449.69954097</v>
      </c>
    </row>
    <row r="380" spans="1:2" x14ac:dyDescent="0.25">
      <c r="A380" t="s">
        <v>647</v>
      </c>
      <c r="B380" s="3">
        <v>690831449.69954097</v>
      </c>
    </row>
    <row r="381" spans="1:2" x14ac:dyDescent="0.25">
      <c r="A381" t="s">
        <v>648</v>
      </c>
      <c r="B381" s="3">
        <v>690831449.69954097</v>
      </c>
    </row>
    <row r="382" spans="1:2" x14ac:dyDescent="0.25">
      <c r="A382" t="s">
        <v>649</v>
      </c>
      <c r="B382" s="3">
        <v>690831449.69954097</v>
      </c>
    </row>
    <row r="383" spans="1:2" x14ac:dyDescent="0.25">
      <c r="A383" t="s">
        <v>650</v>
      </c>
      <c r="B383" s="3">
        <v>690831449.69954097</v>
      </c>
    </row>
    <row r="384" spans="1:2" x14ac:dyDescent="0.25">
      <c r="A384" t="s">
        <v>651</v>
      </c>
      <c r="B384" s="3">
        <v>690831449.69954097</v>
      </c>
    </row>
    <row r="385" spans="1:2" x14ac:dyDescent="0.25">
      <c r="A385" t="s">
        <v>652</v>
      </c>
      <c r="B385" s="3">
        <v>690831449.69954097</v>
      </c>
    </row>
    <row r="386" spans="1:2" x14ac:dyDescent="0.25">
      <c r="A386" t="s">
        <v>653</v>
      </c>
      <c r="B386" s="3">
        <v>690831449.69954097</v>
      </c>
    </row>
    <row r="387" spans="1:2" x14ac:dyDescent="0.25">
      <c r="A387" t="s">
        <v>654</v>
      </c>
      <c r="B387" s="3">
        <v>705495232.24323797</v>
      </c>
    </row>
    <row r="388" spans="1:2" x14ac:dyDescent="0.25">
      <c r="A388" t="s">
        <v>655</v>
      </c>
      <c r="B388" s="3">
        <v>705495232.24323797</v>
      </c>
    </row>
    <row r="389" spans="1:2" x14ac:dyDescent="0.25">
      <c r="A389" t="s">
        <v>656</v>
      </c>
      <c r="B389" s="3">
        <v>690831449.69954097</v>
      </c>
    </row>
    <row r="390" spans="1:2" x14ac:dyDescent="0.25">
      <c r="A390" t="s">
        <v>657</v>
      </c>
      <c r="B390" s="3">
        <v>690831449.69954097</v>
      </c>
    </row>
    <row r="391" spans="1:2" x14ac:dyDescent="0.25">
      <c r="A391" t="s">
        <v>658</v>
      </c>
      <c r="B391" s="3">
        <v>690831449.69954097</v>
      </c>
    </row>
    <row r="392" spans="1:2" x14ac:dyDescent="0.25">
      <c r="A392" t="s">
        <v>659</v>
      </c>
      <c r="B392" s="3">
        <v>690831449.69954097</v>
      </c>
    </row>
    <row r="393" spans="1:2" x14ac:dyDescent="0.25">
      <c r="A393" t="s">
        <v>660</v>
      </c>
      <c r="B393" s="3">
        <v>690831449.69954097</v>
      </c>
    </row>
    <row r="394" spans="1:2" x14ac:dyDescent="0.25">
      <c r="A394" t="s">
        <v>661</v>
      </c>
      <c r="B394" s="3">
        <v>705495232.24323797</v>
      </c>
    </row>
    <row r="395" spans="1:2" x14ac:dyDescent="0.25">
      <c r="A395" t="s">
        <v>662</v>
      </c>
      <c r="B395" s="3">
        <v>690831449.69954097</v>
      </c>
    </row>
    <row r="396" spans="1:2" x14ac:dyDescent="0.25">
      <c r="A396" t="s">
        <v>663</v>
      </c>
      <c r="B396" s="3">
        <v>690831449.69954097</v>
      </c>
    </row>
    <row r="397" spans="1:2" x14ac:dyDescent="0.25">
      <c r="A397" t="s">
        <v>664</v>
      </c>
      <c r="B397" s="3">
        <v>690831449.69954097</v>
      </c>
    </row>
    <row r="398" spans="1:2" x14ac:dyDescent="0.25">
      <c r="A398" t="s">
        <v>665</v>
      </c>
      <c r="B398" s="3">
        <v>690831449.69954097</v>
      </c>
    </row>
    <row r="399" spans="1:2" x14ac:dyDescent="0.25">
      <c r="A399" t="s">
        <v>666</v>
      </c>
      <c r="B399" s="3">
        <v>690831449.69954097</v>
      </c>
    </row>
    <row r="400" spans="1:2" x14ac:dyDescent="0.25">
      <c r="A400" t="s">
        <v>667</v>
      </c>
      <c r="B400" s="3">
        <v>690831449.69954097</v>
      </c>
    </row>
    <row r="401" spans="1:2" x14ac:dyDescent="0.25">
      <c r="A401" t="s">
        <v>668</v>
      </c>
      <c r="B401" s="3">
        <v>690831449.69954097</v>
      </c>
    </row>
    <row r="402" spans="1:2" x14ac:dyDescent="0.25">
      <c r="A402" t="s">
        <v>669</v>
      </c>
      <c r="B402" s="3">
        <v>690831449.69954097</v>
      </c>
    </row>
    <row r="403" spans="1:2" x14ac:dyDescent="0.25">
      <c r="A403" t="s">
        <v>670</v>
      </c>
      <c r="B403" s="3">
        <v>690831449.69954097</v>
      </c>
    </row>
    <row r="404" spans="1:2" x14ac:dyDescent="0.25">
      <c r="A404" t="s">
        <v>671</v>
      </c>
      <c r="B404" s="3">
        <v>117374222.8</v>
      </c>
    </row>
    <row r="405" spans="1:2" x14ac:dyDescent="0.25">
      <c r="B405" s="3">
        <v>117647141.72</v>
      </c>
    </row>
    <row r="406" spans="1:2" x14ac:dyDescent="0.25">
      <c r="A406" t="s">
        <v>672</v>
      </c>
      <c r="B406" s="3">
        <v>50282314.25</v>
      </c>
    </row>
    <row r="407" spans="1:2" x14ac:dyDescent="0.25">
      <c r="A407" t="s">
        <v>673</v>
      </c>
      <c r="B407" s="3">
        <v>61305300.920000002</v>
      </c>
    </row>
    <row r="408" spans="1:2" x14ac:dyDescent="0.25">
      <c r="A408" t="s">
        <v>674</v>
      </c>
      <c r="B408" s="3">
        <v>51501099.229999997</v>
      </c>
    </row>
    <row r="409" spans="1:2" x14ac:dyDescent="0.25">
      <c r="B409" s="3">
        <v>542357289.71000004</v>
      </c>
    </row>
    <row r="410" spans="1:2" x14ac:dyDescent="0.25">
      <c r="A410" t="s">
        <v>675</v>
      </c>
      <c r="B410" s="3">
        <v>541491786.77999997</v>
      </c>
    </row>
    <row r="411" spans="1:2" x14ac:dyDescent="0.25">
      <c r="A411" t="s">
        <v>676</v>
      </c>
      <c r="B411" s="3">
        <v>64364098.68</v>
      </c>
    </row>
    <row r="412" spans="1:2" x14ac:dyDescent="0.25">
      <c r="A412" t="s">
        <v>677</v>
      </c>
      <c r="B412" s="3">
        <v>64364098.68</v>
      </c>
    </row>
    <row r="413" spans="1:2" x14ac:dyDescent="0.25">
      <c r="A413" t="s">
        <v>678</v>
      </c>
      <c r="B413" s="3">
        <v>64364098.68</v>
      </c>
    </row>
    <row r="414" spans="1:2" x14ac:dyDescent="0.25">
      <c r="A414" t="s">
        <v>679</v>
      </c>
      <c r="B414" s="3">
        <v>64364098.68</v>
      </c>
    </row>
    <row r="415" spans="1:2" x14ac:dyDescent="0.25">
      <c r="A415" t="s">
        <v>680</v>
      </c>
      <c r="B415" s="3">
        <v>178595490.5</v>
      </c>
    </row>
    <row r="416" spans="1:2" x14ac:dyDescent="0.25">
      <c r="A416" t="s">
        <v>681</v>
      </c>
      <c r="B416" s="3">
        <v>0</v>
      </c>
    </row>
    <row r="417" spans="1:2" x14ac:dyDescent="0.25">
      <c r="A417" t="s">
        <v>682</v>
      </c>
      <c r="B417" s="3">
        <v>0</v>
      </c>
    </row>
    <row r="418" spans="1:2" x14ac:dyDescent="0.25">
      <c r="A418" t="s">
        <v>683</v>
      </c>
      <c r="B418" s="3">
        <v>0</v>
      </c>
    </row>
    <row r="419" spans="1:2" x14ac:dyDescent="0.25">
      <c r="A419" t="s">
        <v>684</v>
      </c>
      <c r="B419" s="3">
        <v>178595490.5</v>
      </c>
    </row>
    <row r="420" spans="1:2" x14ac:dyDescent="0.25">
      <c r="A420" t="s">
        <v>685</v>
      </c>
      <c r="B420" s="3">
        <v>178595490.5</v>
      </c>
    </row>
    <row r="421" spans="1:2" x14ac:dyDescent="0.25">
      <c r="A421" t="s">
        <v>686</v>
      </c>
      <c r="B421" s="3">
        <v>178595490.5</v>
      </c>
    </row>
    <row r="422" spans="1:2" x14ac:dyDescent="0.25">
      <c r="A422" t="s">
        <v>687</v>
      </c>
      <c r="B422" s="3">
        <v>178595490.5</v>
      </c>
    </row>
    <row r="423" spans="1:2" x14ac:dyDescent="0.25">
      <c r="A423" t="s">
        <v>688</v>
      </c>
      <c r="B423" s="3">
        <v>178595490.5</v>
      </c>
    </row>
    <row r="424" spans="1:2" x14ac:dyDescent="0.25">
      <c r="A424" t="s">
        <v>689</v>
      </c>
      <c r="B424" s="3">
        <v>178595490.5</v>
      </c>
    </row>
    <row r="425" spans="1:2" x14ac:dyDescent="0.25">
      <c r="A425" t="s">
        <v>690</v>
      </c>
      <c r="B425" s="3">
        <v>178595490.5</v>
      </c>
    </row>
    <row r="426" spans="1:2" x14ac:dyDescent="0.25">
      <c r="A426" t="s">
        <v>691</v>
      </c>
      <c r="B426" s="3">
        <v>178595490.5</v>
      </c>
    </row>
    <row r="427" spans="1:2" x14ac:dyDescent="0.25">
      <c r="A427" t="s">
        <v>692</v>
      </c>
      <c r="B427" s="3">
        <v>178595490.5</v>
      </c>
    </row>
    <row r="428" spans="1:2" x14ac:dyDescent="0.25">
      <c r="A428" t="s">
        <v>693</v>
      </c>
      <c r="B428" s="3">
        <v>178595490.5</v>
      </c>
    </row>
    <row r="429" spans="1:2" x14ac:dyDescent="0.25">
      <c r="A429" t="s">
        <v>694</v>
      </c>
      <c r="B429" s="3">
        <v>178595490.5</v>
      </c>
    </row>
    <row r="430" spans="1:2" x14ac:dyDescent="0.25">
      <c r="A430" t="s">
        <v>695</v>
      </c>
      <c r="B430" s="3">
        <v>0</v>
      </c>
    </row>
    <row r="431" spans="1:2" x14ac:dyDescent="0.25">
      <c r="A431" t="s">
        <v>696</v>
      </c>
      <c r="B431" s="3">
        <v>159706182.94</v>
      </c>
    </row>
    <row r="432" spans="1:2" x14ac:dyDescent="0.25">
      <c r="A432" t="s">
        <v>697</v>
      </c>
      <c r="B432" s="3">
        <v>159706182.94</v>
      </c>
    </row>
    <row r="433" spans="1:2" x14ac:dyDescent="0.25">
      <c r="A433" t="s">
        <v>698</v>
      </c>
      <c r="B433" s="3">
        <v>159706182.94</v>
      </c>
    </row>
    <row r="434" spans="1:2" x14ac:dyDescent="0.25">
      <c r="A434" t="s">
        <v>699</v>
      </c>
      <c r="B434" s="3">
        <v>1513470535.8699999</v>
      </c>
    </row>
    <row r="435" spans="1:2" x14ac:dyDescent="0.25">
      <c r="A435" t="s">
        <v>700</v>
      </c>
      <c r="B435" s="3">
        <v>1513470535.8699999</v>
      </c>
    </row>
    <row r="436" spans="1:2" x14ac:dyDescent="0.25">
      <c r="A436" t="s">
        <v>701</v>
      </c>
      <c r="B436" s="3">
        <v>1513470535.8699999</v>
      </c>
    </row>
    <row r="437" spans="1:2" x14ac:dyDescent="0.25">
      <c r="A437" t="s">
        <v>702</v>
      </c>
      <c r="B437" s="3">
        <v>1513470535.8699999</v>
      </c>
    </row>
    <row r="438" spans="1:2" x14ac:dyDescent="0.25">
      <c r="A438" t="s">
        <v>703</v>
      </c>
      <c r="B438" s="3">
        <v>1513470535.8699999</v>
      </c>
    </row>
    <row r="439" spans="1:2" x14ac:dyDescent="0.25">
      <c r="A439" t="s">
        <v>704</v>
      </c>
      <c r="B439" s="3">
        <v>1513470535.8699999</v>
      </c>
    </row>
    <row r="440" spans="1:2" x14ac:dyDescent="0.25">
      <c r="A440" t="s">
        <v>705</v>
      </c>
      <c r="B440" s="3">
        <v>1513470535.8699999</v>
      </c>
    </row>
    <row r="441" spans="1:2" x14ac:dyDescent="0.25">
      <c r="A441" t="s">
        <v>706</v>
      </c>
      <c r="B441" s="3">
        <v>96100006.189999998</v>
      </c>
    </row>
    <row r="442" spans="1:2" x14ac:dyDescent="0.25">
      <c r="A442" t="s">
        <v>707</v>
      </c>
      <c r="B442" s="3">
        <v>158628233.94</v>
      </c>
    </row>
    <row r="443" spans="1:2" x14ac:dyDescent="0.25">
      <c r="A443" t="s">
        <v>708</v>
      </c>
      <c r="B443" s="3">
        <v>281953727.26999998</v>
      </c>
    </row>
    <row r="444" spans="1:2" x14ac:dyDescent="0.25">
      <c r="A444" t="s">
        <v>709</v>
      </c>
      <c r="B444" s="3">
        <v>128748340.83</v>
      </c>
    </row>
    <row r="445" spans="1:2" x14ac:dyDescent="0.25">
      <c r="A445" t="s">
        <v>710</v>
      </c>
      <c r="B445" s="3">
        <v>198924090.41</v>
      </c>
    </row>
    <row r="446" spans="1:2" x14ac:dyDescent="0.25">
      <c r="A446" t="s">
        <v>711</v>
      </c>
      <c r="B446" s="3">
        <v>119421339.8</v>
      </c>
    </row>
    <row r="447" spans="1:2" x14ac:dyDescent="0.25">
      <c r="A447" t="s">
        <v>712</v>
      </c>
      <c r="B447" s="3">
        <v>261265121.25999999</v>
      </c>
    </row>
    <row r="448" spans="1:2" x14ac:dyDescent="0.25">
      <c r="A448" t="s">
        <v>713</v>
      </c>
      <c r="B448" s="3">
        <v>161497519.30000001</v>
      </c>
    </row>
    <row r="449" spans="1:2" x14ac:dyDescent="0.25">
      <c r="A449" t="s">
        <v>714</v>
      </c>
      <c r="B449" s="3">
        <v>154260193.72</v>
      </c>
    </row>
    <row r="450" spans="1:2" x14ac:dyDescent="0.25">
      <c r="A450" t="s">
        <v>715</v>
      </c>
      <c r="B450" s="3">
        <v>121038034.72</v>
      </c>
    </row>
    <row r="451" spans="1:2" x14ac:dyDescent="0.25">
      <c r="A451" t="s">
        <v>716</v>
      </c>
      <c r="B451" s="3">
        <v>95235978.840000004</v>
      </c>
    </row>
    <row r="452" spans="1:2" x14ac:dyDescent="0.25">
      <c r="A452" t="s">
        <v>717</v>
      </c>
      <c r="B452" s="3">
        <v>91509559.769999996</v>
      </c>
    </row>
    <row r="453" spans="1:2" x14ac:dyDescent="0.25">
      <c r="A453" t="s">
        <v>718</v>
      </c>
      <c r="B453" s="3">
        <v>77301166.689999998</v>
      </c>
    </row>
    <row r="454" spans="1:2" x14ac:dyDescent="0.25">
      <c r="A454" t="s">
        <v>719</v>
      </c>
      <c r="B454" s="3">
        <v>475014046.63999999</v>
      </c>
    </row>
    <row r="455" spans="1:2" x14ac:dyDescent="0.25">
      <c r="A455" t="s">
        <v>720</v>
      </c>
      <c r="B455" s="3">
        <v>161852625.59999999</v>
      </c>
    </row>
    <row r="456" spans="1:2" x14ac:dyDescent="0.25">
      <c r="A456" t="s">
        <v>721</v>
      </c>
      <c r="B456" s="3">
        <v>102104638.89</v>
      </c>
    </row>
    <row r="457" spans="1:2" x14ac:dyDescent="0.25">
      <c r="A457" t="s">
        <v>722</v>
      </c>
      <c r="B457" s="3">
        <v>95052381.709999993</v>
      </c>
    </row>
    <row r="458" spans="1:2" x14ac:dyDescent="0.25">
      <c r="A458" t="s">
        <v>723</v>
      </c>
      <c r="B458" s="3">
        <v>308214509.19999999</v>
      </c>
    </row>
    <row r="459" spans="1:2" x14ac:dyDescent="0.25">
      <c r="A459" t="s">
        <v>724</v>
      </c>
      <c r="B459" s="3">
        <v>123821788.76000001</v>
      </c>
    </row>
    <row r="460" spans="1:2" x14ac:dyDescent="0.25">
      <c r="A460" t="s">
        <v>725</v>
      </c>
      <c r="B460" s="3">
        <v>102686845.47</v>
      </c>
    </row>
    <row r="461" spans="1:2" x14ac:dyDescent="0.25">
      <c r="A461" t="s">
        <v>726</v>
      </c>
      <c r="B461" s="3">
        <v>78588327.329999998</v>
      </c>
    </row>
    <row r="462" spans="1:2" x14ac:dyDescent="0.25">
      <c r="A462" t="s">
        <v>727</v>
      </c>
      <c r="B462" s="3">
        <v>84925907.489999995</v>
      </c>
    </row>
    <row r="463" spans="1:2" x14ac:dyDescent="0.25">
      <c r="A463" t="s">
        <v>728</v>
      </c>
      <c r="B463" s="3">
        <v>69470421.769999996</v>
      </c>
    </row>
    <row r="464" spans="1:2" x14ac:dyDescent="0.25">
      <c r="A464" t="s">
        <v>729</v>
      </c>
      <c r="B464" s="3">
        <v>371115483.25</v>
      </c>
    </row>
    <row r="465" spans="1:2" x14ac:dyDescent="0.25">
      <c r="A465" t="s">
        <v>730</v>
      </c>
      <c r="B465" s="3">
        <v>73403870.370000005</v>
      </c>
    </row>
    <row r="466" spans="1:2" x14ac:dyDescent="0.25">
      <c r="A466" t="s">
        <v>731</v>
      </c>
      <c r="B466" s="3">
        <v>346477164.70999998</v>
      </c>
    </row>
    <row r="467" spans="1:2" x14ac:dyDescent="0.25">
      <c r="A467" t="s">
        <v>732</v>
      </c>
      <c r="B467" s="3">
        <v>116074546.37</v>
      </c>
    </row>
    <row r="468" spans="1:2" x14ac:dyDescent="0.25">
      <c r="A468" t="s">
        <v>733</v>
      </c>
      <c r="B468" s="3">
        <v>201057088.03</v>
      </c>
    </row>
    <row r="469" spans="1:2" x14ac:dyDescent="0.25">
      <c r="A469" t="s">
        <v>734</v>
      </c>
      <c r="B469" s="3">
        <v>91892530.030000001</v>
      </c>
    </row>
    <row r="470" spans="1:2" x14ac:dyDescent="0.25">
      <c r="A470" t="s">
        <v>735</v>
      </c>
      <c r="B470" s="3">
        <v>109776828.37</v>
      </c>
    </row>
    <row r="471" spans="1:2" x14ac:dyDescent="0.25">
      <c r="A471" t="s">
        <v>736</v>
      </c>
      <c r="B471" s="3">
        <v>100789193.09999999</v>
      </c>
    </row>
    <row r="472" spans="1:2" x14ac:dyDescent="0.25">
      <c r="A472" t="s">
        <v>737</v>
      </c>
      <c r="B472" s="3">
        <v>266448074.94999999</v>
      </c>
    </row>
    <row r="473" spans="1:2" x14ac:dyDescent="0.25">
      <c r="A473" t="s">
        <v>738</v>
      </c>
      <c r="B473" s="3">
        <v>101161691.56999999</v>
      </c>
    </row>
    <row r="474" spans="1:2" x14ac:dyDescent="0.25">
      <c r="A474" t="s">
        <v>739</v>
      </c>
      <c r="B474" s="3">
        <v>246391074.99000001</v>
      </c>
    </row>
    <row r="475" spans="1:2" x14ac:dyDescent="0.25">
      <c r="A475" t="s">
        <v>740</v>
      </c>
      <c r="B475" s="3">
        <v>152134157.93000001</v>
      </c>
    </row>
    <row r="476" spans="1:2" x14ac:dyDescent="0.25">
      <c r="A476" t="s">
        <v>741</v>
      </c>
      <c r="B476" s="3">
        <v>84825250.719999999</v>
      </c>
    </row>
    <row r="477" spans="1:2" x14ac:dyDescent="0.25">
      <c r="A477" t="s">
        <v>742</v>
      </c>
      <c r="B477" s="3">
        <v>152912385.44999999</v>
      </c>
    </row>
    <row r="478" spans="1:2" x14ac:dyDescent="0.25">
      <c r="A478" t="s">
        <v>743</v>
      </c>
      <c r="B478" s="3">
        <v>97165710.549999997</v>
      </c>
    </row>
    <row r="479" spans="1:2" x14ac:dyDescent="0.25">
      <c r="A479" t="s">
        <v>744</v>
      </c>
      <c r="B479" s="3">
        <v>141010942.69999999</v>
      </c>
    </row>
    <row r="480" spans="1:2" x14ac:dyDescent="0.25">
      <c r="A480" t="s">
        <v>745</v>
      </c>
      <c r="B480" s="3">
        <v>241898619.28999999</v>
      </c>
    </row>
    <row r="481" spans="1:2" x14ac:dyDescent="0.25">
      <c r="A481" t="s">
        <v>746</v>
      </c>
      <c r="B481" s="3">
        <v>241898619.28999999</v>
      </c>
    </row>
    <row r="482" spans="1:2" x14ac:dyDescent="0.25">
      <c r="A482" t="s">
        <v>747</v>
      </c>
      <c r="B482" s="3">
        <v>241898619.28999999</v>
      </c>
    </row>
    <row r="483" spans="1:2" x14ac:dyDescent="0.25">
      <c r="A483" t="s">
        <v>748</v>
      </c>
      <c r="B483" s="3">
        <v>241898619.28999999</v>
      </c>
    </row>
    <row r="484" spans="1:2" x14ac:dyDescent="0.25">
      <c r="A484" t="s">
        <v>749</v>
      </c>
      <c r="B484" s="3">
        <v>218017201.87</v>
      </c>
    </row>
    <row r="485" spans="1:2" x14ac:dyDescent="0.25">
      <c r="A485" t="s">
        <v>750</v>
      </c>
      <c r="B485" s="3">
        <v>38904410.439999998</v>
      </c>
    </row>
    <row r="486" spans="1:2" x14ac:dyDescent="0.25">
      <c r="B486" s="3">
        <v>39131239.240000002</v>
      </c>
    </row>
    <row r="487" spans="1:2" x14ac:dyDescent="0.25">
      <c r="A487" t="s">
        <v>751</v>
      </c>
      <c r="B487" s="3">
        <v>20162800.800000001</v>
      </c>
    </row>
    <row r="488" spans="1:2" x14ac:dyDescent="0.25">
      <c r="B488" s="3">
        <v>20227175.09</v>
      </c>
    </row>
    <row r="489" spans="1:2" x14ac:dyDescent="0.25">
      <c r="A489" t="s">
        <v>752</v>
      </c>
      <c r="B489" s="3">
        <v>42877755.259999998</v>
      </c>
    </row>
    <row r="490" spans="1:2" x14ac:dyDescent="0.25">
      <c r="A490" t="s">
        <v>753</v>
      </c>
      <c r="B490" s="3">
        <v>160479.54</v>
      </c>
    </row>
    <row r="491" spans="1:2" x14ac:dyDescent="0.25">
      <c r="A491" t="s">
        <v>754</v>
      </c>
      <c r="B491" s="3">
        <v>111418609.12</v>
      </c>
    </row>
    <row r="492" spans="1:2" x14ac:dyDescent="0.25">
      <c r="A492" t="s">
        <v>755</v>
      </c>
      <c r="B492" s="3">
        <v>374749.93</v>
      </c>
    </row>
    <row r="493" spans="1:2" x14ac:dyDescent="0.25">
      <c r="A493" t="s">
        <v>756</v>
      </c>
      <c r="B493" s="3">
        <v>165220.21</v>
      </c>
    </row>
    <row r="494" spans="1:2" x14ac:dyDescent="0.25">
      <c r="A494" t="s">
        <v>757</v>
      </c>
      <c r="B494" s="3">
        <v>27277.01</v>
      </c>
    </row>
    <row r="495" spans="1:2" x14ac:dyDescent="0.25">
      <c r="A495" t="s">
        <v>758</v>
      </c>
      <c r="B495" s="3">
        <v>102044273.404465</v>
      </c>
    </row>
    <row r="496" spans="1:2" x14ac:dyDescent="0.25">
      <c r="A496" t="s">
        <v>759</v>
      </c>
      <c r="B496" s="3">
        <v>104189637.381658</v>
      </c>
    </row>
    <row r="497" spans="1:2" x14ac:dyDescent="0.25">
      <c r="A497" t="s">
        <v>760</v>
      </c>
      <c r="B497" s="3">
        <v>107461697.62757599</v>
      </c>
    </row>
    <row r="498" spans="1:2" x14ac:dyDescent="0.25">
      <c r="A498" t="s">
        <v>761</v>
      </c>
      <c r="B498" s="3">
        <v>110307169.58929799</v>
      </c>
    </row>
    <row r="499" spans="1:2" x14ac:dyDescent="0.25">
      <c r="A499" t="s">
        <v>762</v>
      </c>
      <c r="B499" s="3">
        <v>110861300.53883401</v>
      </c>
    </row>
    <row r="500" spans="1:2" x14ac:dyDescent="0.25">
      <c r="A500" t="s">
        <v>763</v>
      </c>
      <c r="B500" s="3">
        <v>250938.85494393</v>
      </c>
    </row>
    <row r="501" spans="1:2" x14ac:dyDescent="0.25">
      <c r="A501" t="s">
        <v>764</v>
      </c>
      <c r="B501" s="3">
        <v>99434488.5</v>
      </c>
    </row>
    <row r="502" spans="1:2" x14ac:dyDescent="0.25">
      <c r="A502" t="s">
        <v>765</v>
      </c>
      <c r="B502" s="3">
        <v>104634092.70999999</v>
      </c>
    </row>
    <row r="503" spans="1:2" x14ac:dyDescent="0.25">
      <c r="A503" t="s">
        <v>766</v>
      </c>
      <c r="B503" s="3">
        <v>104713171.75</v>
      </c>
    </row>
    <row r="504" spans="1:2" x14ac:dyDescent="0.25">
      <c r="A504" t="s">
        <v>767</v>
      </c>
      <c r="B504" s="3">
        <v>113981513.8</v>
      </c>
    </row>
    <row r="505" spans="1:2" x14ac:dyDescent="0.25">
      <c r="A505" t="s">
        <v>768</v>
      </c>
      <c r="B505" s="3">
        <v>108643973.34999999</v>
      </c>
    </row>
    <row r="506" spans="1:2" x14ac:dyDescent="0.25">
      <c r="A506" t="s">
        <v>769</v>
      </c>
      <c r="B506" s="3">
        <v>104877709.36</v>
      </c>
    </row>
    <row r="507" spans="1:2" x14ac:dyDescent="0.25">
      <c r="A507" t="s">
        <v>770</v>
      </c>
      <c r="B507" s="3">
        <v>101849229.91</v>
      </c>
    </row>
    <row r="508" spans="1:2" x14ac:dyDescent="0.25">
      <c r="A508" t="s">
        <v>771</v>
      </c>
      <c r="B508" s="3">
        <v>106301593.17551599</v>
      </c>
    </row>
    <row r="509" spans="1:2" x14ac:dyDescent="0.25">
      <c r="A509" t="s">
        <v>772</v>
      </c>
      <c r="B509" s="3">
        <v>105774882.658609</v>
      </c>
    </row>
    <row r="510" spans="1:2" x14ac:dyDescent="0.25">
      <c r="A510" t="s">
        <v>773</v>
      </c>
      <c r="B510" s="3">
        <v>105907594.365474</v>
      </c>
    </row>
    <row r="511" spans="1:2" x14ac:dyDescent="0.25">
      <c r="A511" t="s">
        <v>774</v>
      </c>
      <c r="B511" s="3">
        <v>106357930.657805</v>
      </c>
    </row>
    <row r="512" spans="1:2" x14ac:dyDescent="0.25">
      <c r="A512" t="s">
        <v>775</v>
      </c>
      <c r="B512" s="3">
        <v>107971684.115656</v>
      </c>
    </row>
    <row r="513" spans="1:2" x14ac:dyDescent="0.25">
      <c r="A513" t="s">
        <v>776</v>
      </c>
      <c r="B513" s="3">
        <v>108462857.340655</v>
      </c>
    </row>
    <row r="514" spans="1:2" x14ac:dyDescent="0.25">
      <c r="A514" t="s">
        <v>777</v>
      </c>
      <c r="B514" s="3">
        <v>107222372.016524</v>
      </c>
    </row>
    <row r="515" spans="1:2" x14ac:dyDescent="0.25">
      <c r="A515" t="s">
        <v>778</v>
      </c>
      <c r="B515" s="3">
        <v>109663201.736481</v>
      </c>
    </row>
    <row r="516" spans="1:2" x14ac:dyDescent="0.25">
      <c r="A516" t="s">
        <v>779</v>
      </c>
      <c r="B516" s="3">
        <v>107880753.775299</v>
      </c>
    </row>
    <row r="517" spans="1:2" x14ac:dyDescent="0.25">
      <c r="A517" t="s">
        <v>780</v>
      </c>
      <c r="B517" s="3">
        <v>105751070.04804599</v>
      </c>
    </row>
    <row r="518" spans="1:2" x14ac:dyDescent="0.25">
      <c r="A518" t="s">
        <v>781</v>
      </c>
      <c r="B518" s="3">
        <v>111534266.84</v>
      </c>
    </row>
    <row r="519" spans="1:2" x14ac:dyDescent="0.25">
      <c r="A519" t="s">
        <v>782</v>
      </c>
      <c r="B519" s="3">
        <v>109168199.55</v>
      </c>
    </row>
    <row r="520" spans="1:2" x14ac:dyDescent="0.25">
      <c r="A520" t="s">
        <v>783</v>
      </c>
      <c r="B520" s="3">
        <v>103674069.89999899</v>
      </c>
    </row>
    <row r="521" spans="1:2" x14ac:dyDescent="0.25">
      <c r="A521" t="s">
        <v>784</v>
      </c>
      <c r="B521" s="3">
        <v>108916486.63499901</v>
      </c>
    </row>
    <row r="522" spans="1:2" x14ac:dyDescent="0.25">
      <c r="A522" t="s">
        <v>785</v>
      </c>
      <c r="B522" s="3">
        <v>128377961.85244</v>
      </c>
    </row>
    <row r="523" spans="1:2" x14ac:dyDescent="0.25">
      <c r="A523" t="s">
        <v>786</v>
      </c>
      <c r="B523" s="3">
        <v>148273654.31</v>
      </c>
    </row>
    <row r="524" spans="1:2" x14ac:dyDescent="0.25">
      <c r="A524" t="s">
        <v>787</v>
      </c>
      <c r="B524" s="3">
        <v>16628746.68</v>
      </c>
    </row>
    <row r="525" spans="1:2" x14ac:dyDescent="0.25">
      <c r="A525" t="s">
        <v>788</v>
      </c>
      <c r="B525" s="3">
        <v>760794813.66999996</v>
      </c>
    </row>
    <row r="526" spans="1:2" x14ac:dyDescent="0.25">
      <c r="A526" t="s">
        <v>789</v>
      </c>
      <c r="B526" s="3">
        <v>542276702.21000004</v>
      </c>
    </row>
    <row r="527" spans="1:2" x14ac:dyDescent="0.25">
      <c r="A527" t="s">
        <v>790</v>
      </c>
      <c r="B527" s="3">
        <v>113377525.61</v>
      </c>
    </row>
    <row r="528" spans="1:2" x14ac:dyDescent="0.25">
      <c r="A528" t="s">
        <v>791</v>
      </c>
      <c r="B528" s="3">
        <v>41018280.270000003</v>
      </c>
    </row>
    <row r="529" spans="1:2" x14ac:dyDescent="0.25">
      <c r="A529" t="s">
        <v>792</v>
      </c>
      <c r="B529" s="3">
        <v>104183459.03</v>
      </c>
    </row>
    <row r="530" spans="1:2" x14ac:dyDescent="0.25">
      <c r="A530" t="s">
        <v>793</v>
      </c>
      <c r="B530" s="3">
        <v>190197247.00999999</v>
      </c>
    </row>
    <row r="531" spans="1:2" x14ac:dyDescent="0.25">
      <c r="A531" t="s">
        <v>794</v>
      </c>
      <c r="B531" s="3">
        <v>40940026.539999999</v>
      </c>
    </row>
    <row r="532" spans="1:2" x14ac:dyDescent="0.25">
      <c r="A532" t="s">
        <v>795</v>
      </c>
      <c r="B532" s="3">
        <v>103115978.67</v>
      </c>
    </row>
    <row r="533" spans="1:2" x14ac:dyDescent="0.25">
      <c r="A533" t="s">
        <v>796</v>
      </c>
      <c r="B533" s="3">
        <v>189225125.08000001</v>
      </c>
    </row>
    <row r="534" spans="1:2" x14ac:dyDescent="0.25">
      <c r="A534" t="s">
        <v>797</v>
      </c>
      <c r="B534" s="3">
        <v>24301429.399999999</v>
      </c>
    </row>
    <row r="535" spans="1:2" x14ac:dyDescent="0.25">
      <c r="A535" t="s">
        <v>798</v>
      </c>
      <c r="B535" s="3">
        <v>411553018.62</v>
      </c>
    </row>
    <row r="536" spans="1:2" x14ac:dyDescent="0.25">
      <c r="A536" t="s">
        <v>799</v>
      </c>
      <c r="B536" s="3">
        <v>411553018.62</v>
      </c>
    </row>
    <row r="537" spans="1:2" x14ac:dyDescent="0.25">
      <c r="A537" t="s">
        <v>800</v>
      </c>
      <c r="B537" s="3">
        <v>411553018.62</v>
      </c>
    </row>
    <row r="538" spans="1:2" x14ac:dyDescent="0.25">
      <c r="A538" t="s">
        <v>801</v>
      </c>
      <c r="B538" s="3">
        <v>411553018.62</v>
      </c>
    </row>
    <row r="539" spans="1:2" x14ac:dyDescent="0.25">
      <c r="A539" t="s">
        <v>802</v>
      </c>
      <c r="B539" s="3">
        <v>106570599.09999999</v>
      </c>
    </row>
    <row r="540" spans="1:2" x14ac:dyDescent="0.25">
      <c r="A540" t="s">
        <v>803</v>
      </c>
      <c r="B540" s="3">
        <v>106570599.09999999</v>
      </c>
    </row>
    <row r="541" spans="1:2" x14ac:dyDescent="0.25">
      <c r="A541" t="s">
        <v>804</v>
      </c>
      <c r="B541" s="3">
        <v>106570599.09999999</v>
      </c>
    </row>
    <row r="542" spans="1:2" x14ac:dyDescent="0.25">
      <c r="A542" t="s">
        <v>805</v>
      </c>
      <c r="B542" s="3">
        <v>106570599.09999999</v>
      </c>
    </row>
    <row r="543" spans="1:2" x14ac:dyDescent="0.25">
      <c r="A543" t="s">
        <v>806</v>
      </c>
      <c r="B543" s="3">
        <v>195903592.63999999</v>
      </c>
    </row>
    <row r="544" spans="1:2" x14ac:dyDescent="0.25">
      <c r="A544" t="s">
        <v>807</v>
      </c>
      <c r="B544" s="3">
        <v>195903592.63999999</v>
      </c>
    </row>
    <row r="545" spans="1:2" x14ac:dyDescent="0.25">
      <c r="A545" t="s">
        <v>808</v>
      </c>
      <c r="B545" s="3">
        <v>195903592.63999999</v>
      </c>
    </row>
    <row r="546" spans="1:2" x14ac:dyDescent="0.25">
      <c r="A546" t="s">
        <v>809</v>
      </c>
      <c r="B546" s="3">
        <v>195903592.63999999</v>
      </c>
    </row>
    <row r="547" spans="1:2" x14ac:dyDescent="0.25">
      <c r="A547" t="s">
        <v>810</v>
      </c>
      <c r="B547" s="3">
        <v>253718315.69999999</v>
      </c>
    </row>
    <row r="548" spans="1:2" x14ac:dyDescent="0.25">
      <c r="A548" t="s">
        <v>811</v>
      </c>
      <c r="B548" s="3">
        <v>253718315.69999999</v>
      </c>
    </row>
    <row r="549" spans="1:2" x14ac:dyDescent="0.25">
      <c r="A549" t="s">
        <v>812</v>
      </c>
      <c r="B549" s="3">
        <v>253718315.69999999</v>
      </c>
    </row>
    <row r="550" spans="1:2" x14ac:dyDescent="0.25">
      <c r="A550" t="s">
        <v>813</v>
      </c>
      <c r="B550" s="3">
        <v>253718315.69999999</v>
      </c>
    </row>
    <row r="551" spans="1:2" x14ac:dyDescent="0.25">
      <c r="A551" t="s">
        <v>814</v>
      </c>
      <c r="B551" s="3">
        <v>861280786.05999994</v>
      </c>
    </row>
    <row r="552" spans="1:2" x14ac:dyDescent="0.25">
      <c r="A552" t="s">
        <v>815</v>
      </c>
      <c r="B552" s="3">
        <v>861280786.05999994</v>
      </c>
    </row>
    <row r="553" spans="1:2" x14ac:dyDescent="0.25">
      <c r="A553" t="s">
        <v>816</v>
      </c>
      <c r="B553" s="3">
        <v>861280786.05999994</v>
      </c>
    </row>
    <row r="554" spans="1:2" x14ac:dyDescent="0.25">
      <c r="A554" t="s">
        <v>817</v>
      </c>
      <c r="B554" s="3">
        <v>861280786.05999994</v>
      </c>
    </row>
    <row r="555" spans="1:2" x14ac:dyDescent="0.25">
      <c r="A555" t="s">
        <v>818</v>
      </c>
      <c r="B555" s="3">
        <v>1257536748.6700001</v>
      </c>
    </row>
    <row r="556" spans="1:2" x14ac:dyDescent="0.25">
      <c r="A556" t="s">
        <v>819</v>
      </c>
      <c r="B556" s="3">
        <v>1257536748.6700001</v>
      </c>
    </row>
    <row r="557" spans="1:2" x14ac:dyDescent="0.25">
      <c r="A557" t="s">
        <v>820</v>
      </c>
      <c r="B557" s="3">
        <v>1257536748.6700001</v>
      </c>
    </row>
    <row r="558" spans="1:2" x14ac:dyDescent="0.25">
      <c r="A558" t="s">
        <v>821</v>
      </c>
      <c r="B558" s="3">
        <v>1257536748.6700001</v>
      </c>
    </row>
    <row r="559" spans="1:2" x14ac:dyDescent="0.25">
      <c r="A559" t="s">
        <v>822</v>
      </c>
      <c r="B559" s="3">
        <v>45075098.240000002</v>
      </c>
    </row>
    <row r="560" spans="1:2" x14ac:dyDescent="0.25">
      <c r="A560" t="s">
        <v>823</v>
      </c>
      <c r="B560" s="3">
        <v>45075098.240000002</v>
      </c>
    </row>
    <row r="561" spans="1:2" x14ac:dyDescent="0.25">
      <c r="A561" t="s">
        <v>824</v>
      </c>
      <c r="B561" s="3">
        <v>45075098.240000002</v>
      </c>
    </row>
    <row r="562" spans="1:2" x14ac:dyDescent="0.25">
      <c r="A562" t="s">
        <v>825</v>
      </c>
      <c r="B562" s="3">
        <v>45075098.240000002</v>
      </c>
    </row>
    <row r="563" spans="1:2" x14ac:dyDescent="0.25">
      <c r="A563" t="s">
        <v>826</v>
      </c>
      <c r="B563" s="3">
        <v>51108884.119999997</v>
      </c>
    </row>
    <row r="564" spans="1:2" x14ac:dyDescent="0.25">
      <c r="A564" t="s">
        <v>827</v>
      </c>
      <c r="B564" s="3">
        <v>298505712.75999999</v>
      </c>
    </row>
    <row r="565" spans="1:2" x14ac:dyDescent="0.25">
      <c r="A565" t="s">
        <v>828</v>
      </c>
      <c r="B565" s="3">
        <v>298505712.75999999</v>
      </c>
    </row>
    <row r="566" spans="1:2" x14ac:dyDescent="0.25">
      <c r="A566" t="s">
        <v>829</v>
      </c>
      <c r="B566" s="3">
        <v>298505712.75999999</v>
      </c>
    </row>
    <row r="567" spans="1:2" x14ac:dyDescent="0.25">
      <c r="A567" t="s">
        <v>830</v>
      </c>
      <c r="B567" s="3">
        <v>536507230.87</v>
      </c>
    </row>
    <row r="568" spans="1:2" x14ac:dyDescent="0.25">
      <c r="A568" t="s">
        <v>830</v>
      </c>
    </row>
    <row r="569" spans="1:2" x14ac:dyDescent="0.25">
      <c r="A569" t="s">
        <v>831</v>
      </c>
      <c r="B569" s="3">
        <v>536507230.87</v>
      </c>
    </row>
    <row r="570" spans="1:2" x14ac:dyDescent="0.25">
      <c r="A570" t="s">
        <v>832</v>
      </c>
      <c r="B570" s="3">
        <v>536507230.87</v>
      </c>
    </row>
    <row r="571" spans="1:2" x14ac:dyDescent="0.25">
      <c r="A571" t="s">
        <v>833</v>
      </c>
      <c r="B571" s="3">
        <v>42133933.780000001</v>
      </c>
    </row>
    <row r="572" spans="1:2" x14ac:dyDescent="0.25">
      <c r="A572" t="s">
        <v>834</v>
      </c>
      <c r="B572" s="3">
        <v>6559815.3899999997</v>
      </c>
    </row>
    <row r="573" spans="1:2" x14ac:dyDescent="0.25">
      <c r="A573" t="s">
        <v>835</v>
      </c>
      <c r="B573" s="3">
        <v>8682301.4700000007</v>
      </c>
    </row>
    <row r="574" spans="1:2" x14ac:dyDescent="0.25">
      <c r="A574" t="s">
        <v>836</v>
      </c>
      <c r="B574" s="3">
        <v>3401886.78</v>
      </c>
    </row>
    <row r="575" spans="1:2" x14ac:dyDescent="0.25">
      <c r="A575" t="s">
        <v>837</v>
      </c>
      <c r="B575" s="3">
        <v>27233721.07</v>
      </c>
    </row>
    <row r="576" spans="1:2" x14ac:dyDescent="0.25">
      <c r="A576" t="s">
        <v>838</v>
      </c>
      <c r="B576" s="3">
        <v>78259358.450000003</v>
      </c>
    </row>
    <row r="577" spans="1:2" x14ac:dyDescent="0.25">
      <c r="A577" t="s">
        <v>839</v>
      </c>
      <c r="B577" s="3">
        <v>77377053.959999993</v>
      </c>
    </row>
    <row r="578" spans="1:2" x14ac:dyDescent="0.25">
      <c r="A578" t="s">
        <v>840</v>
      </c>
      <c r="B578" s="3">
        <v>47981853.75</v>
      </c>
    </row>
    <row r="579" spans="1:2" x14ac:dyDescent="0.25">
      <c r="A579" t="s">
        <v>841</v>
      </c>
      <c r="B579" s="3">
        <v>55401894.700000003</v>
      </c>
    </row>
    <row r="580" spans="1:2" x14ac:dyDescent="0.25">
      <c r="A580" t="s">
        <v>842</v>
      </c>
      <c r="B580" s="3">
        <v>51438045.030000001</v>
      </c>
    </row>
    <row r="581" spans="1:2" x14ac:dyDescent="0.25">
      <c r="A581" t="s">
        <v>843</v>
      </c>
      <c r="B581" s="3">
        <v>37838872.409999996</v>
      </c>
    </row>
    <row r="582" spans="1:2" x14ac:dyDescent="0.25">
      <c r="A582" t="s">
        <v>844</v>
      </c>
      <c r="B582" s="3">
        <v>24891981.48</v>
      </c>
    </row>
    <row r="583" spans="1:2" x14ac:dyDescent="0.25">
      <c r="A583" t="s">
        <v>845</v>
      </c>
      <c r="B583" s="3">
        <v>3145542.61</v>
      </c>
    </row>
    <row r="584" spans="1:2" x14ac:dyDescent="0.25">
      <c r="A584" t="s">
        <v>846</v>
      </c>
      <c r="B584" s="3">
        <v>2597457.88</v>
      </c>
    </row>
    <row r="585" spans="1:2" x14ac:dyDescent="0.25">
      <c r="A585" t="s">
        <v>847</v>
      </c>
      <c r="B585" s="3">
        <v>4386107.9400000004</v>
      </c>
    </row>
    <row r="586" spans="1:2" x14ac:dyDescent="0.25">
      <c r="A586" t="s">
        <v>848</v>
      </c>
      <c r="B586" s="3">
        <v>2487982.7999999998</v>
      </c>
    </row>
    <row r="587" spans="1:2" x14ac:dyDescent="0.25">
      <c r="A587" t="s">
        <v>849</v>
      </c>
      <c r="B587" s="3">
        <v>10675863.67</v>
      </c>
    </row>
    <row r="588" spans="1:2" x14ac:dyDescent="0.25">
      <c r="A588" t="s">
        <v>850</v>
      </c>
      <c r="B588" s="3">
        <v>4807924.21</v>
      </c>
    </row>
    <row r="589" spans="1:2" x14ac:dyDescent="0.25">
      <c r="A589" t="s">
        <v>851</v>
      </c>
      <c r="B589" s="3">
        <v>41982601.619999997</v>
      </c>
    </row>
    <row r="590" spans="1:2" x14ac:dyDescent="0.25">
      <c r="A590" t="s">
        <v>852</v>
      </c>
      <c r="B590" s="3">
        <v>5802518.7800000003</v>
      </c>
    </row>
    <row r="591" spans="1:2" x14ac:dyDescent="0.25">
      <c r="A591" t="s">
        <v>853</v>
      </c>
      <c r="B591" s="3">
        <v>12525335.49</v>
      </c>
    </row>
    <row r="592" spans="1:2" x14ac:dyDescent="0.25">
      <c r="A592" t="s">
        <v>854</v>
      </c>
      <c r="B592" s="3">
        <v>9188444.5199999996</v>
      </c>
    </row>
    <row r="593" spans="1:2" x14ac:dyDescent="0.25">
      <c r="A593" t="s">
        <v>855</v>
      </c>
      <c r="B593" s="3">
        <v>4721843.34</v>
      </c>
    </row>
    <row r="594" spans="1:2" x14ac:dyDescent="0.25">
      <c r="A594" t="s">
        <v>856</v>
      </c>
      <c r="B594" s="3">
        <v>7182457.9299999997</v>
      </c>
    </row>
    <row r="595" spans="1:2" x14ac:dyDescent="0.25">
      <c r="A595" t="s">
        <v>857</v>
      </c>
      <c r="B595" s="3">
        <v>30224441</v>
      </c>
    </row>
    <row r="596" spans="1:2" x14ac:dyDescent="0.25">
      <c r="A596" t="s">
        <v>858</v>
      </c>
      <c r="B596" s="3">
        <v>7891041.4400000004</v>
      </c>
    </row>
    <row r="597" spans="1:2" x14ac:dyDescent="0.25">
      <c r="A597" t="s">
        <v>859</v>
      </c>
      <c r="B597" s="3">
        <v>4361194.07</v>
      </c>
    </row>
    <row r="598" spans="1:2" x14ac:dyDescent="0.25">
      <c r="A598" t="s">
        <v>860</v>
      </c>
      <c r="B598" s="3">
        <v>11738515.75</v>
      </c>
    </row>
    <row r="599" spans="1:2" x14ac:dyDescent="0.25">
      <c r="A599" t="s">
        <v>861</v>
      </c>
      <c r="B599" s="3">
        <v>3621901.57</v>
      </c>
    </row>
    <row r="600" spans="1:2" x14ac:dyDescent="0.25">
      <c r="A600" t="s">
        <v>862</v>
      </c>
      <c r="B600" s="3">
        <v>2592240.33</v>
      </c>
    </row>
    <row r="601" spans="1:2" x14ac:dyDescent="0.25">
      <c r="A601" t="s">
        <v>863</v>
      </c>
      <c r="B601" s="3">
        <v>9876674.7300000004</v>
      </c>
    </row>
    <row r="602" spans="1:2" x14ac:dyDescent="0.25">
      <c r="A602" t="s">
        <v>864</v>
      </c>
      <c r="B602" s="3">
        <v>2935715.81</v>
      </c>
    </row>
    <row r="603" spans="1:2" x14ac:dyDescent="0.25">
      <c r="A603" t="s">
        <v>865</v>
      </c>
      <c r="B603" s="3">
        <v>4686420.5199999996</v>
      </c>
    </row>
    <row r="604" spans="1:2" x14ac:dyDescent="0.25">
      <c r="A604" t="s">
        <v>866</v>
      </c>
      <c r="B604" s="3">
        <v>14552228.210000001</v>
      </c>
    </row>
    <row r="605" spans="1:2" x14ac:dyDescent="0.25">
      <c r="A605" t="s">
        <v>867</v>
      </c>
      <c r="B605" s="3">
        <v>2462673.5699999998</v>
      </c>
    </row>
    <row r="606" spans="1:2" x14ac:dyDescent="0.25">
      <c r="A606" t="s">
        <v>868</v>
      </c>
      <c r="B606" s="3">
        <v>2848537.74</v>
      </c>
    </row>
    <row r="607" spans="1:2" x14ac:dyDescent="0.25">
      <c r="A607" t="s">
        <v>869</v>
      </c>
      <c r="B607" s="3">
        <v>4405639.67</v>
      </c>
    </row>
    <row r="608" spans="1:2" x14ac:dyDescent="0.25">
      <c r="A608" t="s">
        <v>870</v>
      </c>
      <c r="B608" s="3">
        <v>38190641.740000002</v>
      </c>
    </row>
    <row r="609" spans="1:2" x14ac:dyDescent="0.25">
      <c r="A609" t="s">
        <v>871</v>
      </c>
      <c r="B609" s="3">
        <v>41347658.950000003</v>
      </c>
    </row>
    <row r="610" spans="1:2" x14ac:dyDescent="0.25">
      <c r="A610" t="s">
        <v>872</v>
      </c>
      <c r="B610" s="3">
        <v>9320965.8800000008</v>
      </c>
    </row>
    <row r="611" spans="1:2" x14ac:dyDescent="0.25">
      <c r="A611" t="s">
        <v>873</v>
      </c>
      <c r="B611" s="3">
        <v>4655404.04</v>
      </c>
    </row>
    <row r="612" spans="1:2" x14ac:dyDescent="0.25">
      <c r="A612" t="s">
        <v>874</v>
      </c>
      <c r="B612" s="3">
        <v>12851356.039999999</v>
      </c>
    </row>
    <row r="613" spans="1:2" x14ac:dyDescent="0.25">
      <c r="A613" t="s">
        <v>875</v>
      </c>
      <c r="B613" s="3">
        <v>16783724.170000002</v>
      </c>
    </row>
    <row r="614" spans="1:2" x14ac:dyDescent="0.25">
      <c r="A614" t="s">
        <v>876</v>
      </c>
      <c r="B614" s="3">
        <v>14053091.33</v>
      </c>
    </row>
    <row r="615" spans="1:2" x14ac:dyDescent="0.25">
      <c r="A615" t="s">
        <v>877</v>
      </c>
      <c r="B615" s="3">
        <v>3411002.66</v>
      </c>
    </row>
    <row r="616" spans="1:2" x14ac:dyDescent="0.25">
      <c r="A616" t="s">
        <v>878</v>
      </c>
      <c r="B616" s="3">
        <v>3181463.84</v>
      </c>
    </row>
    <row r="617" spans="1:2" x14ac:dyDescent="0.25">
      <c r="A617" t="s">
        <v>879</v>
      </c>
      <c r="B617" s="3">
        <v>8798037.5</v>
      </c>
    </row>
    <row r="618" spans="1:2" x14ac:dyDescent="0.25">
      <c r="A618" t="s">
        <v>880</v>
      </c>
      <c r="B618" s="3">
        <v>69230626.609999999</v>
      </c>
    </row>
    <row r="619" spans="1:2" x14ac:dyDescent="0.25">
      <c r="A619" t="s">
        <v>881</v>
      </c>
      <c r="B619" s="3">
        <v>2809989.98</v>
      </c>
    </row>
    <row r="620" spans="1:2" x14ac:dyDescent="0.25">
      <c r="A620" t="s">
        <v>882</v>
      </c>
      <c r="B620" s="3">
        <v>3699803.29</v>
      </c>
    </row>
    <row r="621" spans="1:2" x14ac:dyDescent="0.25">
      <c r="A621" t="s">
        <v>883</v>
      </c>
      <c r="B621" s="3">
        <v>10269690.189999999</v>
      </c>
    </row>
    <row r="622" spans="1:2" x14ac:dyDescent="0.25">
      <c r="A622" t="s">
        <v>884</v>
      </c>
      <c r="B622" s="3">
        <v>5108036.4400000004</v>
      </c>
    </row>
    <row r="623" spans="1:2" x14ac:dyDescent="0.25">
      <c r="A623" t="s">
        <v>885</v>
      </c>
      <c r="B623" s="3">
        <v>4760652.29</v>
      </c>
    </row>
    <row r="624" spans="1:2" x14ac:dyDescent="0.25">
      <c r="A624" t="s">
        <v>886</v>
      </c>
      <c r="B624" s="3">
        <v>3814375.88</v>
      </c>
    </row>
    <row r="625" spans="1:2" x14ac:dyDescent="0.25">
      <c r="A625" t="s">
        <v>887</v>
      </c>
      <c r="B625" s="3">
        <v>3581988.58</v>
      </c>
    </row>
    <row r="626" spans="1:2" x14ac:dyDescent="0.25">
      <c r="A626" t="s">
        <v>124</v>
      </c>
      <c r="B626" s="3">
        <v>176126455.22999999</v>
      </c>
    </row>
    <row r="627" spans="1:2" x14ac:dyDescent="0.25">
      <c r="A627" t="s">
        <v>888</v>
      </c>
      <c r="B627" s="3">
        <v>176126455.22999999</v>
      </c>
    </row>
    <row r="628" spans="1:2" x14ac:dyDescent="0.25">
      <c r="A628" t="s">
        <v>889</v>
      </c>
      <c r="B628" s="3">
        <v>176126455.22999999</v>
      </c>
    </row>
    <row r="629" spans="1:2" x14ac:dyDescent="0.25">
      <c r="A629" t="s">
        <v>890</v>
      </c>
      <c r="B629" s="3">
        <v>176126455.22999999</v>
      </c>
    </row>
    <row r="630" spans="1:2" x14ac:dyDescent="0.25">
      <c r="A630" t="s">
        <v>891</v>
      </c>
      <c r="B630" s="3">
        <v>176126455.22999999</v>
      </c>
    </row>
    <row r="631" spans="1:2" x14ac:dyDescent="0.25">
      <c r="A631" t="s">
        <v>892</v>
      </c>
      <c r="B631" s="3">
        <v>176126455.22999999</v>
      </c>
    </row>
    <row r="632" spans="1:2" x14ac:dyDescent="0.25">
      <c r="A632" t="s">
        <v>893</v>
      </c>
      <c r="B632" s="3">
        <v>176126455.22999999</v>
      </c>
    </row>
    <row r="633" spans="1:2" x14ac:dyDescent="0.25">
      <c r="A633" t="s">
        <v>894</v>
      </c>
      <c r="B633" s="3">
        <v>176126455.22999999</v>
      </c>
    </row>
    <row r="634" spans="1:2" x14ac:dyDescent="0.25">
      <c r="A634" t="s">
        <v>895</v>
      </c>
      <c r="B634" s="3">
        <v>200569592.62</v>
      </c>
    </row>
    <row r="635" spans="1:2" x14ac:dyDescent="0.25">
      <c r="A635" t="s">
        <v>896</v>
      </c>
      <c r="B635" s="3">
        <v>200569592.62</v>
      </c>
    </row>
    <row r="636" spans="1:2" x14ac:dyDescent="0.25">
      <c r="A636" t="s">
        <v>897</v>
      </c>
      <c r="B636" s="3">
        <v>200569592.62</v>
      </c>
    </row>
    <row r="637" spans="1:2" x14ac:dyDescent="0.25">
      <c r="A637" t="s">
        <v>898</v>
      </c>
      <c r="B637" s="3">
        <v>200569592.62</v>
      </c>
    </row>
    <row r="638" spans="1:2" x14ac:dyDescent="0.25">
      <c r="A638" t="s">
        <v>899</v>
      </c>
      <c r="B638" s="3">
        <v>200569592.62</v>
      </c>
    </row>
    <row r="639" spans="1:2" x14ac:dyDescent="0.25">
      <c r="A639" t="s">
        <v>900</v>
      </c>
      <c r="B639" s="3">
        <v>200569592.62</v>
      </c>
    </row>
    <row r="640" spans="1:2" x14ac:dyDescent="0.25">
      <c r="A640" t="s">
        <v>901</v>
      </c>
      <c r="B640" s="3">
        <v>200569592.62</v>
      </c>
    </row>
    <row r="641" spans="1:2" x14ac:dyDescent="0.25">
      <c r="A641" t="s">
        <v>116</v>
      </c>
      <c r="B641" s="3">
        <v>200569592.62</v>
      </c>
    </row>
    <row r="642" spans="1:2" x14ac:dyDescent="0.25">
      <c r="A642" t="s">
        <v>902</v>
      </c>
      <c r="B642" s="3">
        <v>200569592.62</v>
      </c>
    </row>
    <row r="643" spans="1:2" x14ac:dyDescent="0.25">
      <c r="A643" t="s">
        <v>903</v>
      </c>
      <c r="B643" s="3">
        <v>200569592.62</v>
      </c>
    </row>
    <row r="644" spans="1:2" x14ac:dyDescent="0.25">
      <c r="A644" t="s">
        <v>904</v>
      </c>
      <c r="B644" s="3">
        <v>200569592.62</v>
      </c>
    </row>
    <row r="645" spans="1:2" x14ac:dyDescent="0.25">
      <c r="A645" t="s">
        <v>115</v>
      </c>
      <c r="B645" s="3">
        <v>68345861.700000003</v>
      </c>
    </row>
    <row r="646" spans="1:2" x14ac:dyDescent="0.25">
      <c r="A646" t="s">
        <v>905</v>
      </c>
      <c r="B646" s="3">
        <v>68345861.700000003</v>
      </c>
    </row>
    <row r="647" spans="1:2" x14ac:dyDescent="0.25">
      <c r="A647" t="s">
        <v>906</v>
      </c>
      <c r="B647" s="3">
        <v>68345861.700000003</v>
      </c>
    </row>
    <row r="648" spans="1:2" x14ac:dyDescent="0.25">
      <c r="A648" t="s">
        <v>907</v>
      </c>
      <c r="B648" s="3">
        <v>68345861.700000003</v>
      </c>
    </row>
    <row r="649" spans="1:2" x14ac:dyDescent="0.25">
      <c r="A649" t="s">
        <v>908</v>
      </c>
      <c r="B649" s="3">
        <v>68345861.700000003</v>
      </c>
    </row>
    <row r="650" spans="1:2" x14ac:dyDescent="0.25">
      <c r="A650" t="s">
        <v>909</v>
      </c>
      <c r="B650" s="3">
        <v>68345861.700000003</v>
      </c>
    </row>
    <row r="651" spans="1:2" x14ac:dyDescent="0.25">
      <c r="A651" t="s">
        <v>910</v>
      </c>
      <c r="B651" s="3">
        <v>68345861.700000003</v>
      </c>
    </row>
    <row r="652" spans="1:2" x14ac:dyDescent="0.25">
      <c r="A652" t="s">
        <v>1</v>
      </c>
      <c r="B652" s="3">
        <v>8462178.7699999996</v>
      </c>
    </row>
    <row r="653" spans="1:2" x14ac:dyDescent="0.25">
      <c r="A653" t="s">
        <v>911</v>
      </c>
      <c r="B653" s="3">
        <v>8462178.7699999996</v>
      </c>
    </row>
    <row r="654" spans="1:2" x14ac:dyDescent="0.25">
      <c r="A654" t="s">
        <v>135</v>
      </c>
      <c r="B654" s="3">
        <v>336213704.19999999</v>
      </c>
    </row>
    <row r="655" spans="1:2" x14ac:dyDescent="0.25">
      <c r="A655" t="s">
        <v>912</v>
      </c>
      <c r="B655" s="3">
        <v>336213704.19999999</v>
      </c>
    </row>
    <row r="656" spans="1:2" x14ac:dyDescent="0.25">
      <c r="A656" t="s">
        <v>111</v>
      </c>
      <c r="B656" s="3">
        <v>77139118.219999999</v>
      </c>
    </row>
    <row r="657" spans="1:2" x14ac:dyDescent="0.25">
      <c r="A657" t="s">
        <v>913</v>
      </c>
      <c r="B657" s="3">
        <v>77139118.219999999</v>
      </c>
    </row>
    <row r="658" spans="1:2" x14ac:dyDescent="0.25">
      <c r="A658" t="s">
        <v>120</v>
      </c>
      <c r="B658" s="3">
        <v>31835018.329999998</v>
      </c>
    </row>
    <row r="659" spans="1:2" x14ac:dyDescent="0.25">
      <c r="A659" t="s">
        <v>914</v>
      </c>
      <c r="B659" s="3">
        <v>31835018.329999998</v>
      </c>
    </row>
    <row r="660" spans="1:2" x14ac:dyDescent="0.25">
      <c r="A660" t="s">
        <v>915</v>
      </c>
      <c r="B660" s="3">
        <v>31835018.329999998</v>
      </c>
    </row>
    <row r="661" spans="1:2" x14ac:dyDescent="0.25">
      <c r="A661" t="s">
        <v>121</v>
      </c>
      <c r="B661" s="3">
        <v>96972832.489999995</v>
      </c>
    </row>
    <row r="662" spans="1:2" x14ac:dyDescent="0.25">
      <c r="A662" t="s">
        <v>916</v>
      </c>
      <c r="B662" s="3">
        <v>96972832.489999995</v>
      </c>
    </row>
    <row r="663" spans="1:2" x14ac:dyDescent="0.25">
      <c r="A663" t="s">
        <v>917</v>
      </c>
      <c r="B663" s="3">
        <v>96972832.489999995</v>
      </c>
    </row>
    <row r="664" spans="1:2" x14ac:dyDescent="0.25">
      <c r="A664" t="s">
        <v>119</v>
      </c>
      <c r="B664" s="3">
        <v>288617594.88999999</v>
      </c>
    </row>
    <row r="665" spans="1:2" x14ac:dyDescent="0.25">
      <c r="A665" t="s">
        <v>918</v>
      </c>
      <c r="B665" s="3">
        <v>288617594.88999999</v>
      </c>
    </row>
    <row r="666" spans="1:2" x14ac:dyDescent="0.25">
      <c r="A666" t="s">
        <v>919</v>
      </c>
      <c r="B666" s="3">
        <v>288617594.88999999</v>
      </c>
    </row>
    <row r="667" spans="1:2" x14ac:dyDescent="0.25">
      <c r="A667" t="s">
        <v>0</v>
      </c>
      <c r="B667" s="3">
        <v>11499428.939999999</v>
      </c>
    </row>
    <row r="668" spans="1:2" x14ac:dyDescent="0.25">
      <c r="A668" t="s">
        <v>118</v>
      </c>
      <c r="B668" s="3">
        <v>784391966.99000001</v>
      </c>
    </row>
    <row r="669" spans="1:2" x14ac:dyDescent="0.25">
      <c r="A669" t="s">
        <v>920</v>
      </c>
      <c r="B669" s="3">
        <v>784391966.99000001</v>
      </c>
    </row>
    <row r="670" spans="1:2" x14ac:dyDescent="0.25">
      <c r="A670" t="s">
        <v>122</v>
      </c>
      <c r="B670" s="3">
        <v>43166949.810000002</v>
      </c>
    </row>
    <row r="671" spans="1:2" x14ac:dyDescent="0.25">
      <c r="A671" t="s">
        <v>921</v>
      </c>
      <c r="B671" s="3">
        <v>43166949.810000002</v>
      </c>
    </row>
    <row r="672" spans="1:2" x14ac:dyDescent="0.25">
      <c r="A672" t="s">
        <v>103</v>
      </c>
      <c r="B672" s="3">
        <v>127274350.86263201</v>
      </c>
    </row>
    <row r="673" spans="1:2" x14ac:dyDescent="0.25">
      <c r="A673" t="s">
        <v>102</v>
      </c>
      <c r="B673" s="3">
        <v>148626135.762371</v>
      </c>
    </row>
    <row r="674" spans="1:2" x14ac:dyDescent="0.25">
      <c r="A674" t="s">
        <v>52</v>
      </c>
      <c r="B674" s="3">
        <v>161914363.59052399</v>
      </c>
    </row>
    <row r="675" spans="1:2" x14ac:dyDescent="0.25">
      <c r="A675" t="s">
        <v>53</v>
      </c>
      <c r="B675" s="3">
        <v>196901864.427973</v>
      </c>
    </row>
    <row r="676" spans="1:2" x14ac:dyDescent="0.25">
      <c r="A676" t="s">
        <v>90</v>
      </c>
      <c r="B676" s="3">
        <v>131956047.843587</v>
      </c>
    </row>
    <row r="677" spans="1:2" x14ac:dyDescent="0.25">
      <c r="A677" t="s">
        <v>47</v>
      </c>
      <c r="B677" s="3">
        <v>2047491386.8437901</v>
      </c>
    </row>
    <row r="678" spans="1:2" x14ac:dyDescent="0.25">
      <c r="A678" t="s">
        <v>75</v>
      </c>
      <c r="B678" s="3">
        <v>119632081.542165</v>
      </c>
    </row>
    <row r="679" spans="1:2" x14ac:dyDescent="0.25">
      <c r="A679" t="s">
        <v>54</v>
      </c>
      <c r="B679" s="3">
        <v>178872036.15712699</v>
      </c>
    </row>
    <row r="680" spans="1:2" x14ac:dyDescent="0.25">
      <c r="A680" t="s">
        <v>30</v>
      </c>
      <c r="B680" s="3">
        <v>118070077.292375</v>
      </c>
    </row>
    <row r="681" spans="1:2" x14ac:dyDescent="0.25">
      <c r="A681" t="s">
        <v>12</v>
      </c>
      <c r="B681" s="3">
        <v>108831381.952436</v>
      </c>
    </row>
    <row r="682" spans="1:2" x14ac:dyDescent="0.25">
      <c r="A682" t="s">
        <v>35</v>
      </c>
      <c r="B682" s="3">
        <v>235764463.27992699</v>
      </c>
    </row>
    <row r="683" spans="1:2" x14ac:dyDescent="0.25">
      <c r="A683" t="s">
        <v>80</v>
      </c>
      <c r="B683" s="3">
        <v>108123064.31436101</v>
      </c>
    </row>
    <row r="684" spans="1:2" x14ac:dyDescent="0.25">
      <c r="A684" t="s">
        <v>83</v>
      </c>
      <c r="B684" s="3">
        <v>105431829.81326699</v>
      </c>
    </row>
    <row r="685" spans="1:2" x14ac:dyDescent="0.25">
      <c r="A685" t="s">
        <v>42</v>
      </c>
      <c r="B685" s="3">
        <v>232885137.42170599</v>
      </c>
    </row>
    <row r="686" spans="1:2" x14ac:dyDescent="0.25">
      <c r="A686" t="s">
        <v>51</v>
      </c>
      <c r="B686" s="3">
        <v>175215585.57200199</v>
      </c>
    </row>
    <row r="687" spans="1:2" x14ac:dyDescent="0.25">
      <c r="A687" t="s">
        <v>40</v>
      </c>
      <c r="B687" s="3">
        <v>150066014.82525399</v>
      </c>
    </row>
    <row r="688" spans="1:2" x14ac:dyDescent="0.25">
      <c r="A688" t="s">
        <v>108</v>
      </c>
      <c r="B688" s="3">
        <v>155352140.60327399</v>
      </c>
    </row>
    <row r="689" spans="1:2" x14ac:dyDescent="0.25">
      <c r="A689" t="s">
        <v>922</v>
      </c>
      <c r="B689" s="3">
        <v>186350009.21935999</v>
      </c>
    </row>
    <row r="690" spans="1:2" x14ac:dyDescent="0.25">
      <c r="A690" t="s">
        <v>131</v>
      </c>
      <c r="B690" s="3">
        <v>244033874.81555301</v>
      </c>
    </row>
    <row r="691" spans="1:2" x14ac:dyDescent="0.25">
      <c r="A691" t="s">
        <v>140</v>
      </c>
      <c r="B691" s="3">
        <v>108257809.171958</v>
      </c>
    </row>
    <row r="692" spans="1:2" x14ac:dyDescent="0.25">
      <c r="A692" t="s">
        <v>82</v>
      </c>
      <c r="B692" s="3">
        <v>106304444.90159</v>
      </c>
    </row>
    <row r="693" spans="1:2" x14ac:dyDescent="0.25">
      <c r="A693" t="s">
        <v>74</v>
      </c>
      <c r="B693" s="3">
        <v>105816999.138579</v>
      </c>
    </row>
    <row r="694" spans="1:2" x14ac:dyDescent="0.25">
      <c r="A694" t="s">
        <v>138</v>
      </c>
      <c r="B694" s="3">
        <v>107971611.001837</v>
      </c>
    </row>
    <row r="695" spans="1:2" x14ac:dyDescent="0.25">
      <c r="A695" t="s">
        <v>66</v>
      </c>
      <c r="B695" s="3">
        <v>108446631.677074</v>
      </c>
    </row>
    <row r="696" spans="1:2" x14ac:dyDescent="0.25">
      <c r="A696" t="s">
        <v>68</v>
      </c>
      <c r="B696" s="3">
        <v>106807681.44795699</v>
      </c>
    </row>
    <row r="697" spans="1:2" x14ac:dyDescent="0.25">
      <c r="A697" t="s">
        <v>67</v>
      </c>
      <c r="B697" s="3">
        <v>105199855.064237</v>
      </c>
    </row>
    <row r="698" spans="1:2" x14ac:dyDescent="0.25">
      <c r="A698" t="s">
        <v>85</v>
      </c>
      <c r="B698" s="3">
        <v>164099154.06433299</v>
      </c>
    </row>
    <row r="699" spans="1:2" x14ac:dyDescent="0.25">
      <c r="A699" t="s">
        <v>73</v>
      </c>
      <c r="B699" s="3">
        <v>111570275.28652801</v>
      </c>
    </row>
    <row r="700" spans="1:2" x14ac:dyDescent="0.25">
      <c r="A700" t="s">
        <v>87</v>
      </c>
      <c r="B700" s="3">
        <v>151327249.913721</v>
      </c>
    </row>
    <row r="701" spans="1:2" x14ac:dyDescent="0.25">
      <c r="A701" t="s">
        <v>81</v>
      </c>
      <c r="B701" s="3">
        <v>111414919.584572</v>
      </c>
    </row>
    <row r="702" spans="1:2" x14ac:dyDescent="0.25">
      <c r="A702" t="s">
        <v>99</v>
      </c>
      <c r="B702" s="3">
        <v>158785755.166821</v>
      </c>
    </row>
    <row r="703" spans="1:2" x14ac:dyDescent="0.25">
      <c r="A703" t="s">
        <v>79</v>
      </c>
      <c r="B703" s="3">
        <v>108977985.737858</v>
      </c>
    </row>
    <row r="704" spans="1:2" x14ac:dyDescent="0.25">
      <c r="A704" t="s">
        <v>10</v>
      </c>
      <c r="B704" s="3">
        <v>122766479.464708</v>
      </c>
    </row>
    <row r="705" spans="1:2" x14ac:dyDescent="0.25">
      <c r="A705" t="s">
        <v>7</v>
      </c>
      <c r="B705" s="3">
        <v>220197773.695786</v>
      </c>
    </row>
    <row r="706" spans="1:2" x14ac:dyDescent="0.25">
      <c r="A706" t="s">
        <v>5</v>
      </c>
      <c r="B706" s="3">
        <v>126520197.485156</v>
      </c>
    </row>
    <row r="707" spans="1:2" x14ac:dyDescent="0.25">
      <c r="A707" t="s">
        <v>64</v>
      </c>
      <c r="B707" s="3">
        <v>111167018.79302099</v>
      </c>
    </row>
    <row r="708" spans="1:2" x14ac:dyDescent="0.25">
      <c r="A708" t="s">
        <v>25</v>
      </c>
    </row>
    <row r="709" spans="1:2" x14ac:dyDescent="0.25">
      <c r="A709" t="s">
        <v>6</v>
      </c>
      <c r="B709" s="3">
        <v>170027224.24000001</v>
      </c>
    </row>
    <row r="710" spans="1:2" x14ac:dyDescent="0.25">
      <c r="A710" t="s">
        <v>100</v>
      </c>
      <c r="B710" s="3">
        <v>138244010.11000001</v>
      </c>
    </row>
    <row r="711" spans="1:2" x14ac:dyDescent="0.25">
      <c r="A711" t="s">
        <v>76</v>
      </c>
      <c r="B711" s="3">
        <v>161538145.56009299</v>
      </c>
    </row>
    <row r="712" spans="1:2" x14ac:dyDescent="0.25">
      <c r="A712" t="s">
        <v>146</v>
      </c>
      <c r="B712" s="3">
        <v>110167934.45999999</v>
      </c>
    </row>
    <row r="713" spans="1:2" x14ac:dyDescent="0.25">
      <c r="A713" t="s">
        <v>78</v>
      </c>
      <c r="B713" s="3">
        <v>110734811.618277</v>
      </c>
    </row>
    <row r="714" spans="1:2" x14ac:dyDescent="0.25">
      <c r="A714" t="s">
        <v>8</v>
      </c>
      <c r="B714" s="3">
        <v>79714204.191402599</v>
      </c>
    </row>
    <row r="715" spans="1:2" x14ac:dyDescent="0.25">
      <c r="A715" t="s">
        <v>91</v>
      </c>
    </row>
    <row r="716" spans="1:2" x14ac:dyDescent="0.25">
      <c r="A716" t="s">
        <v>139</v>
      </c>
      <c r="B716" s="3">
        <v>102460992.750065</v>
      </c>
    </row>
    <row r="717" spans="1:2" x14ac:dyDescent="0.25">
      <c r="A717" t="s">
        <v>27</v>
      </c>
      <c r="B717" s="3">
        <v>160717586.967071</v>
      </c>
    </row>
    <row r="718" spans="1:2" x14ac:dyDescent="0.25">
      <c r="A718" t="s">
        <v>92</v>
      </c>
      <c r="B718" s="3">
        <v>164973592.91</v>
      </c>
    </row>
    <row r="719" spans="1:2" x14ac:dyDescent="0.25">
      <c r="A719" t="s">
        <v>61</v>
      </c>
      <c r="B719" s="3">
        <v>165684368</v>
      </c>
    </row>
    <row r="720" spans="1:2" x14ac:dyDescent="0.25">
      <c r="A720" t="s">
        <v>70</v>
      </c>
      <c r="B720" s="3">
        <v>147754228.84999999</v>
      </c>
    </row>
    <row r="721" spans="1:2" x14ac:dyDescent="0.25">
      <c r="A721" t="s">
        <v>153</v>
      </c>
      <c r="B721" s="3">
        <v>156344307.007341</v>
      </c>
    </row>
    <row r="722" spans="1:2" x14ac:dyDescent="0.25">
      <c r="A722" t="s">
        <v>16</v>
      </c>
      <c r="B722" s="3">
        <v>123139636.995855</v>
      </c>
    </row>
    <row r="723" spans="1:2" x14ac:dyDescent="0.25">
      <c r="A723" t="s">
        <v>41</v>
      </c>
      <c r="B723" s="3">
        <v>207731554.02453199</v>
      </c>
    </row>
    <row r="724" spans="1:2" x14ac:dyDescent="0.25">
      <c r="A724" t="s">
        <v>29</v>
      </c>
      <c r="B724" s="3">
        <v>189797127.195025</v>
      </c>
    </row>
    <row r="725" spans="1:2" x14ac:dyDescent="0.25">
      <c r="A725" t="s">
        <v>33</v>
      </c>
      <c r="B725" s="3">
        <v>140855241.37774</v>
      </c>
    </row>
    <row r="726" spans="1:2" x14ac:dyDescent="0.25">
      <c r="A726" t="s">
        <v>28</v>
      </c>
      <c r="B726" s="3">
        <v>224249042.21999899</v>
      </c>
    </row>
    <row r="727" spans="1:2" x14ac:dyDescent="0.25">
      <c r="A727" t="s">
        <v>65</v>
      </c>
      <c r="B727" s="3">
        <v>126680436.843439</v>
      </c>
    </row>
    <row r="728" spans="1:2" x14ac:dyDescent="0.25">
      <c r="A728" t="s">
        <v>48</v>
      </c>
      <c r="B728" s="3">
        <v>183638471.85843101</v>
      </c>
    </row>
    <row r="729" spans="1:2" x14ac:dyDescent="0.25">
      <c r="A729" t="s">
        <v>50</v>
      </c>
      <c r="B729" s="3">
        <v>178072542.352245</v>
      </c>
    </row>
    <row r="730" spans="1:2" x14ac:dyDescent="0.25">
      <c r="A730" t="s">
        <v>13</v>
      </c>
    </row>
    <row r="731" spans="1:2" x14ac:dyDescent="0.25">
      <c r="A731" t="s">
        <v>128</v>
      </c>
    </row>
    <row r="732" spans="1:2" x14ac:dyDescent="0.25">
      <c r="A732" t="s">
        <v>62</v>
      </c>
    </row>
    <row r="733" spans="1:2" x14ac:dyDescent="0.25">
      <c r="A733" t="s">
        <v>44</v>
      </c>
    </row>
    <row r="734" spans="1:2" x14ac:dyDescent="0.25">
      <c r="A734" t="s">
        <v>63</v>
      </c>
    </row>
    <row r="735" spans="1:2" x14ac:dyDescent="0.25">
      <c r="A735" t="s">
        <v>34</v>
      </c>
    </row>
    <row r="736" spans="1:2" x14ac:dyDescent="0.25">
      <c r="A736" t="s">
        <v>129</v>
      </c>
      <c r="B736" s="3">
        <v>107548589.47821701</v>
      </c>
    </row>
    <row r="737" spans="1:2" x14ac:dyDescent="0.25">
      <c r="A737" t="s">
        <v>133</v>
      </c>
      <c r="B737" s="3">
        <v>108144719.16456001</v>
      </c>
    </row>
    <row r="738" spans="1:2" x14ac:dyDescent="0.25">
      <c r="A738" t="s">
        <v>113</v>
      </c>
      <c r="B738" s="3">
        <v>623642733.23000002</v>
      </c>
    </row>
    <row r="739" spans="1:2" x14ac:dyDescent="0.25">
      <c r="A739" t="s">
        <v>923</v>
      </c>
      <c r="B739" s="3">
        <v>623642733.23000002</v>
      </c>
    </row>
    <row r="740" spans="1:2" x14ac:dyDescent="0.25">
      <c r="A740" t="s">
        <v>21</v>
      </c>
      <c r="B740" s="3">
        <v>220845009.17528999</v>
      </c>
    </row>
    <row r="741" spans="1:2" x14ac:dyDescent="0.25">
      <c r="A741" t="s">
        <v>15</v>
      </c>
      <c r="B741" s="3">
        <v>121277565.483007</v>
      </c>
    </row>
    <row r="742" spans="1:2" x14ac:dyDescent="0.25">
      <c r="A742" t="s">
        <v>23</v>
      </c>
      <c r="B742" s="3">
        <v>203127455.50508699</v>
      </c>
    </row>
    <row r="743" spans="1:2" x14ac:dyDescent="0.25">
      <c r="A743" t="s">
        <v>71</v>
      </c>
    </row>
    <row r="744" spans="1:2" x14ac:dyDescent="0.25">
      <c r="A744" t="s">
        <v>96</v>
      </c>
    </row>
    <row r="745" spans="1:2" x14ac:dyDescent="0.25">
      <c r="A745" t="s">
        <v>24</v>
      </c>
      <c r="B745" s="3">
        <v>438265913.00642103</v>
      </c>
    </row>
    <row r="746" spans="1:2" x14ac:dyDescent="0.25">
      <c r="A746" t="s">
        <v>84</v>
      </c>
      <c r="B746" s="3">
        <v>123601914.08556899</v>
      </c>
    </row>
    <row r="747" spans="1:2" x14ac:dyDescent="0.25">
      <c r="A747" t="s">
        <v>88</v>
      </c>
      <c r="B747" s="3">
        <v>125950887.86136401</v>
      </c>
    </row>
    <row r="748" spans="1:2" x14ac:dyDescent="0.25">
      <c r="A748" t="s">
        <v>93</v>
      </c>
      <c r="B748" s="3">
        <v>142497698.17950299</v>
      </c>
    </row>
    <row r="749" spans="1:2" x14ac:dyDescent="0.25">
      <c r="A749" t="s">
        <v>130</v>
      </c>
      <c r="B749" s="3">
        <v>155684947.21979901</v>
      </c>
    </row>
    <row r="750" spans="1:2" x14ac:dyDescent="0.25">
      <c r="A750" t="s">
        <v>17</v>
      </c>
      <c r="B750" s="3">
        <v>172502024.68910199</v>
      </c>
    </row>
    <row r="751" spans="1:2" x14ac:dyDescent="0.25">
      <c r="A751" t="s">
        <v>132</v>
      </c>
      <c r="B751" s="3">
        <v>112794598.152282</v>
      </c>
    </row>
    <row r="752" spans="1:2" x14ac:dyDescent="0.25">
      <c r="A752" t="s">
        <v>89</v>
      </c>
      <c r="B752" s="3">
        <v>133812426.47300801</v>
      </c>
    </row>
    <row r="753" spans="1:2" x14ac:dyDescent="0.25">
      <c r="A753" t="s">
        <v>11</v>
      </c>
      <c r="B753" s="3">
        <v>144443416.58165601</v>
      </c>
    </row>
    <row r="754" spans="1:2" x14ac:dyDescent="0.25">
      <c r="A754" t="s">
        <v>101</v>
      </c>
      <c r="B754" s="3">
        <v>119467710.506449</v>
      </c>
    </row>
    <row r="755" spans="1:2" x14ac:dyDescent="0.25">
      <c r="A755" t="s">
        <v>60</v>
      </c>
      <c r="B755" s="3">
        <v>147982671.752765</v>
      </c>
    </row>
    <row r="756" spans="1:2" x14ac:dyDescent="0.25">
      <c r="A756" t="s">
        <v>144</v>
      </c>
      <c r="B756" s="3">
        <v>99030590.242356494</v>
      </c>
    </row>
    <row r="757" spans="1:2" x14ac:dyDescent="0.25">
      <c r="A757" t="s">
        <v>43</v>
      </c>
      <c r="B757" s="3">
        <v>1989367457.99635</v>
      </c>
    </row>
    <row r="758" spans="1:2" x14ac:dyDescent="0.25">
      <c r="A758" t="s">
        <v>36</v>
      </c>
      <c r="B758" s="3">
        <v>2114390982.98838</v>
      </c>
    </row>
    <row r="759" spans="1:2" x14ac:dyDescent="0.25">
      <c r="A759" t="s">
        <v>147</v>
      </c>
      <c r="B759" s="3">
        <v>2249745122.39781</v>
      </c>
    </row>
    <row r="760" spans="1:2" x14ac:dyDescent="0.25">
      <c r="A760" t="s">
        <v>94</v>
      </c>
      <c r="B760" s="3">
        <v>2384506761.00109</v>
      </c>
    </row>
    <row r="761" spans="1:2" x14ac:dyDescent="0.25">
      <c r="A761" t="s">
        <v>95</v>
      </c>
      <c r="B761" s="3">
        <v>2489622030.6226301</v>
      </c>
    </row>
    <row r="762" spans="1:2" x14ac:dyDescent="0.25">
      <c r="A762" t="s">
        <v>45</v>
      </c>
      <c r="B762" s="3">
        <v>2060137971.6822801</v>
      </c>
    </row>
    <row r="763" spans="1:2" x14ac:dyDescent="0.25">
      <c r="A763" t="s">
        <v>46</v>
      </c>
      <c r="B763" s="3">
        <v>2168331939.51368</v>
      </c>
    </row>
    <row r="764" spans="1:2" x14ac:dyDescent="0.25">
      <c r="A764" t="s">
        <v>97</v>
      </c>
      <c r="B764" s="3">
        <v>2321839675.7631502</v>
      </c>
    </row>
    <row r="765" spans="1:2" x14ac:dyDescent="0.25">
      <c r="A765" t="s">
        <v>154</v>
      </c>
      <c r="B765" s="3">
        <v>2518395896.1000299</v>
      </c>
    </row>
    <row r="766" spans="1:2" x14ac:dyDescent="0.25">
      <c r="A766" t="s">
        <v>98</v>
      </c>
      <c r="B766" s="3">
        <v>2651283513.4925499</v>
      </c>
    </row>
    <row r="767" spans="1:2" x14ac:dyDescent="0.25">
      <c r="A767" t="s">
        <v>31</v>
      </c>
      <c r="B767" s="3">
        <v>171772844.79818401</v>
      </c>
    </row>
    <row r="768" spans="1:2" x14ac:dyDescent="0.25">
      <c r="A768" t="s">
        <v>104</v>
      </c>
      <c r="B768" s="3">
        <v>173815813.46287501</v>
      </c>
    </row>
    <row r="769" spans="1:2" x14ac:dyDescent="0.25">
      <c r="A769" t="s">
        <v>59</v>
      </c>
      <c r="B769" s="3">
        <v>134854780.55061799</v>
      </c>
    </row>
    <row r="770" spans="1:2" x14ac:dyDescent="0.25">
      <c r="A770" t="s">
        <v>19</v>
      </c>
      <c r="B770" s="3">
        <v>100511291.85500599</v>
      </c>
    </row>
    <row r="771" spans="1:2" x14ac:dyDescent="0.25">
      <c r="A771" t="s">
        <v>57</v>
      </c>
      <c r="B771" s="3">
        <v>178110589.65588099</v>
      </c>
    </row>
    <row r="772" spans="1:2" x14ac:dyDescent="0.25">
      <c r="A772" t="s">
        <v>149</v>
      </c>
      <c r="B772" s="3">
        <v>123428954.947797</v>
      </c>
    </row>
    <row r="773" spans="1:2" x14ac:dyDescent="0.25">
      <c r="A773" t="s">
        <v>148</v>
      </c>
      <c r="B773" s="3">
        <v>121179752.07127599</v>
      </c>
    </row>
    <row r="774" spans="1:2" x14ac:dyDescent="0.25">
      <c r="A774" t="s">
        <v>55</v>
      </c>
      <c r="B774" s="3">
        <v>160292239.99039599</v>
      </c>
    </row>
    <row r="775" spans="1:2" x14ac:dyDescent="0.25">
      <c r="A775" t="s">
        <v>56</v>
      </c>
      <c r="B775" s="3">
        <v>170166928.79846799</v>
      </c>
    </row>
    <row r="776" spans="1:2" x14ac:dyDescent="0.25">
      <c r="A776" t="s">
        <v>127</v>
      </c>
      <c r="B776" s="3">
        <v>207709959.66864499</v>
      </c>
    </row>
    <row r="777" spans="1:2" x14ac:dyDescent="0.25">
      <c r="A777" t="s">
        <v>150</v>
      </c>
      <c r="B777" s="3">
        <v>251863210.81133899</v>
      </c>
    </row>
    <row r="778" spans="1:2" x14ac:dyDescent="0.25">
      <c r="A778" t="s">
        <v>77</v>
      </c>
      <c r="B778" s="3">
        <v>157209342.62897399</v>
      </c>
    </row>
    <row r="779" spans="1:2" x14ac:dyDescent="0.25">
      <c r="A779" t="s">
        <v>18</v>
      </c>
      <c r="B779" s="3">
        <v>176197956.52590799</v>
      </c>
    </row>
    <row r="780" spans="1:2" x14ac:dyDescent="0.25">
      <c r="A780" t="s">
        <v>2</v>
      </c>
      <c r="B780" s="3">
        <v>55525726.509999998</v>
      </c>
    </row>
    <row r="781" spans="1:2" x14ac:dyDescent="0.25">
      <c r="A781" t="s">
        <v>924</v>
      </c>
      <c r="B781" s="3">
        <v>55525726.509999998</v>
      </c>
    </row>
    <row r="782" spans="1:2" x14ac:dyDescent="0.25">
      <c r="A782" t="s">
        <v>3</v>
      </c>
      <c r="B782" s="3">
        <v>121007651.55</v>
      </c>
    </row>
    <row r="783" spans="1:2" x14ac:dyDescent="0.25">
      <c r="A783" t="s">
        <v>925</v>
      </c>
      <c r="B783" s="3">
        <v>121007651.55</v>
      </c>
    </row>
    <row r="784" spans="1:2" x14ac:dyDescent="0.25">
      <c r="A784" t="s">
        <v>110</v>
      </c>
      <c r="B784" s="3">
        <v>54592838.520000003</v>
      </c>
    </row>
    <row r="785" spans="1:2" x14ac:dyDescent="0.25">
      <c r="A785" t="s">
        <v>926</v>
      </c>
      <c r="B785" s="3">
        <v>54592838.520000003</v>
      </c>
    </row>
    <row r="786" spans="1:2" x14ac:dyDescent="0.25">
      <c r="A786" t="s">
        <v>109</v>
      </c>
      <c r="B786" s="3">
        <v>5898347.0199999996</v>
      </c>
    </row>
    <row r="787" spans="1:2" x14ac:dyDescent="0.25">
      <c r="A787" t="s">
        <v>927</v>
      </c>
      <c r="B787" s="3">
        <v>5898347.0199999996</v>
      </c>
    </row>
    <row r="788" spans="1:2" x14ac:dyDescent="0.25">
      <c r="A788" t="s">
        <v>32</v>
      </c>
      <c r="B788" s="3">
        <v>143350273.71078199</v>
      </c>
    </row>
    <row r="789" spans="1:2" x14ac:dyDescent="0.25">
      <c r="A789" t="s">
        <v>58</v>
      </c>
      <c r="B789" s="3">
        <v>152499167.475393</v>
      </c>
    </row>
    <row r="790" spans="1:2" x14ac:dyDescent="0.25">
      <c r="A790" t="s">
        <v>105</v>
      </c>
      <c r="B790" s="3">
        <v>157395061.84757999</v>
      </c>
    </row>
    <row r="791" spans="1:2" x14ac:dyDescent="0.25">
      <c r="A791" t="s">
        <v>14</v>
      </c>
      <c r="B791" s="3">
        <v>123986749.370975</v>
      </c>
    </row>
    <row r="792" spans="1:2" x14ac:dyDescent="0.25">
      <c r="A792" t="s">
        <v>9</v>
      </c>
      <c r="B792" s="3">
        <v>162393071.78226301</v>
      </c>
    </row>
    <row r="793" spans="1:2" x14ac:dyDescent="0.25">
      <c r="A793" t="s">
        <v>26</v>
      </c>
      <c r="B793" s="3">
        <v>156117570.69861901</v>
      </c>
    </row>
    <row r="794" spans="1:2" x14ac:dyDescent="0.25">
      <c r="A794" t="s">
        <v>39</v>
      </c>
      <c r="B794" s="3">
        <v>166141402.92062801</v>
      </c>
    </row>
    <row r="795" spans="1:2" x14ac:dyDescent="0.25">
      <c r="A795" t="s">
        <v>49</v>
      </c>
      <c r="B795" s="3">
        <v>158113575.86113399</v>
      </c>
    </row>
    <row r="796" spans="1:2" x14ac:dyDescent="0.25">
      <c r="A796" t="s">
        <v>38</v>
      </c>
      <c r="B796" s="3">
        <v>144184151.890834</v>
      </c>
    </row>
    <row r="797" spans="1:2" x14ac:dyDescent="0.25">
      <c r="A797" t="s">
        <v>107</v>
      </c>
      <c r="B797" s="3">
        <v>196970719.92772499</v>
      </c>
    </row>
    <row r="798" spans="1:2" x14ac:dyDescent="0.25">
      <c r="A798" t="s">
        <v>106</v>
      </c>
      <c r="B798" s="3">
        <v>1639044963.34446</v>
      </c>
    </row>
    <row r="799" spans="1:2" x14ac:dyDescent="0.25">
      <c r="A799" t="s">
        <v>37</v>
      </c>
      <c r="B799" s="3">
        <v>118882703.590166</v>
      </c>
    </row>
    <row r="800" spans="1:2" x14ac:dyDescent="0.25">
      <c r="A800" t="s">
        <v>22</v>
      </c>
      <c r="B800" s="3">
        <v>159879073.65219</v>
      </c>
    </row>
    <row r="801" spans="1:2" x14ac:dyDescent="0.25">
      <c r="A801" t="s">
        <v>145</v>
      </c>
      <c r="B801" s="3">
        <v>117530297.356382</v>
      </c>
    </row>
    <row r="802" spans="1:2" x14ac:dyDescent="0.25">
      <c r="A802" t="s">
        <v>141</v>
      </c>
      <c r="B802" s="3">
        <v>118165044.484503</v>
      </c>
    </row>
    <row r="803" spans="1:2" x14ac:dyDescent="0.25">
      <c r="A803" t="s">
        <v>86</v>
      </c>
      <c r="B803" s="3">
        <v>132504447.23408601</v>
      </c>
    </row>
    <row r="804" spans="1:2" x14ac:dyDescent="0.25">
      <c r="A804" t="s">
        <v>142</v>
      </c>
      <c r="B804" s="3">
        <v>155309118.75409299</v>
      </c>
    </row>
    <row r="805" spans="1:2" x14ac:dyDescent="0.25">
      <c r="A805" t="s">
        <v>20</v>
      </c>
      <c r="B805" s="3">
        <v>142608981.84143099</v>
      </c>
    </row>
    <row r="806" spans="1:2" x14ac:dyDescent="0.25">
      <c r="A806" t="s">
        <v>143</v>
      </c>
      <c r="B806" s="3">
        <v>119055652.78436001</v>
      </c>
    </row>
    <row r="807" spans="1:2" x14ac:dyDescent="0.25">
      <c r="A807" t="s">
        <v>248</v>
      </c>
      <c r="B807" s="3">
        <v>102220704.24242701</v>
      </c>
    </row>
    <row r="808" spans="1:2" x14ac:dyDescent="0.25">
      <c r="A808" t="s">
        <v>249</v>
      </c>
      <c r="B808" s="3">
        <v>102840578.94022</v>
      </c>
    </row>
    <row r="809" spans="1:2" x14ac:dyDescent="0.25">
      <c r="A809" t="s">
        <v>156</v>
      </c>
      <c r="B809" s="3">
        <v>6009411369</v>
      </c>
    </row>
    <row r="810" spans="1:2" x14ac:dyDescent="0.25">
      <c r="A810" t="s">
        <v>157</v>
      </c>
    </row>
    <row r="811" spans="1:2" x14ac:dyDescent="0.25">
      <c r="A811" t="s">
        <v>155</v>
      </c>
      <c r="B811" s="3">
        <v>163378002.03343201</v>
      </c>
    </row>
    <row r="812" spans="1:2" x14ac:dyDescent="0.25">
      <c r="A812" t="s">
        <v>244</v>
      </c>
    </row>
    <row r="813" spans="1:2" x14ac:dyDescent="0.25">
      <c r="A813" t="s">
        <v>123</v>
      </c>
      <c r="B813" s="3">
        <v>2960093.18</v>
      </c>
    </row>
    <row r="814" spans="1:2" x14ac:dyDescent="0.25">
      <c r="A814" t="s">
        <v>114</v>
      </c>
      <c r="B814" s="3">
        <v>8618508.7300000004</v>
      </c>
    </row>
    <row r="815" spans="1:2" x14ac:dyDescent="0.25">
      <c r="A815" t="s">
        <v>112</v>
      </c>
      <c r="B815" s="3">
        <v>5684990.21</v>
      </c>
    </row>
    <row r="816" spans="1:2" x14ac:dyDescent="0.25">
      <c r="A816" t="s">
        <v>117</v>
      </c>
      <c r="B816" s="3">
        <v>8153210.7599999998</v>
      </c>
    </row>
    <row r="817" spans="1:2" x14ac:dyDescent="0.25">
      <c r="A817" t="s">
        <v>243</v>
      </c>
      <c r="B817" s="3">
        <v>143903806.97</v>
      </c>
    </row>
    <row r="818" spans="1:2" x14ac:dyDescent="0.25">
      <c r="A818" t="s">
        <v>255</v>
      </c>
      <c r="B818" s="3">
        <v>143903806.97</v>
      </c>
    </row>
    <row r="819" spans="1:2" x14ac:dyDescent="0.25">
      <c r="A819" t="s">
        <v>151</v>
      </c>
      <c r="B819" s="3">
        <v>493754015.27999997</v>
      </c>
    </row>
    <row r="820" spans="1:2" x14ac:dyDescent="0.25">
      <c r="A820" t="s">
        <v>152</v>
      </c>
      <c r="B820" s="3">
        <v>493754015.27999997</v>
      </c>
    </row>
    <row r="821" spans="1:2" x14ac:dyDescent="0.25">
      <c r="A821" t="s">
        <v>136</v>
      </c>
      <c r="B821" s="3">
        <v>291181937.61000001</v>
      </c>
    </row>
    <row r="822" spans="1:2" x14ac:dyDescent="0.25">
      <c r="A822" t="s">
        <v>137</v>
      </c>
      <c r="B822" s="3">
        <v>291181937.61000001</v>
      </c>
    </row>
    <row r="823" spans="1:2" x14ac:dyDescent="0.25">
      <c r="A823" t="s">
        <v>250</v>
      </c>
      <c r="B823" s="3">
        <v>102684355.49557801</v>
      </c>
    </row>
    <row r="824" spans="1:2" x14ac:dyDescent="0.25">
      <c r="A824" t="s">
        <v>251</v>
      </c>
      <c r="B824" s="3">
        <v>105073036.860901</v>
      </c>
    </row>
    <row r="825" spans="1:2" x14ac:dyDescent="0.25">
      <c r="A825" t="s">
        <v>252</v>
      </c>
      <c r="B825" s="3">
        <v>102950891.035953</v>
      </c>
    </row>
    <row r="826" spans="1:2" x14ac:dyDescent="0.25">
      <c r="A826" t="s">
        <v>253</v>
      </c>
      <c r="B826" s="3">
        <v>103916500.733969</v>
      </c>
    </row>
    <row r="827" spans="1:2" x14ac:dyDescent="0.25">
      <c r="A827" t="s">
        <v>72</v>
      </c>
      <c r="B827" s="3">
        <v>336518902.05000001</v>
      </c>
    </row>
    <row r="828" spans="1:2" x14ac:dyDescent="0.25">
      <c r="A828" t="s">
        <v>69</v>
      </c>
      <c r="B828" s="3">
        <v>173624542.66213301</v>
      </c>
    </row>
    <row r="829" spans="1:2" x14ac:dyDescent="0.25">
      <c r="A829" t="s">
        <v>928</v>
      </c>
      <c r="B829" s="3">
        <v>199913822.47999999</v>
      </c>
    </row>
    <row r="830" spans="1:2" x14ac:dyDescent="0.25">
      <c r="A830" t="s">
        <v>125</v>
      </c>
      <c r="B830" s="3">
        <v>199913822.47999999</v>
      </c>
    </row>
    <row r="831" spans="1:2" x14ac:dyDescent="0.25">
      <c r="A831" t="s">
        <v>929</v>
      </c>
      <c r="B831" s="3">
        <v>103113709.33</v>
      </c>
    </row>
    <row r="832" spans="1:2" x14ac:dyDescent="0.25">
      <c r="A832" t="s">
        <v>126</v>
      </c>
      <c r="B832" s="3">
        <v>103113709.33</v>
      </c>
    </row>
    <row r="833" spans="1:2" x14ac:dyDescent="0.25">
      <c r="A833" t="s">
        <v>930</v>
      </c>
      <c r="B833" s="3">
        <v>199736225.87</v>
      </c>
    </row>
    <row r="834" spans="1:2" x14ac:dyDescent="0.25">
      <c r="A834" t="s">
        <v>931</v>
      </c>
      <c r="B834" s="3">
        <v>199736225.87</v>
      </c>
    </row>
    <row r="835" spans="1:2" x14ac:dyDescent="0.25">
      <c r="A835" t="s">
        <v>932</v>
      </c>
      <c r="B835" s="3">
        <v>199736225.87</v>
      </c>
    </row>
    <row r="836" spans="1:2" x14ac:dyDescent="0.25">
      <c r="A836" t="s">
        <v>933</v>
      </c>
      <c r="B836" s="3">
        <v>199736225.87</v>
      </c>
    </row>
    <row r="837" spans="1:2" x14ac:dyDescent="0.25">
      <c r="A837" t="s">
        <v>934</v>
      </c>
      <c r="B837" s="3">
        <v>199736225.87</v>
      </c>
    </row>
    <row r="838" spans="1:2" x14ac:dyDescent="0.25">
      <c r="A838" t="s">
        <v>935</v>
      </c>
      <c r="B838" s="3">
        <v>199736225.87</v>
      </c>
    </row>
    <row r="839" spans="1:2" x14ac:dyDescent="0.25">
      <c r="A839" t="s">
        <v>936</v>
      </c>
      <c r="B839" s="3">
        <v>199736225.87</v>
      </c>
    </row>
    <row r="840" spans="1:2" x14ac:dyDescent="0.25">
      <c r="A840" t="s">
        <v>134</v>
      </c>
      <c r="B840" s="3">
        <v>199736225.87</v>
      </c>
    </row>
    <row r="841" spans="1:2" x14ac:dyDescent="0.25">
      <c r="A841" t="s">
        <v>937</v>
      </c>
      <c r="B841" s="3">
        <v>0</v>
      </c>
    </row>
    <row r="842" spans="1:2" x14ac:dyDescent="0.25">
      <c r="A842" t="s">
        <v>938</v>
      </c>
      <c r="B842" s="3">
        <v>199736225.87</v>
      </c>
    </row>
    <row r="843" spans="1:2" x14ac:dyDescent="0.25">
      <c r="A843" t="s">
        <v>939</v>
      </c>
      <c r="B843" s="3">
        <v>199736225.87</v>
      </c>
    </row>
    <row r="844" spans="1:2" x14ac:dyDescent="0.25">
      <c r="A844" t="s">
        <v>940</v>
      </c>
      <c r="B844" s="3">
        <v>199736225.87</v>
      </c>
    </row>
    <row r="845" spans="1:2" x14ac:dyDescent="0.25">
      <c r="A845" t="s">
        <v>941</v>
      </c>
      <c r="B845" s="3">
        <v>199736225.87</v>
      </c>
    </row>
    <row r="846" spans="1:2" x14ac:dyDescent="0.25">
      <c r="A846" t="s">
        <v>942</v>
      </c>
      <c r="B846" s="3">
        <v>200811255.28999999</v>
      </c>
    </row>
    <row r="847" spans="1:2" x14ac:dyDescent="0.25">
      <c r="A847" t="s">
        <v>943</v>
      </c>
      <c r="B847" s="3">
        <v>200811255.28999999</v>
      </c>
    </row>
    <row r="848" spans="1:2" x14ac:dyDescent="0.25">
      <c r="A848" t="s">
        <v>944</v>
      </c>
      <c r="B848" s="3">
        <v>200811255.28999999</v>
      </c>
    </row>
    <row r="849" spans="1:2" x14ac:dyDescent="0.25">
      <c r="A849" t="s">
        <v>945</v>
      </c>
      <c r="B849" s="3">
        <v>200811255.28999999</v>
      </c>
    </row>
    <row r="850" spans="1:2" x14ac:dyDescent="0.25">
      <c r="A850" t="s">
        <v>946</v>
      </c>
      <c r="B850" s="3">
        <v>200811255.28999999</v>
      </c>
    </row>
    <row r="851" spans="1:2" x14ac:dyDescent="0.25">
      <c r="A851" t="s">
        <v>947</v>
      </c>
      <c r="B851" s="3">
        <v>200811255.28999999</v>
      </c>
    </row>
    <row r="852" spans="1:2" x14ac:dyDescent="0.25">
      <c r="A852" t="s">
        <v>948</v>
      </c>
      <c r="B852" s="3">
        <v>200811255.28999999</v>
      </c>
    </row>
    <row r="853" spans="1:2" x14ac:dyDescent="0.25">
      <c r="A853" t="s">
        <v>949</v>
      </c>
      <c r="B853" s="3">
        <v>200811255.28999999</v>
      </c>
    </row>
    <row r="854" spans="1:2" x14ac:dyDescent="0.25">
      <c r="A854" t="s">
        <v>4</v>
      </c>
      <c r="B854" s="3">
        <v>200811255.28999999</v>
      </c>
    </row>
    <row r="855" spans="1:2" x14ac:dyDescent="0.25">
      <c r="A855" t="s">
        <v>950</v>
      </c>
      <c r="B855" s="3">
        <v>200811255.28999999</v>
      </c>
    </row>
    <row r="856" spans="1:2" x14ac:dyDescent="0.25">
      <c r="A856" t="s">
        <v>951</v>
      </c>
      <c r="B856" s="3">
        <v>200811255.28999999</v>
      </c>
    </row>
    <row r="857" spans="1:2" x14ac:dyDescent="0.25">
      <c r="A857" t="s">
        <v>952</v>
      </c>
      <c r="B857" s="3">
        <v>200811255.28999999</v>
      </c>
    </row>
    <row r="858" spans="1:2" x14ac:dyDescent="0.25">
      <c r="A858" t="s">
        <v>953</v>
      </c>
      <c r="B858" s="3">
        <v>716900989.30999994</v>
      </c>
    </row>
    <row r="859" spans="1:2" x14ac:dyDescent="0.25">
      <c r="A859" t="s">
        <v>954</v>
      </c>
      <c r="B859" s="3">
        <v>716900989.30999994</v>
      </c>
    </row>
    <row r="860" spans="1:2" x14ac:dyDescent="0.25">
      <c r="A860" t="s">
        <v>955</v>
      </c>
      <c r="B860" s="3">
        <v>716900989.30999994</v>
      </c>
    </row>
    <row r="861" spans="1:2" x14ac:dyDescent="0.25">
      <c r="A861" t="s">
        <v>956</v>
      </c>
      <c r="B861" s="3">
        <v>716900989.30999994</v>
      </c>
    </row>
    <row r="862" spans="1:2" x14ac:dyDescent="0.25">
      <c r="A862" t="s">
        <v>957</v>
      </c>
      <c r="B862" s="3">
        <v>716900989.30999994</v>
      </c>
    </row>
    <row r="863" spans="1:2" x14ac:dyDescent="0.25">
      <c r="A863" t="s">
        <v>958</v>
      </c>
      <c r="B863" s="3">
        <v>716900989.30999994</v>
      </c>
    </row>
    <row r="864" spans="1:2" x14ac:dyDescent="0.25">
      <c r="A864" t="s">
        <v>959</v>
      </c>
      <c r="B864" s="3">
        <v>716900989.30999994</v>
      </c>
    </row>
    <row r="865" spans="1:2" x14ac:dyDescent="0.25">
      <c r="A865" t="s">
        <v>960</v>
      </c>
      <c r="B865" s="3">
        <v>0</v>
      </c>
    </row>
    <row r="866" spans="1:2" x14ac:dyDescent="0.25">
      <c r="A866" t="s">
        <v>961</v>
      </c>
      <c r="B866" s="3">
        <v>716900989.30999994</v>
      </c>
    </row>
    <row r="867" spans="1:2" x14ac:dyDescent="0.25">
      <c r="A867" t="s">
        <v>962</v>
      </c>
      <c r="B867" s="3">
        <v>716900989.30999994</v>
      </c>
    </row>
    <row r="868" spans="1:2" x14ac:dyDescent="0.25">
      <c r="A868" t="s">
        <v>963</v>
      </c>
      <c r="B868" s="3">
        <v>716900989.30999994</v>
      </c>
    </row>
    <row r="869" spans="1:2" x14ac:dyDescent="0.25">
      <c r="A869" t="s">
        <v>964</v>
      </c>
      <c r="B869" s="3">
        <v>699948845.62</v>
      </c>
    </row>
    <row r="870" spans="1:2" x14ac:dyDescent="0.25">
      <c r="A870" t="s">
        <v>965</v>
      </c>
      <c r="B870" s="3">
        <v>699948845.62</v>
      </c>
    </row>
    <row r="871" spans="1:2" x14ac:dyDescent="0.25">
      <c r="A871" t="s">
        <v>966</v>
      </c>
      <c r="B871" s="3">
        <v>699948845.62</v>
      </c>
    </row>
    <row r="872" spans="1:2" x14ac:dyDescent="0.25">
      <c r="A872" t="s">
        <v>967</v>
      </c>
      <c r="B872" s="3">
        <v>699948845.62</v>
      </c>
    </row>
    <row r="873" spans="1:2" x14ac:dyDescent="0.25">
      <c r="A873" t="s">
        <v>968</v>
      </c>
      <c r="B873" s="3">
        <v>699948845.62</v>
      </c>
    </row>
    <row r="874" spans="1:2" x14ac:dyDescent="0.25">
      <c r="A874" t="s">
        <v>969</v>
      </c>
      <c r="B874" s="3">
        <v>699948845.62</v>
      </c>
    </row>
    <row r="875" spans="1:2" x14ac:dyDescent="0.25">
      <c r="A875" t="s">
        <v>970</v>
      </c>
      <c r="B875" s="3">
        <v>699948845.62</v>
      </c>
    </row>
    <row r="876" spans="1:2" x14ac:dyDescent="0.25">
      <c r="A876" t="s">
        <v>971</v>
      </c>
      <c r="B876" s="3">
        <v>699948845.62</v>
      </c>
    </row>
    <row r="877" spans="1:2" x14ac:dyDescent="0.25">
      <c r="A877" t="s">
        <v>972</v>
      </c>
      <c r="B877" s="3">
        <v>699948845.62</v>
      </c>
    </row>
    <row r="878" spans="1:2" x14ac:dyDescent="0.25">
      <c r="A878" t="s">
        <v>973</v>
      </c>
      <c r="B878" s="3">
        <v>699948845.62</v>
      </c>
    </row>
    <row r="879" spans="1:2" x14ac:dyDescent="0.25">
      <c r="A879" t="s">
        <v>974</v>
      </c>
      <c r="B879" s="3">
        <v>1982712264.8499999</v>
      </c>
    </row>
    <row r="880" spans="1:2" x14ac:dyDescent="0.25">
      <c r="A880" t="s">
        <v>975</v>
      </c>
      <c r="B880" s="3">
        <v>1982712264.8499999</v>
      </c>
    </row>
    <row r="881" spans="1:2" x14ac:dyDescent="0.25">
      <c r="A881" t="s">
        <v>976</v>
      </c>
      <c r="B881" s="3">
        <v>75277126.930000007</v>
      </c>
    </row>
    <row r="882" spans="1:2" x14ac:dyDescent="0.25">
      <c r="A882" t="s">
        <v>977</v>
      </c>
      <c r="B882" s="3">
        <v>72119073.430000007</v>
      </c>
    </row>
    <row r="883" spans="1:2" x14ac:dyDescent="0.25">
      <c r="A883" t="s">
        <v>978</v>
      </c>
      <c r="B883" s="3">
        <v>71871080.370000005</v>
      </c>
    </row>
    <row r="884" spans="1:2" x14ac:dyDescent="0.25">
      <c r="A884" t="s">
        <v>979</v>
      </c>
      <c r="B884" s="3">
        <v>237355842.50999999</v>
      </c>
    </row>
    <row r="885" spans="1:2" x14ac:dyDescent="0.25">
      <c r="A885" t="s">
        <v>980</v>
      </c>
      <c r="B885" s="3">
        <v>72945772.590000004</v>
      </c>
    </row>
    <row r="886" spans="1:2" x14ac:dyDescent="0.25">
      <c r="A886" t="s">
        <v>981</v>
      </c>
      <c r="B886" s="3">
        <v>73171374.459999993</v>
      </c>
    </row>
    <row r="887" spans="1:2" x14ac:dyDescent="0.25">
      <c r="A887" t="s">
        <v>982</v>
      </c>
      <c r="B887" s="3">
        <v>35742438.329999998</v>
      </c>
    </row>
    <row r="888" spans="1:2" x14ac:dyDescent="0.25">
      <c r="A888" t="s">
        <v>983</v>
      </c>
      <c r="B888" s="3">
        <v>33168352.66</v>
      </c>
    </row>
    <row r="889" spans="1:2" x14ac:dyDescent="0.25">
      <c r="A889" t="s">
        <v>984</v>
      </c>
      <c r="B889" s="3">
        <v>27949020.09</v>
      </c>
    </row>
    <row r="890" spans="1:2" x14ac:dyDescent="0.25">
      <c r="A890" t="s">
        <v>985</v>
      </c>
      <c r="B890" s="3">
        <v>29895831.09</v>
      </c>
    </row>
    <row r="891" spans="1:2" x14ac:dyDescent="0.25">
      <c r="A891" t="s">
        <v>986</v>
      </c>
      <c r="B891" s="3">
        <v>1508600398.0899999</v>
      </c>
    </row>
    <row r="892" spans="1:2" x14ac:dyDescent="0.25">
      <c r="A892" t="s">
        <v>987</v>
      </c>
      <c r="B892" s="3">
        <v>1508600398.0899999</v>
      </c>
    </row>
    <row r="893" spans="1:2" x14ac:dyDescent="0.25">
      <c r="A893" t="s">
        <v>988</v>
      </c>
      <c r="B893" s="3">
        <v>134133584.36</v>
      </c>
    </row>
    <row r="894" spans="1:2" x14ac:dyDescent="0.25">
      <c r="A894" t="s">
        <v>989</v>
      </c>
      <c r="B894" s="3">
        <v>163467920.91</v>
      </c>
    </row>
    <row r="895" spans="1:2" x14ac:dyDescent="0.25">
      <c r="A895" t="s">
        <v>990</v>
      </c>
      <c r="B895" s="3">
        <v>96903262.939999998</v>
      </c>
    </row>
    <row r="896" spans="1:2" x14ac:dyDescent="0.25">
      <c r="A896" t="s">
        <v>991</v>
      </c>
      <c r="B896" s="3">
        <v>244360346.83000001</v>
      </c>
    </row>
    <row r="897" spans="1:2" x14ac:dyDescent="0.25">
      <c r="A897" t="s">
        <v>992</v>
      </c>
      <c r="B897" s="3">
        <v>106018953.41</v>
      </c>
    </row>
    <row r="898" spans="1:2" x14ac:dyDescent="0.25">
      <c r="A898" t="s">
        <v>993</v>
      </c>
      <c r="B898" s="3">
        <v>20997393.960000001</v>
      </c>
    </row>
    <row r="899" spans="1:2" x14ac:dyDescent="0.25">
      <c r="A899" t="s">
        <v>994</v>
      </c>
      <c r="B899" s="3">
        <v>80022324.700000003</v>
      </c>
    </row>
    <row r="900" spans="1:2" x14ac:dyDescent="0.25">
      <c r="A900" t="s">
        <v>995</v>
      </c>
    </row>
    <row r="901" spans="1:2" x14ac:dyDescent="0.25">
      <c r="A901" t="s">
        <v>996</v>
      </c>
      <c r="B901" s="3">
        <v>213228905.09999999</v>
      </c>
    </row>
    <row r="902" spans="1:2" x14ac:dyDescent="0.25">
      <c r="A902" t="s">
        <v>997</v>
      </c>
      <c r="B902" s="3">
        <v>10495309.460000001</v>
      </c>
    </row>
    <row r="903" spans="1:2" x14ac:dyDescent="0.25">
      <c r="A903" t="s">
        <v>998</v>
      </c>
      <c r="B903" s="3">
        <v>31046837.48</v>
      </c>
    </row>
    <row r="904" spans="1:2" x14ac:dyDescent="0.25">
      <c r="A904" t="s">
        <v>999</v>
      </c>
      <c r="B904" s="3">
        <v>21954151.07</v>
      </c>
    </row>
    <row r="905" spans="1:2" x14ac:dyDescent="0.25">
      <c r="A905" t="s">
        <v>1000</v>
      </c>
      <c r="B905" s="3">
        <v>49367770.770000003</v>
      </c>
    </row>
    <row r="906" spans="1:2" x14ac:dyDescent="0.25">
      <c r="A906" t="s">
        <v>1001</v>
      </c>
      <c r="B906" s="3">
        <v>23050393.399999999</v>
      </c>
    </row>
    <row r="907" spans="1:2" x14ac:dyDescent="0.25">
      <c r="A907" t="s">
        <v>1002</v>
      </c>
      <c r="B907" s="3">
        <v>17554244.609999999</v>
      </c>
    </row>
    <row r="908" spans="1:2" x14ac:dyDescent="0.25">
      <c r="A908" t="s">
        <v>1003</v>
      </c>
      <c r="B908" s="3">
        <v>58930630.549999997</v>
      </c>
    </row>
    <row r="909" spans="1:2" x14ac:dyDescent="0.25">
      <c r="A909" t="s">
        <v>1004</v>
      </c>
    </row>
    <row r="910" spans="1:2" x14ac:dyDescent="0.25">
      <c r="A910" t="s">
        <v>1005</v>
      </c>
    </row>
    <row r="911" spans="1:2" x14ac:dyDescent="0.25">
      <c r="A911" t="s">
        <v>1006</v>
      </c>
    </row>
    <row r="912" spans="1:2" x14ac:dyDescent="0.25">
      <c r="A912" t="s">
        <v>1007</v>
      </c>
    </row>
    <row r="913" spans="1:2" x14ac:dyDescent="0.25">
      <c r="A913" t="s">
        <v>1008</v>
      </c>
    </row>
    <row r="914" spans="1:2" x14ac:dyDescent="0.25">
      <c r="A914" t="s">
        <v>1009</v>
      </c>
    </row>
    <row r="915" spans="1:2" x14ac:dyDescent="0.25">
      <c r="A915" t="s">
        <v>1010</v>
      </c>
    </row>
    <row r="916" spans="1:2" x14ac:dyDescent="0.25">
      <c r="A916" t="s">
        <v>1011</v>
      </c>
    </row>
    <row r="917" spans="1:2" x14ac:dyDescent="0.25">
      <c r="A917" t="s">
        <v>1012</v>
      </c>
    </row>
    <row r="918" spans="1:2" x14ac:dyDescent="0.25">
      <c r="A918" t="s">
        <v>1013</v>
      </c>
    </row>
    <row r="919" spans="1:2" x14ac:dyDescent="0.25">
      <c r="A919" t="s">
        <v>1014</v>
      </c>
    </row>
    <row r="920" spans="1:2" x14ac:dyDescent="0.25">
      <c r="A920" t="s">
        <v>1015</v>
      </c>
    </row>
    <row r="921" spans="1:2" x14ac:dyDescent="0.25">
      <c r="A921" t="s">
        <v>1016</v>
      </c>
      <c r="B921" s="3">
        <v>49125523.509999998</v>
      </c>
    </row>
    <row r="922" spans="1:2" x14ac:dyDescent="0.25">
      <c r="A922" t="s">
        <v>1017</v>
      </c>
    </row>
    <row r="923" spans="1:2" x14ac:dyDescent="0.25">
      <c r="A923" t="s">
        <v>1018</v>
      </c>
    </row>
    <row r="924" spans="1:2" x14ac:dyDescent="0.25">
      <c r="A924" t="s">
        <v>1019</v>
      </c>
    </row>
    <row r="925" spans="1:2" x14ac:dyDescent="0.25">
      <c r="A925" t="s">
        <v>1020</v>
      </c>
    </row>
    <row r="926" spans="1:2" x14ac:dyDescent="0.25">
      <c r="B926" s="3">
        <v>147444800.52000001</v>
      </c>
    </row>
    <row r="927" spans="1:2" x14ac:dyDescent="0.25">
      <c r="A927" t="s">
        <v>1021</v>
      </c>
    </row>
    <row r="928" spans="1:2" x14ac:dyDescent="0.25">
      <c r="A928" t="s">
        <v>1022</v>
      </c>
    </row>
    <row r="929" spans="1:2" x14ac:dyDescent="0.25">
      <c r="A929" t="s">
        <v>1023</v>
      </c>
    </row>
    <row r="930" spans="1:2" x14ac:dyDescent="0.25">
      <c r="A930" t="s">
        <v>1024</v>
      </c>
      <c r="B930" s="3">
        <v>109080665.88</v>
      </c>
    </row>
    <row r="931" spans="1:2" x14ac:dyDescent="0.25">
      <c r="A931" t="s">
        <v>1025</v>
      </c>
    </row>
    <row r="932" spans="1:2" x14ac:dyDescent="0.25">
      <c r="A932" t="s">
        <v>1026</v>
      </c>
    </row>
    <row r="933" spans="1:2" x14ac:dyDescent="0.25">
      <c r="A933" t="s">
        <v>1027</v>
      </c>
    </row>
    <row r="934" spans="1:2" x14ac:dyDescent="0.25">
      <c r="A934" t="s">
        <v>1028</v>
      </c>
    </row>
    <row r="935" spans="1:2" x14ac:dyDescent="0.25">
      <c r="A935" t="s">
        <v>1029</v>
      </c>
      <c r="B935" s="3">
        <v>46773915.850000001</v>
      </c>
    </row>
    <row r="936" spans="1:2" x14ac:dyDescent="0.25">
      <c r="A936" t="s">
        <v>1030</v>
      </c>
      <c r="B936" s="3">
        <v>98086071.409999996</v>
      </c>
    </row>
    <row r="937" spans="1:2" x14ac:dyDescent="0.25">
      <c r="A937" t="s">
        <v>1031</v>
      </c>
      <c r="B937" s="3">
        <v>49905752.780000001</v>
      </c>
    </row>
    <row r="938" spans="1:2" x14ac:dyDescent="0.25">
      <c r="A938" t="s">
        <v>1032</v>
      </c>
      <c r="B938" s="3">
        <v>7770900.1399999997</v>
      </c>
    </row>
    <row r="939" spans="1:2" x14ac:dyDescent="0.25">
      <c r="A939" t="s">
        <v>1033</v>
      </c>
    </row>
    <row r="940" spans="1:2" x14ac:dyDescent="0.25">
      <c r="A940" t="s">
        <v>1034</v>
      </c>
      <c r="B940" s="3">
        <v>19112744.449999999</v>
      </c>
    </row>
    <row r="941" spans="1:2" x14ac:dyDescent="0.25">
      <c r="A941" t="s">
        <v>1035</v>
      </c>
    </row>
    <row r="942" spans="1:2" x14ac:dyDescent="0.25">
      <c r="A942" t="s">
        <v>1036</v>
      </c>
    </row>
    <row r="943" spans="1:2" x14ac:dyDescent="0.25">
      <c r="A943" t="s">
        <v>1037</v>
      </c>
    </row>
    <row r="944" spans="1:2" x14ac:dyDescent="0.25">
      <c r="A944" t="s">
        <v>1038</v>
      </c>
    </row>
    <row r="945" spans="1:2" x14ac:dyDescent="0.25">
      <c r="A945" t="s">
        <v>1039</v>
      </c>
    </row>
    <row r="946" spans="1:2" x14ac:dyDescent="0.25">
      <c r="A946" t="s">
        <v>1040</v>
      </c>
      <c r="B946" s="3">
        <v>73357462.159999996</v>
      </c>
    </row>
    <row r="947" spans="1:2" x14ac:dyDescent="0.25">
      <c r="A947" t="s">
        <v>1041</v>
      </c>
    </row>
    <row r="948" spans="1:2" x14ac:dyDescent="0.25">
      <c r="A948" t="s">
        <v>1042</v>
      </c>
      <c r="B948" s="3">
        <v>126094027.43000001</v>
      </c>
    </row>
    <row r="949" spans="1:2" x14ac:dyDescent="0.25">
      <c r="A949" t="s">
        <v>1043</v>
      </c>
      <c r="B949" s="3">
        <v>296540263.82475102</v>
      </c>
    </row>
    <row r="950" spans="1:2" x14ac:dyDescent="0.25">
      <c r="A950" t="s">
        <v>1044</v>
      </c>
      <c r="B950" s="3">
        <v>34512443.149999999</v>
      </c>
    </row>
    <row r="951" spans="1:2" x14ac:dyDescent="0.25">
      <c r="A951" t="s">
        <v>1045</v>
      </c>
      <c r="B951" s="3">
        <v>34512443.149999999</v>
      </c>
    </row>
    <row r="952" spans="1:2" x14ac:dyDescent="0.25">
      <c r="A952" t="s">
        <v>1046</v>
      </c>
      <c r="B952" s="3">
        <v>34512443.149999999</v>
      </c>
    </row>
    <row r="953" spans="1:2" x14ac:dyDescent="0.25">
      <c r="A953" t="s">
        <v>1047</v>
      </c>
      <c r="B953" s="3">
        <v>34512443.149999999</v>
      </c>
    </row>
    <row r="954" spans="1:2" x14ac:dyDescent="0.25">
      <c r="A954" t="s">
        <v>1048</v>
      </c>
      <c r="B954" s="3">
        <v>34512443.149999999</v>
      </c>
    </row>
    <row r="955" spans="1:2" x14ac:dyDescent="0.25">
      <c r="B955" s="3">
        <v>34512443.149999999</v>
      </c>
    </row>
    <row r="956" spans="1:2" x14ac:dyDescent="0.25">
      <c r="A956" t="s">
        <v>1049</v>
      </c>
      <c r="B956" s="3">
        <v>62087108.520000003</v>
      </c>
    </row>
    <row r="957" spans="1:2" x14ac:dyDescent="0.25">
      <c r="A957" t="s">
        <v>1050</v>
      </c>
      <c r="B957" s="3">
        <v>129080016.33</v>
      </c>
    </row>
    <row r="958" spans="1:2" x14ac:dyDescent="0.25">
      <c r="A958" t="s">
        <v>1051</v>
      </c>
      <c r="B958" s="3">
        <v>52173197.100000001</v>
      </c>
    </row>
    <row r="959" spans="1:2" x14ac:dyDescent="0.25">
      <c r="A959" t="s">
        <v>1052</v>
      </c>
      <c r="B959" s="3">
        <v>236529015.09999999</v>
      </c>
    </row>
    <row r="960" spans="1:2" x14ac:dyDescent="0.25">
      <c r="A960" t="s">
        <v>1053</v>
      </c>
      <c r="B960" s="3">
        <v>254709643.65000001</v>
      </c>
    </row>
    <row r="961" spans="1:2" x14ac:dyDescent="0.25">
      <c r="A961" t="s">
        <v>1054</v>
      </c>
    </row>
    <row r="962" spans="1:2" x14ac:dyDescent="0.25">
      <c r="A962" t="s">
        <v>1055</v>
      </c>
    </row>
    <row r="963" spans="1:2" x14ac:dyDescent="0.25">
      <c r="A963" t="s">
        <v>1056</v>
      </c>
    </row>
    <row r="964" spans="1:2" x14ac:dyDescent="0.25">
      <c r="A964" t="s">
        <v>1057</v>
      </c>
      <c r="B964" s="3">
        <v>386076536.51999998</v>
      </c>
    </row>
    <row r="965" spans="1:2" x14ac:dyDescent="0.25">
      <c r="A965" t="s">
        <v>1058</v>
      </c>
      <c r="B965" s="3">
        <v>409442975.79000002</v>
      </c>
    </row>
    <row r="966" spans="1:2" x14ac:dyDescent="0.25">
      <c r="A966" t="s">
        <v>1059</v>
      </c>
      <c r="B966" s="3">
        <v>468902741.68000001</v>
      </c>
    </row>
    <row r="967" spans="1:2" x14ac:dyDescent="0.25">
      <c r="A967" t="s">
        <v>1060</v>
      </c>
      <c r="B967" s="3">
        <v>196525153.00999999</v>
      </c>
    </row>
    <row r="968" spans="1:2" x14ac:dyDescent="0.25">
      <c r="A968" t="s">
        <v>1061</v>
      </c>
      <c r="B968" s="3">
        <v>237505979.03</v>
      </c>
    </row>
    <row r="969" spans="1:2" x14ac:dyDescent="0.25">
      <c r="A969" t="s">
        <v>1062</v>
      </c>
      <c r="B969" s="3">
        <v>395972905.86000001</v>
      </c>
    </row>
    <row r="970" spans="1:2" x14ac:dyDescent="0.25">
      <c r="A970" t="s">
        <v>1063</v>
      </c>
    </row>
    <row r="971" spans="1:2" x14ac:dyDescent="0.25">
      <c r="A971" t="s">
        <v>1064</v>
      </c>
    </row>
    <row r="972" spans="1:2" x14ac:dyDescent="0.25">
      <c r="B972" s="3">
        <v>22004383.02</v>
      </c>
    </row>
    <row r="973" spans="1:2" x14ac:dyDescent="0.25">
      <c r="A973" t="s">
        <v>1065</v>
      </c>
    </row>
    <row r="974" spans="1:2" x14ac:dyDescent="0.25">
      <c r="B974" s="3">
        <v>13047220.57</v>
      </c>
    </row>
    <row r="975" spans="1:2" x14ac:dyDescent="0.25">
      <c r="A975" t="s">
        <v>1066</v>
      </c>
    </row>
    <row r="976" spans="1:2" x14ac:dyDescent="0.25">
      <c r="B976" s="3">
        <v>3890189.01</v>
      </c>
    </row>
    <row r="977" spans="1:2" x14ac:dyDescent="0.25">
      <c r="A977" t="s">
        <v>1067</v>
      </c>
    </row>
    <row r="978" spans="1:2" x14ac:dyDescent="0.25">
      <c r="B978" s="3">
        <v>4088527.57</v>
      </c>
    </row>
    <row r="979" spans="1:2" x14ac:dyDescent="0.25">
      <c r="A979" t="s">
        <v>1068</v>
      </c>
      <c r="B979" s="3">
        <v>960286484.96000004</v>
      </c>
    </row>
    <row r="980" spans="1:2" x14ac:dyDescent="0.25">
      <c r="A980" t="s">
        <v>1069</v>
      </c>
      <c r="B980" s="3">
        <v>513549531.38999999</v>
      </c>
    </row>
    <row r="981" spans="1:2" x14ac:dyDescent="0.25">
      <c r="A981" t="s">
        <v>1070</v>
      </c>
      <c r="B981" s="3">
        <v>385301470.64999998</v>
      </c>
    </row>
    <row r="982" spans="1:2" x14ac:dyDescent="0.25">
      <c r="A982" t="s">
        <v>1071</v>
      </c>
      <c r="B982" s="3">
        <v>225653028.47999999</v>
      </c>
    </row>
    <row r="983" spans="1:2" x14ac:dyDescent="0.25">
      <c r="A983" t="s">
        <v>1072</v>
      </c>
      <c r="B983" s="3">
        <v>461116968.98000002</v>
      </c>
    </row>
    <row r="984" spans="1:2" x14ac:dyDescent="0.25">
      <c r="A984" t="s">
        <v>1073</v>
      </c>
      <c r="B984" s="3">
        <v>120814350.2</v>
      </c>
    </row>
    <row r="985" spans="1:2" x14ac:dyDescent="0.25">
      <c r="A985" t="s">
        <v>1074</v>
      </c>
    </row>
    <row r="986" spans="1:2" x14ac:dyDescent="0.25">
      <c r="A986" t="s">
        <v>1075</v>
      </c>
      <c r="B986" s="3">
        <v>86931099.849999994</v>
      </c>
    </row>
    <row r="987" spans="1:2" x14ac:dyDescent="0.25">
      <c r="B987" s="3">
        <v>86931099.849999994</v>
      </c>
    </row>
    <row r="988" spans="1:2" x14ac:dyDescent="0.25">
      <c r="A988" t="s">
        <v>1076</v>
      </c>
    </row>
    <row r="989" spans="1:2" x14ac:dyDescent="0.25">
      <c r="A989" t="s">
        <v>1077</v>
      </c>
    </row>
    <row r="990" spans="1:2" x14ac:dyDescent="0.25">
      <c r="A990" t="s">
        <v>1078</v>
      </c>
    </row>
    <row r="991" spans="1:2" x14ac:dyDescent="0.25">
      <c r="A991" t="s">
        <v>1079</v>
      </c>
    </row>
    <row r="992" spans="1:2" x14ac:dyDescent="0.25">
      <c r="A992" t="s">
        <v>1080</v>
      </c>
    </row>
    <row r="993" spans="1:2" x14ac:dyDescent="0.25">
      <c r="A993" t="s">
        <v>1081</v>
      </c>
    </row>
    <row r="994" spans="1:2" x14ac:dyDescent="0.25">
      <c r="A994" t="s">
        <v>1082</v>
      </c>
    </row>
    <row r="995" spans="1:2" x14ac:dyDescent="0.25">
      <c r="A995" t="s">
        <v>1083</v>
      </c>
    </row>
    <row r="996" spans="1:2" x14ac:dyDescent="0.25">
      <c r="A996" t="s">
        <v>1084</v>
      </c>
      <c r="B996" s="3">
        <v>342985402.64999998</v>
      </c>
    </row>
    <row r="997" spans="1:2" x14ac:dyDescent="0.25">
      <c r="A997" t="s">
        <v>1085</v>
      </c>
    </row>
    <row r="998" spans="1:2" x14ac:dyDescent="0.25">
      <c r="A998" t="s">
        <v>1086</v>
      </c>
      <c r="B998" s="3">
        <v>191448188.31</v>
      </c>
    </row>
    <row r="999" spans="1:2" x14ac:dyDescent="0.25">
      <c r="A999" t="s">
        <v>1087</v>
      </c>
    </row>
    <row r="1000" spans="1:2" x14ac:dyDescent="0.25">
      <c r="A1000" t="s">
        <v>1088</v>
      </c>
    </row>
    <row r="1001" spans="1:2" x14ac:dyDescent="0.25">
      <c r="A1001" t="s">
        <v>1089</v>
      </c>
      <c r="B1001" s="3">
        <v>17282244.609999999</v>
      </c>
    </row>
    <row r="1002" spans="1:2" x14ac:dyDescent="0.25">
      <c r="A1002" t="s">
        <v>1090</v>
      </c>
    </row>
    <row r="1003" spans="1:2" x14ac:dyDescent="0.25">
      <c r="A1003" t="s">
        <v>1091</v>
      </c>
    </row>
    <row r="1004" spans="1:2" x14ac:dyDescent="0.25">
      <c r="A1004" t="s">
        <v>1092</v>
      </c>
      <c r="B1004" s="3">
        <v>102700108.73</v>
      </c>
    </row>
    <row r="1005" spans="1:2" x14ac:dyDescent="0.25">
      <c r="A1005" t="s">
        <v>1093</v>
      </c>
      <c r="B1005" s="3">
        <v>11632803.01</v>
      </c>
    </row>
    <row r="1006" spans="1:2" x14ac:dyDescent="0.25">
      <c r="A1006" t="s">
        <v>1094</v>
      </c>
      <c r="B1006" s="3">
        <v>70250867.070588201</v>
      </c>
    </row>
    <row r="1007" spans="1:2" x14ac:dyDescent="0.25">
      <c r="A1007" t="s">
        <v>1095</v>
      </c>
      <c r="B1007" s="3">
        <v>805189.00377231999</v>
      </c>
    </row>
    <row r="1008" spans="1:2" x14ac:dyDescent="0.25">
      <c r="A1008" t="s">
        <v>1096</v>
      </c>
      <c r="B1008" s="3">
        <v>102033187.077098</v>
      </c>
    </row>
    <row r="1009" spans="1:2" x14ac:dyDescent="0.25">
      <c r="A1009" t="s">
        <v>1097</v>
      </c>
      <c r="B1009" s="3">
        <v>102974113.579317</v>
      </c>
    </row>
    <row r="1010" spans="1:2" x14ac:dyDescent="0.25">
      <c r="A1010" t="s">
        <v>1098</v>
      </c>
      <c r="B1010" s="3">
        <v>841606345.52238095</v>
      </c>
    </row>
    <row r="1011" spans="1:2" x14ac:dyDescent="0.25">
      <c r="A1011" t="s">
        <v>1099</v>
      </c>
    </row>
    <row r="1012" spans="1:2" x14ac:dyDescent="0.25">
      <c r="A1012" t="s">
        <v>1100</v>
      </c>
    </row>
    <row r="1013" spans="1:2" x14ac:dyDescent="0.25">
      <c r="A1013" t="s">
        <v>1101</v>
      </c>
      <c r="B1013" s="3">
        <v>330714.25</v>
      </c>
    </row>
    <row r="1014" spans="1:2" x14ac:dyDescent="0.25">
      <c r="A1014" t="s">
        <v>1102</v>
      </c>
    </row>
    <row r="1015" spans="1:2" x14ac:dyDescent="0.25">
      <c r="A1015" t="s">
        <v>1103</v>
      </c>
      <c r="B1015" s="3">
        <v>1068198.79</v>
      </c>
    </row>
    <row r="1016" spans="1:2" x14ac:dyDescent="0.25">
      <c r="A1016" t="s">
        <v>1104</v>
      </c>
    </row>
    <row r="1017" spans="1:2" x14ac:dyDescent="0.25">
      <c r="A1017" t="s">
        <v>1105</v>
      </c>
    </row>
    <row r="1018" spans="1:2" x14ac:dyDescent="0.25">
      <c r="A1018" t="s">
        <v>1106</v>
      </c>
    </row>
    <row r="1019" spans="1:2" x14ac:dyDescent="0.25">
      <c r="A1019" t="s">
        <v>1107</v>
      </c>
    </row>
    <row r="1020" spans="1:2" x14ac:dyDescent="0.25">
      <c r="A1020" t="s">
        <v>1108</v>
      </c>
    </row>
    <row r="1021" spans="1:2" x14ac:dyDescent="0.25">
      <c r="A1021" t="s">
        <v>1109</v>
      </c>
      <c r="B1021" s="3">
        <v>138287778.25</v>
      </c>
    </row>
    <row r="1022" spans="1:2" x14ac:dyDescent="0.25">
      <c r="B1022" s="3">
        <v>19173336.889897801</v>
      </c>
    </row>
    <row r="1023" spans="1:2" x14ac:dyDescent="0.25">
      <c r="A1023" t="s">
        <v>1110</v>
      </c>
      <c r="B1023" s="3">
        <v>21109406.760000002</v>
      </c>
    </row>
    <row r="1024" spans="1:2" x14ac:dyDescent="0.25">
      <c r="B1024" s="3">
        <v>821086.40181612002</v>
      </c>
    </row>
    <row r="1025" spans="1:2" x14ac:dyDescent="0.25">
      <c r="A1025" t="s">
        <v>1111</v>
      </c>
      <c r="B1025" s="3">
        <v>903779.34</v>
      </c>
    </row>
    <row r="1026" spans="1:2" x14ac:dyDescent="0.25">
      <c r="A1026" t="s">
        <v>1112</v>
      </c>
      <c r="B1026" s="3">
        <v>5855457.7316162502</v>
      </c>
    </row>
    <row r="1027" spans="1:2" x14ac:dyDescent="0.25">
      <c r="A1027" t="s">
        <v>1113</v>
      </c>
      <c r="B1027" s="3">
        <v>17221755.896572601</v>
      </c>
    </row>
    <row r="1028" spans="1:2" x14ac:dyDescent="0.25">
      <c r="A1028" t="s">
        <v>1114</v>
      </c>
      <c r="B1028" s="3">
        <v>95674816.8356089</v>
      </c>
    </row>
    <row r="1029" spans="1:2" x14ac:dyDescent="0.25">
      <c r="A1029" t="s">
        <v>1115</v>
      </c>
      <c r="B1029" s="3">
        <v>188729571.12142399</v>
      </c>
    </row>
    <row r="1030" spans="1:2" x14ac:dyDescent="0.25">
      <c r="A1030" t="s">
        <v>1116</v>
      </c>
      <c r="B1030" s="3">
        <v>124158014.91</v>
      </c>
    </row>
    <row r="1031" spans="1:2" x14ac:dyDescent="0.25">
      <c r="A1031" t="s">
        <v>1117</v>
      </c>
      <c r="B1031" s="3">
        <v>495884805.42000002</v>
      </c>
    </row>
    <row r="1032" spans="1:2" x14ac:dyDescent="0.25">
      <c r="A1032" t="s">
        <v>1118</v>
      </c>
      <c r="B1032" s="3">
        <v>156759932.38</v>
      </c>
    </row>
    <row r="1033" spans="1:2" x14ac:dyDescent="0.25">
      <c r="A1033" t="s">
        <v>1119</v>
      </c>
      <c r="B1033" s="3">
        <v>11922273.0495343</v>
      </c>
    </row>
    <row r="1034" spans="1:2" x14ac:dyDescent="0.25">
      <c r="A1034" t="s">
        <v>1120</v>
      </c>
      <c r="B1034" s="3">
        <v>31409745.528588101</v>
      </c>
    </row>
    <row r="1035" spans="1:2" x14ac:dyDescent="0.25">
      <c r="A1035" t="s">
        <v>1121</v>
      </c>
      <c r="B1035" s="3">
        <v>311771447.13999999</v>
      </c>
    </row>
    <row r="1036" spans="1:2" x14ac:dyDescent="0.25">
      <c r="A1036" t="s">
        <v>1122</v>
      </c>
      <c r="B1036" s="3">
        <v>2200</v>
      </c>
    </row>
    <row r="1037" spans="1:2" x14ac:dyDescent="0.25">
      <c r="A1037" t="s">
        <v>1123</v>
      </c>
      <c r="B1037" s="3">
        <v>169386307.29185599</v>
      </c>
    </row>
    <row r="1038" spans="1:2" x14ac:dyDescent="0.25">
      <c r="A1038" t="s">
        <v>1124</v>
      </c>
      <c r="B1038" s="3">
        <v>3562928.11143192</v>
      </c>
    </row>
    <row r="1039" spans="1:2" x14ac:dyDescent="0.25">
      <c r="A1039" t="s">
        <v>1125</v>
      </c>
      <c r="B1039" s="3">
        <v>564615027.71000004</v>
      </c>
    </row>
    <row r="1040" spans="1:2" x14ac:dyDescent="0.25">
      <c r="A1040" t="s">
        <v>1126</v>
      </c>
      <c r="B1040" s="3">
        <v>104575620.931099</v>
      </c>
    </row>
    <row r="1041" spans="1:2" x14ac:dyDescent="0.25">
      <c r="A1041" t="s">
        <v>1127</v>
      </c>
      <c r="B1041" s="3">
        <v>275042307.77408999</v>
      </c>
    </row>
    <row r="1042" spans="1:2" x14ac:dyDescent="0.25">
      <c r="A1042" t="s">
        <v>1128</v>
      </c>
      <c r="B1042" s="3">
        <v>5228745.3814897304</v>
      </c>
    </row>
    <row r="1043" spans="1:2" x14ac:dyDescent="0.25">
      <c r="A1043" t="s">
        <v>1129</v>
      </c>
      <c r="B1043" s="3">
        <v>411209382.44999999</v>
      </c>
    </row>
    <row r="1044" spans="1:2" x14ac:dyDescent="0.25">
      <c r="A1044" t="s">
        <v>1130</v>
      </c>
      <c r="B1044" s="3">
        <v>122419852.106887</v>
      </c>
    </row>
    <row r="1045" spans="1:2" x14ac:dyDescent="0.25">
      <c r="A1045" t="s">
        <v>1131</v>
      </c>
      <c r="B1045" s="3">
        <v>159168390.54025501</v>
      </c>
    </row>
    <row r="1046" spans="1:2" x14ac:dyDescent="0.25">
      <c r="A1046" t="s">
        <v>1132</v>
      </c>
      <c r="B1046" s="3">
        <v>245929224.81999999</v>
      </c>
    </row>
    <row r="1047" spans="1:2" x14ac:dyDescent="0.25">
      <c r="A1047" t="s">
        <v>1133</v>
      </c>
      <c r="B1047" s="3">
        <v>245929224.81999999</v>
      </c>
    </row>
    <row r="1048" spans="1:2" x14ac:dyDescent="0.25">
      <c r="A1048" t="s">
        <v>1134</v>
      </c>
      <c r="B1048" s="3">
        <v>245929224.81999999</v>
      </c>
    </row>
    <row r="1049" spans="1:2" x14ac:dyDescent="0.25">
      <c r="A1049" t="s">
        <v>1135</v>
      </c>
      <c r="B1049" s="3">
        <v>245929224.81999999</v>
      </c>
    </row>
    <row r="1050" spans="1:2" x14ac:dyDescent="0.25">
      <c r="A1050" t="s">
        <v>1136</v>
      </c>
      <c r="B1050" s="3">
        <v>9546444.3300000001</v>
      </c>
    </row>
    <row r="1051" spans="1:2" x14ac:dyDescent="0.25">
      <c r="B1051" s="3">
        <v>9461888.0999999996</v>
      </c>
    </row>
    <row r="1053" spans="1:2" x14ac:dyDescent="0.25">
      <c r="A1053" t="s">
        <v>1137</v>
      </c>
    </row>
    <row r="1056" spans="1:2" x14ac:dyDescent="0.25">
      <c r="A1056" t="s">
        <v>1138</v>
      </c>
    </row>
    <row r="1058" spans="1:2" x14ac:dyDescent="0.25">
      <c r="A1058" t="s">
        <v>1139</v>
      </c>
      <c r="B1058" s="3">
        <v>58888291.299999997</v>
      </c>
    </row>
    <row r="1059" spans="1:2" x14ac:dyDescent="0.25">
      <c r="A1059" t="s">
        <v>1140</v>
      </c>
      <c r="B1059" s="3">
        <v>17478579.1429119</v>
      </c>
    </row>
    <row r="1060" spans="1:2" x14ac:dyDescent="0.25">
      <c r="A1060" t="s">
        <v>1141</v>
      </c>
      <c r="B1060" s="3">
        <v>23217518.6662465</v>
      </c>
    </row>
    <row r="1061" spans="1:2" x14ac:dyDescent="0.25">
      <c r="A1061" t="s">
        <v>1142</v>
      </c>
    </row>
    <row r="1062" spans="1:2" x14ac:dyDescent="0.25">
      <c r="A1062" t="s">
        <v>1143</v>
      </c>
    </row>
    <row r="1063" spans="1:2" x14ac:dyDescent="0.25">
      <c r="A1063" t="s">
        <v>1144</v>
      </c>
    </row>
    <row r="1064" spans="1:2" x14ac:dyDescent="0.25">
      <c r="A1064" t="s">
        <v>1145</v>
      </c>
    </row>
    <row r="1065" spans="1:2" x14ac:dyDescent="0.25">
      <c r="A1065" t="s">
        <v>1146</v>
      </c>
    </row>
    <row r="1066" spans="1:2" x14ac:dyDescent="0.25">
      <c r="A1066" t="s">
        <v>1147</v>
      </c>
    </row>
    <row r="1067" spans="1:2" x14ac:dyDescent="0.25">
      <c r="A1067" t="s">
        <v>1148</v>
      </c>
    </row>
    <row r="1068" spans="1:2" x14ac:dyDescent="0.25">
      <c r="A1068" t="s">
        <v>1149</v>
      </c>
    </row>
    <row r="1069" spans="1:2" x14ac:dyDescent="0.25">
      <c r="A1069" t="s">
        <v>1150</v>
      </c>
    </row>
    <row r="1070" spans="1:2" x14ac:dyDescent="0.25">
      <c r="A1070" t="s">
        <v>1151</v>
      </c>
    </row>
    <row r="1071" spans="1:2" x14ac:dyDescent="0.25">
      <c r="A1071" t="s">
        <v>1152</v>
      </c>
    </row>
    <row r="1072" spans="1:2" x14ac:dyDescent="0.25">
      <c r="A1072" t="s">
        <v>1153</v>
      </c>
    </row>
    <row r="1073" spans="1:2" x14ac:dyDescent="0.25">
      <c r="A1073" t="s">
        <v>1154</v>
      </c>
    </row>
    <row r="1074" spans="1:2" x14ac:dyDescent="0.25">
      <c r="A1074" t="s">
        <v>1155</v>
      </c>
    </row>
    <row r="1075" spans="1:2" x14ac:dyDescent="0.25">
      <c r="A1075" t="s">
        <v>1156</v>
      </c>
    </row>
    <row r="1076" spans="1:2" x14ac:dyDescent="0.25">
      <c r="A1076" t="s">
        <v>1157</v>
      </c>
    </row>
    <row r="1077" spans="1:2" x14ac:dyDescent="0.25">
      <c r="A1077" t="s">
        <v>1158</v>
      </c>
    </row>
    <row r="1078" spans="1:2" x14ac:dyDescent="0.25">
      <c r="A1078" t="s">
        <v>1159</v>
      </c>
      <c r="B1078" s="3">
        <v>63557190.049999997</v>
      </c>
    </row>
    <row r="1079" spans="1:2" x14ac:dyDescent="0.25">
      <c r="A1079" t="s">
        <v>1160</v>
      </c>
      <c r="B1079" s="3">
        <v>76488480.819999993</v>
      </c>
    </row>
    <row r="1080" spans="1:2" x14ac:dyDescent="0.25">
      <c r="A1080" t="s">
        <v>1161</v>
      </c>
    </row>
    <row r="1081" spans="1:2" x14ac:dyDescent="0.25">
      <c r="A1081" t="s">
        <v>1162</v>
      </c>
    </row>
    <row r="1082" spans="1:2" x14ac:dyDescent="0.25">
      <c r="A1082" t="s">
        <v>1163</v>
      </c>
      <c r="B1082" s="3">
        <v>390537532.02999997</v>
      </c>
    </row>
    <row r="1083" spans="1:2" x14ac:dyDescent="0.25">
      <c r="A1083" t="s">
        <v>1164</v>
      </c>
      <c r="B1083" s="3">
        <v>390537532.02999997</v>
      </c>
    </row>
    <row r="1084" spans="1:2" x14ac:dyDescent="0.25">
      <c r="B1084" s="3">
        <v>103963903.84999999</v>
      </c>
    </row>
    <row r="1085" spans="1:2" x14ac:dyDescent="0.25">
      <c r="A1085" t="s">
        <v>1165</v>
      </c>
      <c r="B1085" s="3">
        <v>100893886.068994</v>
      </c>
    </row>
    <row r="1086" spans="1:2" x14ac:dyDescent="0.25">
      <c r="A1086" t="s">
        <v>1166</v>
      </c>
      <c r="B1086" s="3">
        <v>110434726.100025</v>
      </c>
    </row>
    <row r="1087" spans="1:2" x14ac:dyDescent="0.25">
      <c r="A1087" t="s">
        <v>1167</v>
      </c>
      <c r="B1087" s="3">
        <v>100519088.912003</v>
      </c>
    </row>
    <row r="1088" spans="1:2" x14ac:dyDescent="0.25">
      <c r="A1088" t="s">
        <v>1168</v>
      </c>
      <c r="B1088" s="3">
        <v>2036729.95</v>
      </c>
    </row>
    <row r="1089" spans="1:2" x14ac:dyDescent="0.25">
      <c r="A1089" t="s">
        <v>1169</v>
      </c>
    </row>
    <row r="1090" spans="1:2" x14ac:dyDescent="0.25">
      <c r="A1090" t="s">
        <v>1170</v>
      </c>
    </row>
    <row r="1091" spans="1:2" x14ac:dyDescent="0.25">
      <c r="A1091" t="s">
        <v>1171</v>
      </c>
    </row>
    <row r="1092" spans="1:2" x14ac:dyDescent="0.25">
      <c r="A1092" t="s">
        <v>1172</v>
      </c>
      <c r="B1092" s="3">
        <v>1984990.36</v>
      </c>
    </row>
    <row r="1093" spans="1:2" x14ac:dyDescent="0.25">
      <c r="A1093" t="s">
        <v>1173</v>
      </c>
    </row>
    <row r="1094" spans="1:2" x14ac:dyDescent="0.25">
      <c r="A1094" t="s">
        <v>1174</v>
      </c>
    </row>
    <row r="1095" spans="1:2" x14ac:dyDescent="0.25">
      <c r="A1095" t="s">
        <v>1175</v>
      </c>
    </row>
    <row r="1096" spans="1:2" x14ac:dyDescent="0.25">
      <c r="A1096" t="s">
        <v>1176</v>
      </c>
    </row>
    <row r="1097" spans="1:2" x14ac:dyDescent="0.25">
      <c r="A1097" t="s">
        <v>1177</v>
      </c>
    </row>
    <row r="1098" spans="1:2" x14ac:dyDescent="0.25">
      <c r="A1098" t="s">
        <v>1178</v>
      </c>
    </row>
    <row r="1099" spans="1:2" x14ac:dyDescent="0.25">
      <c r="A1099" t="s">
        <v>1179</v>
      </c>
    </row>
    <row r="1100" spans="1:2" x14ac:dyDescent="0.25">
      <c r="A1100" t="s">
        <v>1180</v>
      </c>
    </row>
    <row r="1101" spans="1:2" x14ac:dyDescent="0.25">
      <c r="A1101" t="s">
        <v>1181</v>
      </c>
      <c r="B1101" s="3">
        <v>3964658.42</v>
      </c>
    </row>
    <row r="1102" spans="1:2" x14ac:dyDescent="0.25">
      <c r="A1102" t="s">
        <v>1182</v>
      </c>
      <c r="B1102" s="3">
        <v>3647484.72</v>
      </c>
    </row>
    <row r="1103" spans="1:2" x14ac:dyDescent="0.25">
      <c r="A1103" t="s">
        <v>1183</v>
      </c>
      <c r="B1103" s="3">
        <v>2868369.33</v>
      </c>
    </row>
    <row r="1104" spans="1:2" x14ac:dyDescent="0.25">
      <c r="A1104" t="s">
        <v>1184</v>
      </c>
      <c r="B1104" s="3">
        <v>4219833.63</v>
      </c>
    </row>
    <row r="1105" spans="1:2" x14ac:dyDescent="0.25">
      <c r="A1105" t="s">
        <v>1185</v>
      </c>
      <c r="B1105" s="3">
        <v>3950166.56</v>
      </c>
    </row>
    <row r="1106" spans="1:2" x14ac:dyDescent="0.25">
      <c r="A1106" t="s">
        <v>1186</v>
      </c>
      <c r="B1106" s="3">
        <v>2565135.0099999998</v>
      </c>
    </row>
    <row r="1107" spans="1:2" x14ac:dyDescent="0.25">
      <c r="A1107" t="s">
        <v>1187</v>
      </c>
      <c r="B1107" s="3">
        <v>3357150.92</v>
      </c>
    </row>
    <row r="1108" spans="1:2" x14ac:dyDescent="0.25">
      <c r="A1108" t="s">
        <v>1188</v>
      </c>
      <c r="B1108" s="3">
        <v>5077708.41</v>
      </c>
    </row>
    <row r="1109" spans="1:2" x14ac:dyDescent="0.25">
      <c r="A1109" t="s">
        <v>1189</v>
      </c>
      <c r="B1109" s="3">
        <v>3114479.27</v>
      </c>
    </row>
    <row r="1110" spans="1:2" x14ac:dyDescent="0.25">
      <c r="A1110" t="s">
        <v>1190</v>
      </c>
      <c r="B1110" s="3">
        <v>10944961.9</v>
      </c>
    </row>
    <row r="1111" spans="1:2" x14ac:dyDescent="0.25">
      <c r="A1111" t="s">
        <v>1191</v>
      </c>
      <c r="B1111" s="3">
        <v>13689992.67</v>
      </c>
    </row>
    <row r="1112" spans="1:2" x14ac:dyDescent="0.25">
      <c r="A1112" t="s">
        <v>1192</v>
      </c>
      <c r="B1112" s="3">
        <v>11208705.35</v>
      </c>
    </row>
    <row r="1113" spans="1:2" x14ac:dyDescent="0.25">
      <c r="A1113" t="s">
        <v>1193</v>
      </c>
      <c r="B1113" s="3">
        <v>21293575.809999999</v>
      </c>
    </row>
    <row r="1114" spans="1:2" x14ac:dyDescent="0.25">
      <c r="A1114" t="s">
        <v>1194</v>
      </c>
      <c r="B1114" s="3">
        <v>5027967.29</v>
      </c>
    </row>
    <row r="1115" spans="1:2" x14ac:dyDescent="0.25">
      <c r="A1115" t="s">
        <v>1195</v>
      </c>
      <c r="B1115" s="3">
        <v>4333263.32</v>
      </c>
    </row>
    <row r="1116" spans="1:2" x14ac:dyDescent="0.25">
      <c r="A1116" t="s">
        <v>1196</v>
      </c>
      <c r="B1116" s="3">
        <v>99632475.815810502</v>
      </c>
    </row>
    <row r="1117" spans="1:2" x14ac:dyDescent="0.25">
      <c r="A1117" t="s">
        <v>1197</v>
      </c>
      <c r="B1117" s="3">
        <v>105085094.091876</v>
      </c>
    </row>
    <row r="1118" spans="1:2" x14ac:dyDescent="0.25">
      <c r="A1118" t="s">
        <v>1198</v>
      </c>
      <c r="B1118" s="3">
        <v>113199609.59987999</v>
      </c>
    </row>
    <row r="1119" spans="1:2" x14ac:dyDescent="0.25">
      <c r="A1119" t="s">
        <v>1199</v>
      </c>
      <c r="B1119" s="3">
        <v>61944497.369999997</v>
      </c>
    </row>
    <row r="1120" spans="1:2" x14ac:dyDescent="0.25">
      <c r="A1120" t="s">
        <v>1200</v>
      </c>
      <c r="B1120" s="3">
        <v>238636822.43000001</v>
      </c>
    </row>
    <row r="1121" spans="1:2" x14ac:dyDescent="0.25">
      <c r="A1121" t="s">
        <v>1201</v>
      </c>
      <c r="B1121" s="3">
        <v>106710527.95999999</v>
      </c>
    </row>
    <row r="1122" spans="1:2" x14ac:dyDescent="0.25">
      <c r="A1122" t="s">
        <v>1202</v>
      </c>
    </row>
    <row r="1123" spans="1:2" x14ac:dyDescent="0.25">
      <c r="A1123" t="s">
        <v>1203</v>
      </c>
      <c r="B1123" s="3">
        <v>99079047.040000007</v>
      </c>
    </row>
    <row r="1124" spans="1:2" x14ac:dyDescent="0.25">
      <c r="A1124" t="s">
        <v>1204</v>
      </c>
    </row>
    <row r="1125" spans="1:2" x14ac:dyDescent="0.25">
      <c r="A1125" t="s">
        <v>1205</v>
      </c>
      <c r="B1125" s="3">
        <v>4090247.61</v>
      </c>
    </row>
    <row r="1126" spans="1:2" x14ac:dyDescent="0.25">
      <c r="A1126" t="s">
        <v>1206</v>
      </c>
      <c r="B1126" s="3">
        <v>1168678.21</v>
      </c>
    </row>
    <row r="1127" spans="1:2" x14ac:dyDescent="0.25">
      <c r="A1127" t="s">
        <v>1207</v>
      </c>
      <c r="B1127" s="3">
        <v>3741712.91</v>
      </c>
    </row>
    <row r="1128" spans="1:2" x14ac:dyDescent="0.25">
      <c r="A1128" t="s">
        <v>1208</v>
      </c>
      <c r="B1128" s="3">
        <v>2138782.61</v>
      </c>
    </row>
    <row r="1129" spans="1:2" x14ac:dyDescent="0.25">
      <c r="A1129" t="s">
        <v>1209</v>
      </c>
      <c r="B1129" s="3">
        <v>772415.38</v>
      </c>
    </row>
    <row r="1130" spans="1:2" x14ac:dyDescent="0.25">
      <c r="A1130" t="s">
        <v>1210</v>
      </c>
      <c r="B1130" s="3">
        <v>3157124.82</v>
      </c>
    </row>
    <row r="1131" spans="1:2" x14ac:dyDescent="0.25">
      <c r="A1131" t="s">
        <v>1211</v>
      </c>
      <c r="B1131" s="3">
        <v>2231881.9</v>
      </c>
    </row>
    <row r="1132" spans="1:2" x14ac:dyDescent="0.25">
      <c r="A1132" t="s">
        <v>1212</v>
      </c>
      <c r="B1132" s="3">
        <v>413304.03</v>
      </c>
    </row>
    <row r="1133" spans="1:2" x14ac:dyDescent="0.25">
      <c r="A1133" t="s">
        <v>1213</v>
      </c>
      <c r="B1133" s="3">
        <v>225027.05</v>
      </c>
    </row>
    <row r="1134" spans="1:2" x14ac:dyDescent="0.25">
      <c r="A1134" t="s">
        <v>1214</v>
      </c>
      <c r="B1134" s="3">
        <v>227267.33</v>
      </c>
    </row>
    <row r="1135" spans="1:2" x14ac:dyDescent="0.25">
      <c r="A1135" t="s">
        <v>1215</v>
      </c>
      <c r="B1135" s="3">
        <v>4690256.78</v>
      </c>
    </row>
    <row r="1136" spans="1:2" x14ac:dyDescent="0.25">
      <c r="A1136" t="s">
        <v>1216</v>
      </c>
      <c r="B1136" s="3">
        <v>2502199.4900000002</v>
      </c>
    </row>
    <row r="1137" spans="1:2" x14ac:dyDescent="0.25">
      <c r="A1137" t="s">
        <v>1217</v>
      </c>
      <c r="B1137" s="3">
        <v>1138479.49</v>
      </c>
    </row>
    <row r="1138" spans="1:2" x14ac:dyDescent="0.25">
      <c r="A1138" t="s">
        <v>1218</v>
      </c>
      <c r="B1138" s="3">
        <v>3464248.42</v>
      </c>
    </row>
    <row r="1139" spans="1:2" x14ac:dyDescent="0.25">
      <c r="A1139" t="s">
        <v>1219</v>
      </c>
      <c r="B1139" s="3">
        <v>6000107.4299999997</v>
      </c>
    </row>
    <row r="1140" spans="1:2" x14ac:dyDescent="0.25">
      <c r="A1140" t="s">
        <v>1220</v>
      </c>
      <c r="B1140" s="3">
        <v>5026106.5999999996</v>
      </c>
    </row>
    <row r="1141" spans="1:2" x14ac:dyDescent="0.25">
      <c r="A1141" t="s">
        <v>1221</v>
      </c>
      <c r="B1141" s="3">
        <v>2549239.1</v>
      </c>
    </row>
    <row r="1142" spans="1:2" x14ac:dyDescent="0.25">
      <c r="A1142" t="s">
        <v>1222</v>
      </c>
      <c r="B1142" s="3">
        <v>1589104.63</v>
      </c>
    </row>
    <row r="1143" spans="1:2" x14ac:dyDescent="0.25">
      <c r="A1143" t="s">
        <v>1223</v>
      </c>
      <c r="B1143" s="3">
        <v>9094.66</v>
      </c>
    </row>
    <row r="1144" spans="1:2" x14ac:dyDescent="0.25">
      <c r="A1144" t="s">
        <v>1224</v>
      </c>
      <c r="B1144" s="3">
        <v>5227530.78</v>
      </c>
    </row>
    <row r="1145" spans="1:2" x14ac:dyDescent="0.25">
      <c r="A1145" t="s">
        <v>1225</v>
      </c>
      <c r="B1145" s="3">
        <v>1060487.21</v>
      </c>
    </row>
    <row r="1146" spans="1:2" x14ac:dyDescent="0.25">
      <c r="A1146" t="s">
        <v>1226</v>
      </c>
      <c r="B1146" s="3">
        <v>1141786.8799999999</v>
      </c>
    </row>
    <row r="1147" spans="1:2" x14ac:dyDescent="0.25">
      <c r="A1147" t="s">
        <v>1227</v>
      </c>
      <c r="B1147" s="3">
        <v>1095666.3799999999</v>
      </c>
    </row>
    <row r="1148" spans="1:2" x14ac:dyDescent="0.25">
      <c r="A1148" t="s">
        <v>1228</v>
      </c>
      <c r="B1148" s="3">
        <v>2539580.63</v>
      </c>
    </row>
    <row r="1149" spans="1:2" x14ac:dyDescent="0.25">
      <c r="A1149" t="s">
        <v>1229</v>
      </c>
      <c r="B1149" s="3">
        <v>126413698.95</v>
      </c>
    </row>
    <row r="1150" spans="1:2" x14ac:dyDescent="0.25">
      <c r="A1150" t="s">
        <v>1230</v>
      </c>
      <c r="B1150" s="3">
        <v>1760518.74</v>
      </c>
    </row>
    <row r="1151" spans="1:2" x14ac:dyDescent="0.25">
      <c r="A1151" t="s">
        <v>1231</v>
      </c>
      <c r="B1151" s="3">
        <v>23289702.129999999</v>
      </c>
    </row>
    <row r="1152" spans="1:2" x14ac:dyDescent="0.25">
      <c r="A1152" t="s">
        <v>1232</v>
      </c>
      <c r="B1152" s="3">
        <v>19106320.859999999</v>
      </c>
    </row>
    <row r="1153" spans="1:2" x14ac:dyDescent="0.25">
      <c r="A1153" t="s">
        <v>1233</v>
      </c>
      <c r="B1153" s="3">
        <v>2704038.85</v>
      </c>
    </row>
    <row r="1154" spans="1:2" x14ac:dyDescent="0.25">
      <c r="A1154" t="s">
        <v>1234</v>
      </c>
      <c r="B1154" s="3">
        <v>1696872.77</v>
      </c>
    </row>
    <row r="1155" spans="1:2" x14ac:dyDescent="0.25">
      <c r="A1155" t="s">
        <v>1235</v>
      </c>
      <c r="B1155" s="3">
        <v>3820761.43</v>
      </c>
    </row>
    <row r="1156" spans="1:2" x14ac:dyDescent="0.25">
      <c r="A1156" t="s">
        <v>1236</v>
      </c>
      <c r="B1156" s="3">
        <v>3837477.39</v>
      </c>
    </row>
    <row r="1157" spans="1:2" x14ac:dyDescent="0.25">
      <c r="A1157" t="s">
        <v>1237</v>
      </c>
      <c r="B1157" s="3">
        <v>1312286.17</v>
      </c>
    </row>
    <row r="1158" spans="1:2" x14ac:dyDescent="0.25">
      <c r="A1158" t="s">
        <v>1238</v>
      </c>
      <c r="B1158" s="3">
        <v>3516357.86</v>
      </c>
    </row>
    <row r="1159" spans="1:2" x14ac:dyDescent="0.25">
      <c r="A1159" t="s">
        <v>1239</v>
      </c>
      <c r="B1159" s="3">
        <v>4515276.67</v>
      </c>
    </row>
    <row r="1160" spans="1:2" x14ac:dyDescent="0.25">
      <c r="A1160" t="s">
        <v>1240</v>
      </c>
      <c r="B1160" s="3">
        <v>1765132.84</v>
      </c>
    </row>
    <row r="1161" spans="1:2" x14ac:dyDescent="0.25">
      <c r="A1161" t="s">
        <v>1241</v>
      </c>
      <c r="B1161" s="3">
        <v>2291806.7400000002</v>
      </c>
    </row>
    <row r="1162" spans="1:2" x14ac:dyDescent="0.25">
      <c r="A1162" t="s">
        <v>1242</v>
      </c>
      <c r="B1162" s="3">
        <v>1500857.57</v>
      </c>
    </row>
    <row r="1163" spans="1:2" x14ac:dyDescent="0.25">
      <c r="A1163" t="s">
        <v>1243</v>
      </c>
      <c r="B1163" s="3">
        <v>521317.42</v>
      </c>
    </row>
    <row r="1164" spans="1:2" x14ac:dyDescent="0.25">
      <c r="A1164" t="s">
        <v>1244</v>
      </c>
      <c r="B1164" s="3">
        <v>1657591.69</v>
      </c>
    </row>
    <row r="1165" spans="1:2" x14ac:dyDescent="0.25">
      <c r="A1165" t="s">
        <v>1245</v>
      </c>
      <c r="B1165" s="3">
        <v>2163144.9500000002</v>
      </c>
    </row>
    <row r="1166" spans="1:2" x14ac:dyDescent="0.25">
      <c r="A1166" t="s">
        <v>1246</v>
      </c>
      <c r="B1166" s="3">
        <v>1051000.8</v>
      </c>
    </row>
    <row r="1167" spans="1:2" x14ac:dyDescent="0.25">
      <c r="A1167" t="s">
        <v>1247</v>
      </c>
      <c r="B1167" s="3">
        <v>15811780.199999999</v>
      </c>
    </row>
    <row r="1168" spans="1:2" x14ac:dyDescent="0.25">
      <c r="A1168" t="s">
        <v>1248</v>
      </c>
      <c r="B1168" s="3">
        <v>2805444.76</v>
      </c>
    </row>
    <row r="1169" spans="1:2" x14ac:dyDescent="0.25">
      <c r="A1169" t="s">
        <v>1249</v>
      </c>
      <c r="B1169" s="3">
        <v>1228322.76</v>
      </c>
    </row>
    <row r="1170" spans="1:2" x14ac:dyDescent="0.25">
      <c r="A1170" t="s">
        <v>1250</v>
      </c>
      <c r="B1170" s="3">
        <v>4106508.92</v>
      </c>
    </row>
    <row r="1171" spans="1:2" x14ac:dyDescent="0.25">
      <c r="A1171" t="s">
        <v>1251</v>
      </c>
      <c r="B1171" s="3">
        <v>632419.06000000006</v>
      </c>
    </row>
    <row r="1172" spans="1:2" x14ac:dyDescent="0.25">
      <c r="A1172" t="s">
        <v>1252</v>
      </c>
      <c r="B1172" s="3">
        <v>2212749.7000000002</v>
      </c>
    </row>
    <row r="1173" spans="1:2" x14ac:dyDescent="0.25">
      <c r="A1173" t="s">
        <v>1253</v>
      </c>
      <c r="B1173" s="3">
        <v>2035189.64</v>
      </c>
    </row>
    <row r="1174" spans="1:2" x14ac:dyDescent="0.25">
      <c r="A1174" t="s">
        <v>1254</v>
      </c>
      <c r="B1174" s="3">
        <v>5975141.4400000004</v>
      </c>
    </row>
    <row r="1175" spans="1:2" x14ac:dyDescent="0.25">
      <c r="A1175" t="s">
        <v>1255</v>
      </c>
      <c r="B1175" s="3">
        <v>2570610.88</v>
      </c>
    </row>
    <row r="1176" spans="1:2" x14ac:dyDescent="0.25">
      <c r="A1176" t="s">
        <v>1256</v>
      </c>
      <c r="B1176" s="3">
        <v>4242606.9800000004</v>
      </c>
    </row>
    <row r="1177" spans="1:2" x14ac:dyDescent="0.25">
      <c r="A1177" t="s">
        <v>1257</v>
      </c>
      <c r="B1177" s="3">
        <v>1504649.54</v>
      </c>
    </row>
    <row r="1178" spans="1:2" x14ac:dyDescent="0.25">
      <c r="A1178" t="s">
        <v>1258</v>
      </c>
      <c r="B1178" s="3">
        <v>912161.5</v>
      </c>
    </row>
    <row r="1179" spans="1:2" x14ac:dyDescent="0.25">
      <c r="A1179" t="s">
        <v>1259</v>
      </c>
      <c r="B1179" s="3">
        <v>981595.02</v>
      </c>
    </row>
    <row r="1180" spans="1:2" x14ac:dyDescent="0.25">
      <c r="A1180" t="s">
        <v>1260</v>
      </c>
      <c r="B1180" s="3">
        <v>2193923.2200000002</v>
      </c>
    </row>
    <row r="1181" spans="1:2" x14ac:dyDescent="0.25">
      <c r="A1181" t="s">
        <v>1261</v>
      </c>
      <c r="B1181" s="3">
        <v>5357398.1900000004</v>
      </c>
    </row>
    <row r="1182" spans="1:2" x14ac:dyDescent="0.25">
      <c r="A1182" t="s">
        <v>1262</v>
      </c>
      <c r="B1182" s="3">
        <v>1306083.96</v>
      </c>
    </row>
    <row r="1183" spans="1:2" x14ac:dyDescent="0.25">
      <c r="A1183" t="s">
        <v>1263</v>
      </c>
      <c r="B1183" s="3">
        <v>1764762.86</v>
      </c>
    </row>
    <row r="1184" spans="1:2" x14ac:dyDescent="0.25">
      <c r="A1184" t="s">
        <v>1264</v>
      </c>
      <c r="B1184" s="3">
        <v>1061328.74</v>
      </c>
    </row>
    <row r="1185" spans="1:2" x14ac:dyDescent="0.25">
      <c r="A1185" t="s">
        <v>1265</v>
      </c>
      <c r="B1185" s="3">
        <v>536491</v>
      </c>
    </row>
    <row r="1186" spans="1:2" x14ac:dyDescent="0.25">
      <c r="A1186" t="s">
        <v>1266</v>
      </c>
      <c r="B1186" s="3">
        <v>3619999.04</v>
      </c>
    </row>
    <row r="1187" spans="1:2" x14ac:dyDescent="0.25">
      <c r="A1187" t="s">
        <v>1267</v>
      </c>
      <c r="B1187" s="3">
        <v>2554556.29</v>
      </c>
    </row>
    <row r="1188" spans="1:2" x14ac:dyDescent="0.25">
      <c r="A1188" t="s">
        <v>1268</v>
      </c>
      <c r="B1188" s="3">
        <v>4053744.1</v>
      </c>
    </row>
    <row r="1189" spans="1:2" x14ac:dyDescent="0.25">
      <c r="A1189" t="s">
        <v>1269</v>
      </c>
    </row>
    <row r="1190" spans="1:2" x14ac:dyDescent="0.25">
      <c r="A1190" t="s">
        <v>1270</v>
      </c>
      <c r="B1190" s="3">
        <v>2472525.2599999998</v>
      </c>
    </row>
    <row r="1191" spans="1:2" x14ac:dyDescent="0.25">
      <c r="A1191" t="s">
        <v>1271</v>
      </c>
      <c r="B1191" s="3">
        <v>12648624.300000001</v>
      </c>
    </row>
    <row r="1192" spans="1:2" x14ac:dyDescent="0.25">
      <c r="A1192" t="s">
        <v>1272</v>
      </c>
      <c r="B1192" s="3">
        <v>1904362.03</v>
      </c>
    </row>
    <row r="1193" spans="1:2" x14ac:dyDescent="0.25">
      <c r="A1193" t="s">
        <v>1273</v>
      </c>
      <c r="B1193" s="3">
        <v>2951090.94</v>
      </c>
    </row>
    <row r="1194" spans="1:2" x14ac:dyDescent="0.25">
      <c r="A1194" t="s">
        <v>1274</v>
      </c>
      <c r="B1194" s="3">
        <v>1499903.57</v>
      </c>
    </row>
    <row r="1195" spans="1:2" x14ac:dyDescent="0.25">
      <c r="A1195" t="s">
        <v>1275</v>
      </c>
      <c r="B1195" s="3">
        <v>5639030.7599999998</v>
      </c>
    </row>
    <row r="1196" spans="1:2" x14ac:dyDescent="0.25">
      <c r="A1196" t="s">
        <v>1276</v>
      </c>
      <c r="B1196" s="3">
        <v>4009050.7</v>
      </c>
    </row>
    <row r="1197" spans="1:2" x14ac:dyDescent="0.25">
      <c r="A1197" t="s">
        <v>1277</v>
      </c>
      <c r="B1197" s="3">
        <v>5373484.4800000004</v>
      </c>
    </row>
    <row r="1198" spans="1:2" x14ac:dyDescent="0.25">
      <c r="A1198" t="s">
        <v>1278</v>
      </c>
      <c r="B1198" s="3">
        <v>10085926.529999999</v>
      </c>
    </row>
    <row r="1199" spans="1:2" x14ac:dyDescent="0.25">
      <c r="A1199" t="s">
        <v>1279</v>
      </c>
      <c r="B1199" s="3">
        <v>2010722.76</v>
      </c>
    </row>
    <row r="1200" spans="1:2" x14ac:dyDescent="0.25">
      <c r="A1200" t="s">
        <v>1280</v>
      </c>
      <c r="B1200" s="3">
        <v>2720205.74</v>
      </c>
    </row>
    <row r="1201" spans="1:2" x14ac:dyDescent="0.25">
      <c r="A1201" t="s">
        <v>1281</v>
      </c>
      <c r="B1201" s="3">
        <v>4410520.63</v>
      </c>
    </row>
    <row r="1202" spans="1:2" x14ac:dyDescent="0.25">
      <c r="A1202" t="s">
        <v>1282</v>
      </c>
      <c r="B1202" s="3">
        <v>5771463.6299999999</v>
      </c>
    </row>
    <row r="1203" spans="1:2" x14ac:dyDescent="0.25">
      <c r="A1203" t="s">
        <v>1283</v>
      </c>
      <c r="B1203" s="3">
        <v>1474564.38</v>
      </c>
    </row>
    <row r="1204" spans="1:2" x14ac:dyDescent="0.25">
      <c r="A1204" t="s">
        <v>1284</v>
      </c>
    </row>
    <row r="1205" spans="1:2" x14ac:dyDescent="0.25">
      <c r="A1205" t="s">
        <v>1285</v>
      </c>
      <c r="B1205" s="3">
        <v>2139212.42</v>
      </c>
    </row>
    <row r="1206" spans="1:2" x14ac:dyDescent="0.25">
      <c r="A1206" t="s">
        <v>1286</v>
      </c>
      <c r="B1206" s="3">
        <v>2358104.31</v>
      </c>
    </row>
    <row r="1207" spans="1:2" x14ac:dyDescent="0.25">
      <c r="A1207" t="s">
        <v>1287</v>
      </c>
      <c r="B1207" s="3">
        <v>8069154.3399999999</v>
      </c>
    </row>
    <row r="1208" spans="1:2" x14ac:dyDescent="0.25">
      <c r="A1208" t="s">
        <v>1288</v>
      </c>
      <c r="B1208" s="3">
        <v>5043762.38</v>
      </c>
    </row>
    <row r="1209" spans="1:2" x14ac:dyDescent="0.25">
      <c r="A1209" t="s">
        <v>1289</v>
      </c>
      <c r="B1209" s="3">
        <v>2020362.6</v>
      </c>
    </row>
    <row r="1210" spans="1:2" x14ac:dyDescent="0.25">
      <c r="A1210" t="s">
        <v>1290</v>
      </c>
      <c r="B1210" s="3">
        <v>2517341.37</v>
      </c>
    </row>
    <row r="1211" spans="1:2" x14ac:dyDescent="0.25">
      <c r="A1211" t="s">
        <v>1291</v>
      </c>
      <c r="B1211" s="3">
        <v>3965952.87</v>
      </c>
    </row>
    <row r="1212" spans="1:2" x14ac:dyDescent="0.25">
      <c r="A1212" t="s">
        <v>1292</v>
      </c>
      <c r="B1212" s="3">
        <v>20763631.870000001</v>
      </c>
    </row>
    <row r="1213" spans="1:2" x14ac:dyDescent="0.25">
      <c r="A1213" t="s">
        <v>1293</v>
      </c>
      <c r="B1213" s="3">
        <v>991022.44</v>
      </c>
    </row>
    <row r="1214" spans="1:2" x14ac:dyDescent="0.25">
      <c r="A1214" t="s">
        <v>1294</v>
      </c>
    </row>
    <row r="1215" spans="1:2" x14ac:dyDescent="0.25">
      <c r="A1215" t="s">
        <v>1295</v>
      </c>
      <c r="B1215" s="3">
        <v>989256.11</v>
      </c>
    </row>
    <row r="1216" spans="1:2" x14ac:dyDescent="0.25">
      <c r="A1216" t="s">
        <v>1296</v>
      </c>
      <c r="B1216" s="3">
        <v>974695.35</v>
      </c>
    </row>
    <row r="1217" spans="1:2" x14ac:dyDescent="0.25">
      <c r="A1217" t="s">
        <v>1297</v>
      </c>
      <c r="B1217" s="3">
        <v>1463997.07</v>
      </c>
    </row>
    <row r="1218" spans="1:2" x14ac:dyDescent="0.25">
      <c r="A1218" t="s">
        <v>1298</v>
      </c>
      <c r="B1218" s="3">
        <v>1028659.61</v>
      </c>
    </row>
    <row r="1219" spans="1:2" x14ac:dyDescent="0.25">
      <c r="A1219" t="s">
        <v>1299</v>
      </c>
      <c r="B1219" s="3">
        <v>3575198.52</v>
      </c>
    </row>
    <row r="1220" spans="1:2" x14ac:dyDescent="0.25">
      <c r="A1220" t="s">
        <v>1300</v>
      </c>
      <c r="B1220" s="3">
        <v>1526493.84</v>
      </c>
    </row>
    <row r="1221" spans="1:2" x14ac:dyDescent="0.25">
      <c r="A1221" t="s">
        <v>1301</v>
      </c>
      <c r="B1221" s="3">
        <v>2944999.49</v>
      </c>
    </row>
    <row r="1222" spans="1:2" x14ac:dyDescent="0.25">
      <c r="A1222" t="s">
        <v>1302</v>
      </c>
      <c r="B1222" s="3">
        <v>4043995.99</v>
      </c>
    </row>
    <row r="1223" spans="1:2" x14ac:dyDescent="0.25">
      <c r="A1223" t="s">
        <v>1303</v>
      </c>
      <c r="B1223" s="3">
        <v>1181116.6599999999</v>
      </c>
    </row>
    <row r="1224" spans="1:2" x14ac:dyDescent="0.25">
      <c r="A1224" t="s">
        <v>1304</v>
      </c>
      <c r="B1224" s="3">
        <v>2363969.59</v>
      </c>
    </row>
    <row r="1225" spans="1:2" x14ac:dyDescent="0.25">
      <c r="A1225" t="s">
        <v>1305</v>
      </c>
      <c r="B1225" s="3">
        <v>1514162.62</v>
      </c>
    </row>
    <row r="1226" spans="1:2" x14ac:dyDescent="0.25">
      <c r="A1226" t="s">
        <v>1306</v>
      </c>
      <c r="B1226" s="3">
        <v>1942506.64</v>
      </c>
    </row>
    <row r="1227" spans="1:2" x14ac:dyDescent="0.25">
      <c r="A1227" t="s">
        <v>1307</v>
      </c>
      <c r="B1227" s="3">
        <v>2984799.63</v>
      </c>
    </row>
    <row r="1228" spans="1:2" x14ac:dyDescent="0.25">
      <c r="A1228" t="s">
        <v>1308</v>
      </c>
      <c r="B1228" s="3">
        <v>1421492.98</v>
      </c>
    </row>
    <row r="1229" spans="1:2" x14ac:dyDescent="0.25">
      <c r="A1229" t="s">
        <v>1309</v>
      </c>
      <c r="B1229" s="3">
        <v>6163218.9699999997</v>
      </c>
    </row>
    <row r="1230" spans="1:2" x14ac:dyDescent="0.25">
      <c r="A1230" t="s">
        <v>1310</v>
      </c>
      <c r="B1230" s="3">
        <v>1814514.12</v>
      </c>
    </row>
    <row r="1231" spans="1:2" x14ac:dyDescent="0.25">
      <c r="A1231" t="s">
        <v>1311</v>
      </c>
      <c r="B1231" s="3">
        <v>1702383.92</v>
      </c>
    </row>
    <row r="1232" spans="1:2" x14ac:dyDescent="0.25">
      <c r="A1232" t="s">
        <v>1312</v>
      </c>
      <c r="B1232" s="3">
        <v>1232647.8799999999</v>
      </c>
    </row>
    <row r="1233" spans="1:2" x14ac:dyDescent="0.25">
      <c r="A1233" t="s">
        <v>1313</v>
      </c>
      <c r="B1233" s="3">
        <v>3952909.44</v>
      </c>
    </row>
    <row r="1234" spans="1:2" x14ac:dyDescent="0.25">
      <c r="A1234" t="s">
        <v>1314</v>
      </c>
      <c r="B1234" s="3">
        <v>2086183.52</v>
      </c>
    </row>
    <row r="1235" spans="1:2" x14ac:dyDescent="0.25">
      <c r="A1235" t="s">
        <v>1315</v>
      </c>
      <c r="B1235" s="3">
        <v>3940270.79</v>
      </c>
    </row>
    <row r="1236" spans="1:2" x14ac:dyDescent="0.25">
      <c r="A1236" t="s">
        <v>1316</v>
      </c>
      <c r="B1236" s="3">
        <v>2507952.2999999998</v>
      </c>
    </row>
    <row r="1237" spans="1:2" x14ac:dyDescent="0.25">
      <c r="A1237" t="s">
        <v>1317</v>
      </c>
      <c r="B1237" s="3">
        <v>1535833.28</v>
      </c>
    </row>
    <row r="1238" spans="1:2" x14ac:dyDescent="0.25">
      <c r="A1238" t="s">
        <v>1318</v>
      </c>
      <c r="B1238" s="3">
        <v>1677616.37</v>
      </c>
    </row>
    <row r="1239" spans="1:2" x14ac:dyDescent="0.25">
      <c r="A1239" t="s">
        <v>1319</v>
      </c>
      <c r="B1239" s="3">
        <v>1241538.52</v>
      </c>
    </row>
    <row r="1240" spans="1:2" x14ac:dyDescent="0.25">
      <c r="A1240" t="s">
        <v>1320</v>
      </c>
      <c r="B1240" s="3">
        <v>4000162.33</v>
      </c>
    </row>
    <row r="1241" spans="1:2" x14ac:dyDescent="0.25">
      <c r="A1241" t="s">
        <v>1321</v>
      </c>
      <c r="B1241" s="3">
        <v>26075632.48</v>
      </c>
    </row>
    <row r="1242" spans="1:2" x14ac:dyDescent="0.25">
      <c r="A1242" t="s">
        <v>1322</v>
      </c>
      <c r="B1242" s="3">
        <v>1492124.96</v>
      </c>
    </row>
    <row r="1243" spans="1:2" x14ac:dyDescent="0.25">
      <c r="A1243" t="s">
        <v>1323</v>
      </c>
      <c r="B1243" s="3">
        <v>1990742.22</v>
      </c>
    </row>
    <row r="1244" spans="1:2" x14ac:dyDescent="0.25">
      <c r="A1244" t="s">
        <v>1324</v>
      </c>
      <c r="B1244" s="3">
        <v>1536087.62</v>
      </c>
    </row>
    <row r="1245" spans="1:2" x14ac:dyDescent="0.25">
      <c r="A1245" t="s">
        <v>1325</v>
      </c>
      <c r="B1245" s="3">
        <v>1008206.77</v>
      </c>
    </row>
    <row r="1246" spans="1:2" x14ac:dyDescent="0.25">
      <c r="A1246" t="s">
        <v>1326</v>
      </c>
      <c r="B1246" s="3">
        <v>1001505.52</v>
      </c>
    </row>
    <row r="1247" spans="1:2" x14ac:dyDescent="0.25">
      <c r="A1247" t="s">
        <v>1327</v>
      </c>
      <c r="B1247" s="3">
        <v>1470284.25</v>
      </c>
    </row>
    <row r="1248" spans="1:2" x14ac:dyDescent="0.25">
      <c r="A1248" t="s">
        <v>1328</v>
      </c>
      <c r="B1248" s="3">
        <v>20348506.870000001</v>
      </c>
    </row>
    <row r="1249" spans="1:2" x14ac:dyDescent="0.25">
      <c r="A1249" t="s">
        <v>1329</v>
      </c>
      <c r="B1249" s="3">
        <v>1005197.9</v>
      </c>
    </row>
    <row r="1250" spans="1:2" x14ac:dyDescent="0.25">
      <c r="A1250" t="s">
        <v>1330</v>
      </c>
      <c r="B1250" s="3">
        <v>2508952.81</v>
      </c>
    </row>
    <row r="1251" spans="1:2" x14ac:dyDescent="0.25">
      <c r="A1251" t="s">
        <v>1331</v>
      </c>
      <c r="B1251" s="3">
        <v>5218568.07</v>
      </c>
    </row>
    <row r="1252" spans="1:2" x14ac:dyDescent="0.25">
      <c r="A1252" t="s">
        <v>1332</v>
      </c>
      <c r="B1252" s="3">
        <v>2306236.12</v>
      </c>
    </row>
    <row r="1253" spans="1:2" x14ac:dyDescent="0.25">
      <c r="A1253" t="s">
        <v>1333</v>
      </c>
      <c r="B1253" s="3">
        <v>2738205.93</v>
      </c>
    </row>
    <row r="1254" spans="1:2" x14ac:dyDescent="0.25">
      <c r="A1254" t="s">
        <v>1334</v>
      </c>
      <c r="B1254" s="3">
        <v>4145149.54</v>
      </c>
    </row>
    <row r="1255" spans="1:2" x14ac:dyDescent="0.25">
      <c r="A1255" t="s">
        <v>1335</v>
      </c>
      <c r="B1255" s="3">
        <v>9597461.1799999997</v>
      </c>
    </row>
    <row r="1256" spans="1:2" x14ac:dyDescent="0.25">
      <c r="A1256" t="s">
        <v>1336</v>
      </c>
      <c r="B1256" s="3">
        <v>3641704.94</v>
      </c>
    </row>
    <row r="1257" spans="1:2" x14ac:dyDescent="0.25">
      <c r="A1257" t="s">
        <v>1337</v>
      </c>
      <c r="B1257" s="3">
        <v>2669075.96</v>
      </c>
    </row>
    <row r="1258" spans="1:2" x14ac:dyDescent="0.25">
      <c r="A1258" t="s">
        <v>1338</v>
      </c>
      <c r="B1258" s="3">
        <v>5365907.6500000004</v>
      </c>
    </row>
    <row r="1259" spans="1:2" x14ac:dyDescent="0.25">
      <c r="A1259" t="s">
        <v>1339</v>
      </c>
      <c r="B1259" s="3">
        <v>1345752.96</v>
      </c>
    </row>
    <row r="1260" spans="1:2" x14ac:dyDescent="0.25">
      <c r="A1260" t="s">
        <v>1340</v>
      </c>
      <c r="B1260" s="3">
        <v>2985843.09</v>
      </c>
    </row>
    <row r="1261" spans="1:2" x14ac:dyDescent="0.25">
      <c r="A1261" t="s">
        <v>1341</v>
      </c>
      <c r="B1261" s="3">
        <v>1565452.8</v>
      </c>
    </row>
    <row r="1262" spans="1:2" x14ac:dyDescent="0.25">
      <c r="A1262" t="s">
        <v>1342</v>
      </c>
      <c r="B1262" s="3">
        <v>1841274.63</v>
      </c>
    </row>
    <row r="1263" spans="1:2" x14ac:dyDescent="0.25">
      <c r="A1263" t="s">
        <v>1343</v>
      </c>
      <c r="B1263" s="3">
        <v>5576233.8099999996</v>
      </c>
    </row>
    <row r="1264" spans="1:2" x14ac:dyDescent="0.25">
      <c r="A1264" t="s">
        <v>1344</v>
      </c>
      <c r="B1264" s="3">
        <v>5090068.1399999997</v>
      </c>
    </row>
    <row r="1265" spans="1:2" x14ac:dyDescent="0.25">
      <c r="A1265" t="s">
        <v>1345</v>
      </c>
      <c r="B1265" s="3">
        <v>2263380.15</v>
      </c>
    </row>
    <row r="1266" spans="1:2" x14ac:dyDescent="0.25">
      <c r="A1266" t="s">
        <v>1346</v>
      </c>
      <c r="B1266" s="3">
        <v>1012938.33</v>
      </c>
    </row>
    <row r="1267" spans="1:2" x14ac:dyDescent="0.25">
      <c r="A1267" t="s">
        <v>1347</v>
      </c>
      <c r="B1267" s="3">
        <v>2024897.94</v>
      </c>
    </row>
    <row r="1268" spans="1:2" x14ac:dyDescent="0.25">
      <c r="A1268" t="s">
        <v>1348</v>
      </c>
      <c r="B1268" s="3">
        <v>1227994.8999999999</v>
      </c>
    </row>
    <row r="1269" spans="1:2" x14ac:dyDescent="0.25">
      <c r="A1269" t="s">
        <v>1349</v>
      </c>
      <c r="B1269" s="3">
        <v>2446168.69</v>
      </c>
    </row>
    <row r="1270" spans="1:2" x14ac:dyDescent="0.25">
      <c r="A1270" t="s">
        <v>1350</v>
      </c>
      <c r="B1270" s="3">
        <v>1012446.73</v>
      </c>
    </row>
    <row r="1271" spans="1:2" x14ac:dyDescent="0.25">
      <c r="A1271" t="s">
        <v>1351</v>
      </c>
      <c r="B1271" s="3">
        <v>1503056.04</v>
      </c>
    </row>
    <row r="1272" spans="1:2" x14ac:dyDescent="0.25">
      <c r="A1272" t="s">
        <v>1352</v>
      </c>
      <c r="B1272" s="3">
        <v>17703114.149999999</v>
      </c>
    </row>
    <row r="1273" spans="1:2" x14ac:dyDescent="0.25">
      <c r="A1273" t="s">
        <v>1353</v>
      </c>
    </row>
    <row r="1274" spans="1:2" x14ac:dyDescent="0.25">
      <c r="A1274" t="s">
        <v>1354</v>
      </c>
      <c r="B1274" s="3">
        <v>17932685.699999999</v>
      </c>
    </row>
    <row r="1275" spans="1:2" x14ac:dyDescent="0.25">
      <c r="A1275" t="s">
        <v>1355</v>
      </c>
      <c r="B1275" s="3">
        <v>2464207.7999999998</v>
      </c>
    </row>
    <row r="1276" spans="1:2" x14ac:dyDescent="0.25">
      <c r="A1276" t="s">
        <v>1356</v>
      </c>
      <c r="B1276" s="3">
        <v>1617620.01</v>
      </c>
    </row>
    <row r="1277" spans="1:2" x14ac:dyDescent="0.25">
      <c r="A1277" t="s">
        <v>1357</v>
      </c>
      <c r="B1277" s="3">
        <v>7381194.8195691099</v>
      </c>
    </row>
    <row r="1278" spans="1:2" x14ac:dyDescent="0.25">
      <c r="A1278" t="s">
        <v>1358</v>
      </c>
      <c r="B1278" s="3">
        <v>107944314.534116</v>
      </c>
    </row>
    <row r="1279" spans="1:2" x14ac:dyDescent="0.25">
      <c r="A1279" t="s">
        <v>1359</v>
      </c>
      <c r="B1279" s="3">
        <v>104222693.330934</v>
      </c>
    </row>
    <row r="1280" spans="1:2" x14ac:dyDescent="0.25">
      <c r="A1280" t="s">
        <v>1360</v>
      </c>
      <c r="B1280" s="3">
        <v>107709706.80467001</v>
      </c>
    </row>
    <row r="1281" spans="1:2" x14ac:dyDescent="0.25">
      <c r="A1281" t="s">
        <v>1361</v>
      </c>
      <c r="B1281" s="3">
        <v>109491788.376847</v>
      </c>
    </row>
    <row r="1282" spans="1:2" x14ac:dyDescent="0.25">
      <c r="A1282" t="s">
        <v>1362</v>
      </c>
      <c r="B1282" s="3">
        <v>105975774.778028</v>
      </c>
    </row>
    <row r="1283" spans="1:2" x14ac:dyDescent="0.25">
      <c r="A1283" t="s">
        <v>1363</v>
      </c>
      <c r="B1283" s="3">
        <v>3728171.5069314102</v>
      </c>
    </row>
    <row r="1284" spans="1:2" x14ac:dyDescent="0.25">
      <c r="A1284" t="s">
        <v>1364</v>
      </c>
      <c r="B1284" s="3">
        <v>1101499.1765777499</v>
      </c>
    </row>
    <row r="1285" spans="1:2" x14ac:dyDescent="0.25">
      <c r="A1285" t="s">
        <v>1365</v>
      </c>
      <c r="B1285" s="3">
        <v>3028940.1117741601</v>
      </c>
    </row>
    <row r="1286" spans="1:2" x14ac:dyDescent="0.25">
      <c r="A1286" t="s">
        <v>1366</v>
      </c>
      <c r="B1286" s="3">
        <v>102850066.47621401</v>
      </c>
    </row>
    <row r="1287" spans="1:2" x14ac:dyDescent="0.25">
      <c r="A1287" t="s">
        <v>1367</v>
      </c>
      <c r="B1287" s="3">
        <v>103330505.411173</v>
      </c>
    </row>
    <row r="1288" spans="1:2" x14ac:dyDescent="0.25">
      <c r="A1288" t="s">
        <v>1368</v>
      </c>
      <c r="B1288" s="3">
        <v>101774748.82204001</v>
      </c>
    </row>
    <row r="1289" spans="1:2" x14ac:dyDescent="0.25">
      <c r="A1289" t="s">
        <v>1369</v>
      </c>
      <c r="B1289" s="3">
        <v>101711603.124507</v>
      </c>
    </row>
    <row r="1290" spans="1:2" x14ac:dyDescent="0.25">
      <c r="A1290" t="s">
        <v>1370</v>
      </c>
      <c r="B1290" s="3">
        <v>96337998.949612498</v>
      </c>
    </row>
    <row r="1291" spans="1:2" x14ac:dyDescent="0.25">
      <c r="A1291" t="s">
        <v>1371</v>
      </c>
      <c r="B1291" s="3">
        <v>104505311.901256</v>
      </c>
    </row>
    <row r="1292" spans="1:2" x14ac:dyDescent="0.25">
      <c r="A1292" t="s">
        <v>1372</v>
      </c>
      <c r="B1292" s="3">
        <v>104695575.589956</v>
      </c>
    </row>
    <row r="1293" spans="1:2" x14ac:dyDescent="0.25">
      <c r="A1293" t="s">
        <v>1373</v>
      </c>
      <c r="B1293" s="3">
        <v>104610268.609276</v>
      </c>
    </row>
    <row r="1294" spans="1:2" x14ac:dyDescent="0.25">
      <c r="A1294" t="s">
        <v>1374</v>
      </c>
      <c r="B1294" s="3">
        <v>105754268.660109</v>
      </c>
    </row>
    <row r="1295" spans="1:2" x14ac:dyDescent="0.25">
      <c r="A1295" t="s">
        <v>1375</v>
      </c>
      <c r="B1295" s="3">
        <v>107620797.848865</v>
      </c>
    </row>
    <row r="1296" spans="1:2" x14ac:dyDescent="0.25">
      <c r="A1296" t="s">
        <v>1376</v>
      </c>
      <c r="B1296" s="3">
        <v>104042099.77346601</v>
      </c>
    </row>
    <row r="1297" spans="1:2" x14ac:dyDescent="0.25">
      <c r="A1297" t="s">
        <v>1377</v>
      </c>
      <c r="B1297" s="3">
        <v>467314471.74000001</v>
      </c>
    </row>
    <row r="1298" spans="1:2" x14ac:dyDescent="0.25">
      <c r="A1298" t="s">
        <v>1378</v>
      </c>
      <c r="B1298" s="3">
        <v>18939583.440000001</v>
      </c>
    </row>
    <row r="1299" spans="1:2" x14ac:dyDescent="0.25">
      <c r="A1299" t="s">
        <v>1379</v>
      </c>
      <c r="B1299" s="3">
        <v>34438092.259999998</v>
      </c>
    </row>
    <row r="1300" spans="1:2" x14ac:dyDescent="0.25">
      <c r="A1300" t="s">
        <v>1380</v>
      </c>
      <c r="B1300" s="3">
        <v>33926394.884500898</v>
      </c>
    </row>
    <row r="1301" spans="1:2" x14ac:dyDescent="0.25">
      <c r="A1301" t="s">
        <v>1381</v>
      </c>
      <c r="B1301" s="3">
        <v>31675302.879999999</v>
      </c>
    </row>
    <row r="1302" spans="1:2" x14ac:dyDescent="0.25">
      <c r="A1302" t="s">
        <v>1382</v>
      </c>
      <c r="B1302" s="3">
        <v>31828413.346970901</v>
      </c>
    </row>
    <row r="1303" spans="1:2" x14ac:dyDescent="0.25">
      <c r="A1303" t="s">
        <v>1383</v>
      </c>
      <c r="B1303" s="3">
        <v>57555236.270000003</v>
      </c>
    </row>
    <row r="1304" spans="1:2" x14ac:dyDescent="0.25">
      <c r="A1304" t="s">
        <v>1384</v>
      </c>
      <c r="B1304" s="3">
        <v>56593769.086295404</v>
      </c>
    </row>
    <row r="1305" spans="1:2" x14ac:dyDescent="0.25">
      <c r="A1305" t="s">
        <v>1385</v>
      </c>
      <c r="B1305" s="3">
        <v>18355773.592614699</v>
      </c>
    </row>
    <row r="1306" spans="1:2" x14ac:dyDescent="0.25">
      <c r="A1306" t="s">
        <v>1386</v>
      </c>
      <c r="B1306" s="3">
        <v>107943803.31999999</v>
      </c>
    </row>
    <row r="1307" spans="1:2" x14ac:dyDescent="0.25">
      <c r="A1307" t="s">
        <v>1387</v>
      </c>
      <c r="B1307" s="3">
        <v>104576652.28</v>
      </c>
    </row>
    <row r="1308" spans="1:2" x14ac:dyDescent="0.25">
      <c r="A1308" t="s">
        <v>1388</v>
      </c>
      <c r="B1308" s="3">
        <v>55879137.159999996</v>
      </c>
    </row>
    <row r="1309" spans="1:2" x14ac:dyDescent="0.25">
      <c r="A1309" t="s">
        <v>1389</v>
      </c>
      <c r="B1309" s="3">
        <v>77340890.5</v>
      </c>
    </row>
    <row r="1310" spans="1:2" x14ac:dyDescent="0.25">
      <c r="A1310" t="s">
        <v>1390</v>
      </c>
      <c r="B1310" s="3">
        <v>72192922.6229202</v>
      </c>
    </row>
    <row r="1311" spans="1:2" x14ac:dyDescent="0.25">
      <c r="A1311" t="s">
        <v>1391</v>
      </c>
      <c r="B1311" s="3">
        <v>27179964.02</v>
      </c>
    </row>
    <row r="1312" spans="1:2" x14ac:dyDescent="0.25">
      <c r="A1312" t="s">
        <v>1392</v>
      </c>
      <c r="B1312" s="3">
        <v>24991017.782779999</v>
      </c>
    </row>
    <row r="1313" spans="1:2" x14ac:dyDescent="0.25">
      <c r="A1313" t="s">
        <v>1393</v>
      </c>
      <c r="B1313" s="3">
        <v>54442028.979999997</v>
      </c>
    </row>
    <row r="1314" spans="1:2" x14ac:dyDescent="0.25">
      <c r="A1314" t="s">
        <v>1394</v>
      </c>
      <c r="B1314" s="3">
        <v>53683559.544855103</v>
      </c>
    </row>
    <row r="1315" spans="1:2" x14ac:dyDescent="0.25">
      <c r="A1315" t="s">
        <v>1395</v>
      </c>
      <c r="B1315" s="3">
        <v>183250106.22</v>
      </c>
    </row>
    <row r="1316" spans="1:2" x14ac:dyDescent="0.25">
      <c r="A1316" t="s">
        <v>1396</v>
      </c>
      <c r="B1316" s="3">
        <v>168437150.09999999</v>
      </c>
    </row>
    <row r="1317" spans="1:2" x14ac:dyDescent="0.25">
      <c r="A1317" t="s">
        <v>1397</v>
      </c>
      <c r="B1317" s="3">
        <v>89703418.769999996</v>
      </c>
    </row>
    <row r="1318" spans="1:2" x14ac:dyDescent="0.25">
      <c r="A1318" t="s">
        <v>1398</v>
      </c>
      <c r="B1318" s="3">
        <v>44841173.630000003</v>
      </c>
    </row>
    <row r="1319" spans="1:2" x14ac:dyDescent="0.25">
      <c r="A1319" t="s">
        <v>1399</v>
      </c>
      <c r="B1319" s="3">
        <v>80013304.760000005</v>
      </c>
    </row>
    <row r="1320" spans="1:2" x14ac:dyDescent="0.25">
      <c r="A1320" t="s">
        <v>1400</v>
      </c>
    </row>
    <row r="1321" spans="1:2" x14ac:dyDescent="0.25">
      <c r="A1321" t="s">
        <v>1401</v>
      </c>
      <c r="B1321" s="3">
        <v>7432081.4299999997</v>
      </c>
    </row>
    <row r="1322" spans="1:2" x14ac:dyDescent="0.25">
      <c r="A1322" t="s">
        <v>1402</v>
      </c>
      <c r="B1322" s="3">
        <v>80884804.939999998</v>
      </c>
    </row>
    <row r="1323" spans="1:2" x14ac:dyDescent="0.25">
      <c r="A1323" t="s">
        <v>1403</v>
      </c>
      <c r="B1323" s="3">
        <v>23572069.960000001</v>
      </c>
    </row>
    <row r="1324" spans="1:2" x14ac:dyDescent="0.25">
      <c r="A1324" t="s">
        <v>1404</v>
      </c>
      <c r="B1324" s="3">
        <v>245365659.15000001</v>
      </c>
    </row>
    <row r="1325" spans="1:2" x14ac:dyDescent="0.25">
      <c r="A1325" t="s">
        <v>1405</v>
      </c>
      <c r="B1325" s="3">
        <v>87022450.939999998</v>
      </c>
    </row>
    <row r="1326" spans="1:2" x14ac:dyDescent="0.25">
      <c r="A1326" t="s">
        <v>1406</v>
      </c>
      <c r="B1326" s="3">
        <v>95248158.989999995</v>
      </c>
    </row>
    <row r="1327" spans="1:2" x14ac:dyDescent="0.25">
      <c r="A1327" t="s">
        <v>1407</v>
      </c>
      <c r="B1327" s="3">
        <v>62873994.719999999</v>
      </c>
    </row>
    <row r="1328" spans="1:2" x14ac:dyDescent="0.25">
      <c r="A1328" t="s">
        <v>1408</v>
      </c>
      <c r="B1328" s="3">
        <v>37724637.259999998</v>
      </c>
    </row>
    <row r="1329" spans="1:2" x14ac:dyDescent="0.25">
      <c r="A1329" t="s">
        <v>1409</v>
      </c>
      <c r="B1329" s="3">
        <v>25208888.82</v>
      </c>
    </row>
    <row r="1330" spans="1:2" x14ac:dyDescent="0.25">
      <c r="A1330" t="s">
        <v>1410</v>
      </c>
      <c r="B1330" s="3">
        <v>134739513.61000001</v>
      </c>
    </row>
    <row r="1331" spans="1:2" x14ac:dyDescent="0.25">
      <c r="A1331" t="s">
        <v>1411</v>
      </c>
      <c r="B1331" s="3">
        <v>82811071.640000001</v>
      </c>
    </row>
    <row r="1332" spans="1:2" x14ac:dyDescent="0.25">
      <c r="A1332" t="s">
        <v>1412</v>
      </c>
      <c r="B1332" s="3">
        <v>58258480.159999996</v>
      </c>
    </row>
    <row r="1333" spans="1:2" x14ac:dyDescent="0.25">
      <c r="A1333" t="s">
        <v>1413</v>
      </c>
      <c r="B1333" s="3">
        <v>47274334.829999998</v>
      </c>
    </row>
    <row r="1334" spans="1:2" x14ac:dyDescent="0.25">
      <c r="A1334" t="s">
        <v>1414</v>
      </c>
      <c r="B1334" s="3">
        <v>35426901.689999998</v>
      </c>
    </row>
    <row r="1335" spans="1:2" x14ac:dyDescent="0.25">
      <c r="A1335" t="s">
        <v>1415</v>
      </c>
      <c r="B1335" s="3">
        <v>144050134.75</v>
      </c>
    </row>
    <row r="1336" spans="1:2" x14ac:dyDescent="0.25">
      <c r="A1336" t="s">
        <v>1416</v>
      </c>
      <c r="B1336" s="3">
        <v>112463116.95</v>
      </c>
    </row>
    <row r="1337" spans="1:2" x14ac:dyDescent="0.25">
      <c r="A1337" t="s">
        <v>1417</v>
      </c>
      <c r="B1337" s="3">
        <v>98280472.5</v>
      </c>
    </row>
    <row r="1338" spans="1:2" x14ac:dyDescent="0.25">
      <c r="A1338" t="s">
        <v>1418</v>
      </c>
      <c r="B1338" s="3">
        <v>55471836.380000003</v>
      </c>
    </row>
    <row r="1339" spans="1:2" x14ac:dyDescent="0.25">
      <c r="A1339" t="s">
        <v>1419</v>
      </c>
      <c r="B1339" s="3">
        <v>49479648.420000002</v>
      </c>
    </row>
    <row r="1340" spans="1:2" x14ac:dyDescent="0.25">
      <c r="A1340" t="s">
        <v>1420</v>
      </c>
      <c r="B1340" s="3">
        <v>63676496.789999999</v>
      </c>
    </row>
    <row r="1341" spans="1:2" x14ac:dyDescent="0.25">
      <c r="A1341" t="s">
        <v>1421</v>
      </c>
      <c r="B1341" s="3">
        <v>33913555.119999997</v>
      </c>
    </row>
    <row r="1342" spans="1:2" x14ac:dyDescent="0.25">
      <c r="A1342" t="s">
        <v>1422</v>
      </c>
      <c r="B1342" s="3">
        <v>38618868.859999999</v>
      </c>
    </row>
    <row r="1343" spans="1:2" x14ac:dyDescent="0.25">
      <c r="A1343" t="s">
        <v>1423</v>
      </c>
      <c r="B1343" s="3">
        <v>31987384.219999999</v>
      </c>
    </row>
    <row r="1344" spans="1:2" x14ac:dyDescent="0.25">
      <c r="A1344" t="s">
        <v>1424</v>
      </c>
      <c r="B1344" s="3">
        <v>31987384.219999999</v>
      </c>
    </row>
    <row r="1345" spans="1:2" x14ac:dyDescent="0.25">
      <c r="A1345" t="s">
        <v>1425</v>
      </c>
      <c r="B1345" s="3">
        <v>13065558.58</v>
      </c>
    </row>
    <row r="1346" spans="1:2" x14ac:dyDescent="0.25">
      <c r="A1346" t="s">
        <v>1426</v>
      </c>
      <c r="B1346" s="3">
        <v>128337082.39</v>
      </c>
    </row>
    <row r="1347" spans="1:2" x14ac:dyDescent="0.25">
      <c r="A1347" t="s">
        <v>1427</v>
      </c>
      <c r="B1347" s="3">
        <v>141009560.33000001</v>
      </c>
    </row>
    <row r="1348" spans="1:2" x14ac:dyDescent="0.25">
      <c r="A1348" t="s">
        <v>1428</v>
      </c>
      <c r="B1348" s="3">
        <v>94260695.150000006</v>
      </c>
    </row>
    <row r="1349" spans="1:2" x14ac:dyDescent="0.25">
      <c r="A1349" t="s">
        <v>1429</v>
      </c>
      <c r="B1349" s="3">
        <v>62425099.210000001</v>
      </c>
    </row>
    <row r="1350" spans="1:2" x14ac:dyDescent="0.25">
      <c r="A1350" t="s">
        <v>1430</v>
      </c>
      <c r="B1350" s="3">
        <v>269349502.57999998</v>
      </c>
    </row>
    <row r="1351" spans="1:2" x14ac:dyDescent="0.25">
      <c r="A1351" t="s">
        <v>1431</v>
      </c>
      <c r="B1351" s="3">
        <v>107382930.53</v>
      </c>
    </row>
    <row r="1352" spans="1:2" x14ac:dyDescent="0.25">
      <c r="A1352" t="s">
        <v>1432</v>
      </c>
      <c r="B1352" s="3">
        <v>243108467.78999999</v>
      </c>
    </row>
    <row r="1353" spans="1:2" x14ac:dyDescent="0.25">
      <c r="A1353" t="s">
        <v>1433</v>
      </c>
      <c r="B1353" s="3">
        <v>243380894.69</v>
      </c>
    </row>
    <row r="1354" spans="1:2" x14ac:dyDescent="0.25">
      <c r="A1354" t="s">
        <v>1434</v>
      </c>
      <c r="B1354" s="3">
        <v>0.54</v>
      </c>
    </row>
    <row r="1355" spans="1:2" x14ac:dyDescent="0.25">
      <c r="A1355" t="s">
        <v>1435</v>
      </c>
      <c r="B1355" s="3">
        <v>1.71</v>
      </c>
    </row>
    <row r="1356" spans="1:2" x14ac:dyDescent="0.25">
      <c r="A1356" t="s">
        <v>1436</v>
      </c>
      <c r="B1356" s="3">
        <v>11438478.800000001</v>
      </c>
    </row>
    <row r="1357" spans="1:2" x14ac:dyDescent="0.25">
      <c r="A1357" t="s">
        <v>1437</v>
      </c>
      <c r="B1357" s="3">
        <v>19722658.609999999</v>
      </c>
    </row>
    <row r="1358" spans="1:2" x14ac:dyDescent="0.25">
      <c r="A1358" t="s">
        <v>1438</v>
      </c>
      <c r="B1358" s="3">
        <v>13388715.82</v>
      </c>
    </row>
    <row r="1359" spans="1:2" x14ac:dyDescent="0.25">
      <c r="A1359" t="s">
        <v>1439</v>
      </c>
      <c r="B1359" s="3">
        <v>10624359.82</v>
      </c>
    </row>
    <row r="1360" spans="1:2" x14ac:dyDescent="0.25">
      <c r="A1360" t="s">
        <v>1440</v>
      </c>
      <c r="B1360" s="3">
        <v>14220809.300000001</v>
      </c>
    </row>
    <row r="1361" spans="1:2" x14ac:dyDescent="0.25">
      <c r="A1361" t="s">
        <v>1441</v>
      </c>
      <c r="B1361" s="3">
        <v>82300779.989999995</v>
      </c>
    </row>
    <row r="1362" spans="1:2" x14ac:dyDescent="0.25">
      <c r="A1362" t="s">
        <v>1442</v>
      </c>
      <c r="B1362" s="3">
        <v>9527379660.3299999</v>
      </c>
    </row>
    <row r="1363" spans="1:2" x14ac:dyDescent="0.25">
      <c r="A1363" t="s">
        <v>1443</v>
      </c>
      <c r="B1363" s="3">
        <v>75073212.780000001</v>
      </c>
    </row>
    <row r="1364" spans="1:2" x14ac:dyDescent="0.25">
      <c r="A1364" t="s">
        <v>1444</v>
      </c>
      <c r="B1364" s="3">
        <v>112331960.15000001</v>
      </c>
    </row>
    <row r="1365" spans="1:2" x14ac:dyDescent="0.25">
      <c r="A1365" t="s">
        <v>1445</v>
      </c>
      <c r="B1365" s="3">
        <v>188261078.78999999</v>
      </c>
    </row>
    <row r="1366" spans="1:2" x14ac:dyDescent="0.25">
      <c r="A1366" t="s">
        <v>1446</v>
      </c>
      <c r="B1366" s="3">
        <v>6165341.21</v>
      </c>
    </row>
    <row r="1367" spans="1:2" x14ac:dyDescent="0.25">
      <c r="A1367" t="s">
        <v>1447</v>
      </c>
      <c r="B1367" s="3">
        <v>688415.39</v>
      </c>
    </row>
    <row r="1368" spans="1:2" x14ac:dyDescent="0.25">
      <c r="A1368" t="s">
        <v>1448</v>
      </c>
      <c r="B1368" s="3">
        <v>117887713.94</v>
      </c>
    </row>
    <row r="1369" spans="1:2" x14ac:dyDescent="0.25">
      <c r="A1369" t="s">
        <v>1449</v>
      </c>
      <c r="B1369" s="3">
        <v>63034518.789999999</v>
      </c>
    </row>
    <row r="1370" spans="1:2" x14ac:dyDescent="0.25">
      <c r="A1370" t="s">
        <v>1450</v>
      </c>
      <c r="B1370" s="3">
        <v>264712587.72</v>
      </c>
    </row>
    <row r="1371" spans="1:2" x14ac:dyDescent="0.25">
      <c r="A1371" t="s">
        <v>1451</v>
      </c>
      <c r="B1371" s="3">
        <v>259145457.91999999</v>
      </c>
    </row>
    <row r="1372" spans="1:2" x14ac:dyDescent="0.25">
      <c r="A1372" t="s">
        <v>1452</v>
      </c>
      <c r="B1372" s="3">
        <v>4857749330.9399996</v>
      </c>
    </row>
    <row r="1373" spans="1:2" x14ac:dyDescent="0.25">
      <c r="A1373" t="s">
        <v>1453</v>
      </c>
      <c r="B1373" s="3">
        <v>210587303.47999999</v>
      </c>
    </row>
    <row r="1374" spans="1:2" x14ac:dyDescent="0.25">
      <c r="A1374" t="s">
        <v>1454</v>
      </c>
      <c r="B1374" s="3">
        <v>361801217.77999997</v>
      </c>
    </row>
    <row r="1375" spans="1:2" x14ac:dyDescent="0.25">
      <c r="A1375" t="s">
        <v>1455</v>
      </c>
      <c r="B1375" s="3">
        <v>1113376917.3099999</v>
      </c>
    </row>
    <row r="1376" spans="1:2" x14ac:dyDescent="0.25">
      <c r="A1376" t="s">
        <v>1456</v>
      </c>
      <c r="B1376" s="3">
        <v>97996074.609999999</v>
      </c>
    </row>
    <row r="1377" spans="1:2" x14ac:dyDescent="0.25">
      <c r="A1377" t="s">
        <v>1457</v>
      </c>
      <c r="B1377" s="3">
        <v>132690736.84999999</v>
      </c>
    </row>
    <row r="1378" spans="1:2" x14ac:dyDescent="0.25">
      <c r="A1378" t="s">
        <v>1458</v>
      </c>
      <c r="B1378" s="3">
        <v>1646305226.9400001</v>
      </c>
    </row>
    <row r="1379" spans="1:2" x14ac:dyDescent="0.25">
      <c r="A1379" t="s">
        <v>1459</v>
      </c>
      <c r="B1379" s="3">
        <v>491876670.56999999</v>
      </c>
    </row>
    <row r="1380" spans="1:2" x14ac:dyDescent="0.25">
      <c r="A1380" t="s">
        <v>1460</v>
      </c>
      <c r="B1380" s="3">
        <v>1149553.8600000001</v>
      </c>
    </row>
    <row r="1381" spans="1:2" x14ac:dyDescent="0.25">
      <c r="A1381" t="s">
        <v>1461</v>
      </c>
      <c r="B1381" s="3">
        <v>3125718331.4899998</v>
      </c>
    </row>
    <row r="1382" spans="1:2" x14ac:dyDescent="0.25">
      <c r="A1382" t="s">
        <v>1462</v>
      </c>
      <c r="B1382" s="3">
        <v>42040020.509999998</v>
      </c>
    </row>
    <row r="1383" spans="1:2" x14ac:dyDescent="0.25">
      <c r="A1383" t="s">
        <v>1463</v>
      </c>
      <c r="B1383" s="3">
        <v>41082854.520000003</v>
      </c>
    </row>
    <row r="1384" spans="1:2" x14ac:dyDescent="0.25">
      <c r="A1384" t="s">
        <v>1464</v>
      </c>
      <c r="B1384" s="3">
        <v>465230722.85000002</v>
      </c>
    </row>
    <row r="1385" spans="1:2" x14ac:dyDescent="0.25">
      <c r="A1385" t="s">
        <v>1465</v>
      </c>
      <c r="B1385" s="3">
        <v>37388642.939999998</v>
      </c>
    </row>
    <row r="1386" spans="1:2" x14ac:dyDescent="0.25">
      <c r="A1386" t="s">
        <v>1466</v>
      </c>
      <c r="B1386" s="3">
        <v>1160480989.28</v>
      </c>
    </row>
    <row r="1387" spans="1:2" x14ac:dyDescent="0.25">
      <c r="A1387" t="s">
        <v>1467</v>
      </c>
    </row>
    <row r="1388" spans="1:2" x14ac:dyDescent="0.25">
      <c r="A1388" t="s">
        <v>1468</v>
      </c>
      <c r="B1388" s="3">
        <v>234469978.55000001</v>
      </c>
    </row>
    <row r="1389" spans="1:2" x14ac:dyDescent="0.25">
      <c r="A1389" t="s">
        <v>1469</v>
      </c>
      <c r="B1389" s="3">
        <v>394</v>
      </c>
    </row>
    <row r="1390" spans="1:2" x14ac:dyDescent="0.25">
      <c r="A1390" t="s">
        <v>1470</v>
      </c>
      <c r="B1390" s="3">
        <v>26180397.93</v>
      </c>
    </row>
    <row r="1391" spans="1:2" x14ac:dyDescent="0.25">
      <c r="A1391">
        <v>3400857</v>
      </c>
      <c r="B1391" s="3">
        <v>16349873.359999999</v>
      </c>
    </row>
    <row r="1392" spans="1:2" x14ac:dyDescent="0.25">
      <c r="A1392">
        <v>5960000</v>
      </c>
      <c r="B1392" s="3">
        <v>162225201.33000001</v>
      </c>
    </row>
    <row r="1393" spans="1:2" x14ac:dyDescent="0.25">
      <c r="A1393">
        <v>5910000</v>
      </c>
      <c r="B1393" s="3">
        <v>2564986930.6100001</v>
      </c>
    </row>
    <row r="1394" spans="1:2" x14ac:dyDescent="0.25">
      <c r="A1394">
        <v>5920000</v>
      </c>
      <c r="B1394" s="3">
        <v>13026734580.110001</v>
      </c>
    </row>
    <row r="1395" spans="1:2" x14ac:dyDescent="0.25">
      <c r="A1395">
        <v>5930000</v>
      </c>
      <c r="B1395" s="3">
        <v>361235664.63999999</v>
      </c>
    </row>
    <row r="1396" spans="1:2" x14ac:dyDescent="0.25">
      <c r="A1396">
        <v>2346</v>
      </c>
      <c r="B1396" s="3">
        <v>50531192.200000003</v>
      </c>
    </row>
    <row r="1397" spans="1:2" x14ac:dyDescent="0.25">
      <c r="A1397" t="s">
        <v>1471</v>
      </c>
      <c r="B1397" s="3">
        <v>1686527.26</v>
      </c>
    </row>
    <row r="1398" spans="1:2" x14ac:dyDescent="0.25">
      <c r="A1398" t="s">
        <v>1472</v>
      </c>
      <c r="B1398" s="3">
        <v>105659477.033235</v>
      </c>
    </row>
    <row r="1399" spans="1:2" x14ac:dyDescent="0.25">
      <c r="A1399" t="s">
        <v>1473</v>
      </c>
      <c r="B1399" s="3">
        <v>1678252460.0799999</v>
      </c>
    </row>
    <row r="1400" spans="1:2" x14ac:dyDescent="0.25">
      <c r="A1400" t="s">
        <v>1474</v>
      </c>
      <c r="B1400" s="3">
        <v>1678252460.0799999</v>
      </c>
    </row>
    <row r="1401" spans="1:2" x14ac:dyDescent="0.25">
      <c r="A1401" t="s">
        <v>1475</v>
      </c>
      <c r="B1401" s="3">
        <v>1678252460.0799999</v>
      </c>
    </row>
    <row r="1402" spans="1:2" x14ac:dyDescent="0.25">
      <c r="A1402" t="s">
        <v>1476</v>
      </c>
      <c r="B1402" s="3">
        <v>1678252460.0799999</v>
      </c>
    </row>
    <row r="1403" spans="1:2" x14ac:dyDescent="0.25">
      <c r="A1403" t="s">
        <v>1477</v>
      </c>
      <c r="B1403" s="3">
        <v>1678252460.0799999</v>
      </c>
    </row>
    <row r="1404" spans="1:2" x14ac:dyDescent="0.25">
      <c r="A1404" t="s">
        <v>1478</v>
      </c>
      <c r="B1404" s="3">
        <v>1678252460.0799999</v>
      </c>
    </row>
    <row r="1405" spans="1:2" x14ac:dyDescent="0.25">
      <c r="A1405" t="s">
        <v>1479</v>
      </c>
      <c r="B1405" s="3">
        <v>1678252460.0799999</v>
      </c>
    </row>
    <row r="1406" spans="1:2" x14ac:dyDescent="0.25">
      <c r="A1406" t="s">
        <v>1480</v>
      </c>
      <c r="B1406" s="3">
        <v>1678252460.0799999</v>
      </c>
    </row>
    <row r="1407" spans="1:2" x14ac:dyDescent="0.25">
      <c r="A1407" t="s">
        <v>1481</v>
      </c>
      <c r="B1407" s="3">
        <v>1678252460.0799999</v>
      </c>
    </row>
    <row r="1408" spans="1:2" x14ac:dyDescent="0.25">
      <c r="A1408" t="s">
        <v>1482</v>
      </c>
      <c r="B1408" s="3">
        <v>1678252460.0799999</v>
      </c>
    </row>
    <row r="1409" spans="1:2" x14ac:dyDescent="0.25">
      <c r="A1409" t="s">
        <v>1483</v>
      </c>
      <c r="B1409" s="3">
        <v>1678252460.0799999</v>
      </c>
    </row>
    <row r="1410" spans="1:2" x14ac:dyDescent="0.25">
      <c r="A1410" t="s">
        <v>1484</v>
      </c>
      <c r="B1410" s="3">
        <v>1678252460.0799999</v>
      </c>
    </row>
    <row r="1411" spans="1:2" x14ac:dyDescent="0.25">
      <c r="A1411" t="s">
        <v>1485</v>
      </c>
      <c r="B1411" s="3">
        <v>1678252460.0799999</v>
      </c>
    </row>
    <row r="1412" spans="1:2" x14ac:dyDescent="0.25">
      <c r="A1412" t="s">
        <v>1486</v>
      </c>
      <c r="B1412" s="3">
        <v>1678252460.0799999</v>
      </c>
    </row>
    <row r="1413" spans="1:2" x14ac:dyDescent="0.25">
      <c r="A1413" t="s">
        <v>1487</v>
      </c>
      <c r="B1413" s="3">
        <v>1678252460.0799999</v>
      </c>
    </row>
    <row r="1414" spans="1:2" x14ac:dyDescent="0.25">
      <c r="A1414" t="s">
        <v>1488</v>
      </c>
      <c r="B1414" s="3">
        <v>1678252460.0799999</v>
      </c>
    </row>
    <row r="1415" spans="1:2" x14ac:dyDescent="0.25">
      <c r="A1415" t="s">
        <v>1489</v>
      </c>
      <c r="B1415" s="3">
        <v>1678252460.0799999</v>
      </c>
    </row>
    <row r="1416" spans="1:2" x14ac:dyDescent="0.25">
      <c r="A1416" t="s">
        <v>1490</v>
      </c>
      <c r="B1416" s="3">
        <v>1678252460.0799999</v>
      </c>
    </row>
    <row r="1417" spans="1:2" x14ac:dyDescent="0.25">
      <c r="A1417" t="s">
        <v>1491</v>
      </c>
      <c r="B1417" s="3">
        <v>1678252460.0799999</v>
      </c>
    </row>
    <row r="1418" spans="1:2" x14ac:dyDescent="0.25">
      <c r="A1418" t="s">
        <v>1492</v>
      </c>
      <c r="B1418" s="3">
        <v>1678252460.0799999</v>
      </c>
    </row>
    <row r="1419" spans="1:2" x14ac:dyDescent="0.25">
      <c r="A1419" t="s">
        <v>1493</v>
      </c>
      <c r="B1419" s="3">
        <v>1678252460.0799999</v>
      </c>
    </row>
    <row r="1420" spans="1:2" x14ac:dyDescent="0.25">
      <c r="A1420" t="s">
        <v>1494</v>
      </c>
      <c r="B1420" s="3">
        <v>1644052625.21</v>
      </c>
    </row>
    <row r="1421" spans="1:2" x14ac:dyDescent="0.25">
      <c r="A1421" t="s">
        <v>1495</v>
      </c>
      <c r="B1421" s="3">
        <v>0</v>
      </c>
    </row>
    <row r="1422" spans="1:2" x14ac:dyDescent="0.25">
      <c r="A1422" t="s">
        <v>1496</v>
      </c>
      <c r="B1422" s="3">
        <v>647671116.08000004</v>
      </c>
    </row>
    <row r="1423" spans="1:2" x14ac:dyDescent="0.25">
      <c r="A1423" t="s">
        <v>1497</v>
      </c>
      <c r="B1423" s="3">
        <v>647671116.08000004</v>
      </c>
    </row>
    <row r="1424" spans="1:2" x14ac:dyDescent="0.25">
      <c r="A1424" t="s">
        <v>1498</v>
      </c>
      <c r="B1424" s="3">
        <v>647671116.08000004</v>
      </c>
    </row>
    <row r="1425" spans="1:2" x14ac:dyDescent="0.25">
      <c r="A1425" t="s">
        <v>1499</v>
      </c>
      <c r="B1425" s="3">
        <v>647671116.08000004</v>
      </c>
    </row>
    <row r="1426" spans="1:2" x14ac:dyDescent="0.25">
      <c r="A1426" t="s">
        <v>1500</v>
      </c>
      <c r="B1426" s="3">
        <v>647671116.08000004</v>
      </c>
    </row>
    <row r="1427" spans="1:2" x14ac:dyDescent="0.25">
      <c r="A1427" t="s">
        <v>1501</v>
      </c>
      <c r="B1427" s="3">
        <v>647671116.08000004</v>
      </c>
    </row>
    <row r="1428" spans="1:2" x14ac:dyDescent="0.25">
      <c r="A1428" t="s">
        <v>1502</v>
      </c>
      <c r="B1428" s="3">
        <v>647671116.08000004</v>
      </c>
    </row>
    <row r="1429" spans="1:2" x14ac:dyDescent="0.25">
      <c r="A1429" t="s">
        <v>1503</v>
      </c>
      <c r="B1429" s="3">
        <v>689145723.14999998</v>
      </c>
    </row>
    <row r="1430" spans="1:2" x14ac:dyDescent="0.25">
      <c r="A1430" t="s">
        <v>1504</v>
      </c>
      <c r="B1430" s="3">
        <v>689145723.14999998</v>
      </c>
    </row>
    <row r="1431" spans="1:2" x14ac:dyDescent="0.25">
      <c r="A1431" t="s">
        <v>1505</v>
      </c>
      <c r="B1431" s="3">
        <v>689145723.14999998</v>
      </c>
    </row>
    <row r="1432" spans="1:2" x14ac:dyDescent="0.25">
      <c r="A1432" t="s">
        <v>1506</v>
      </c>
      <c r="B1432" s="3">
        <v>689145723.14999998</v>
      </c>
    </row>
    <row r="1433" spans="1:2" x14ac:dyDescent="0.25">
      <c r="A1433" t="s">
        <v>1507</v>
      </c>
      <c r="B1433" s="3">
        <v>689145723.14999998</v>
      </c>
    </row>
    <row r="1434" spans="1:2" x14ac:dyDescent="0.25">
      <c r="A1434" t="s">
        <v>1508</v>
      </c>
      <c r="B1434" s="3">
        <v>689145723.14999998</v>
      </c>
    </row>
    <row r="1435" spans="1:2" x14ac:dyDescent="0.25">
      <c r="A1435" t="s">
        <v>1509</v>
      </c>
      <c r="B1435" s="3">
        <v>689145723.14999998</v>
      </c>
    </row>
    <row r="1436" spans="1:2" x14ac:dyDescent="0.25">
      <c r="A1436" t="s">
        <v>1510</v>
      </c>
      <c r="B1436" s="3">
        <v>689145723.14999998</v>
      </c>
    </row>
    <row r="1437" spans="1:2" x14ac:dyDescent="0.25">
      <c r="A1437" t="s">
        <v>1511</v>
      </c>
      <c r="B1437" s="3">
        <v>689145723.14999998</v>
      </c>
    </row>
    <row r="1438" spans="1:2" x14ac:dyDescent="0.25">
      <c r="A1438" t="s">
        <v>1512</v>
      </c>
      <c r="B1438" s="3">
        <v>689145723.14999998</v>
      </c>
    </row>
    <row r="1439" spans="1:2" x14ac:dyDescent="0.25">
      <c r="A1439" t="s">
        <v>1513</v>
      </c>
      <c r="B1439" s="3">
        <v>689145723.14999998</v>
      </c>
    </row>
    <row r="1440" spans="1:2" x14ac:dyDescent="0.25">
      <c r="A1440" t="s">
        <v>1514</v>
      </c>
      <c r="B1440" s="3">
        <v>689145723.14999998</v>
      </c>
    </row>
    <row r="1441" spans="1:2" x14ac:dyDescent="0.25">
      <c r="A1441" t="s">
        <v>1515</v>
      </c>
      <c r="B1441" s="3">
        <v>689145723.14999998</v>
      </c>
    </row>
    <row r="1442" spans="1:2" x14ac:dyDescent="0.25">
      <c r="A1442" t="s">
        <v>1516</v>
      </c>
      <c r="B1442" s="3">
        <v>689145723.14999998</v>
      </c>
    </row>
    <row r="1443" spans="1:2" x14ac:dyDescent="0.25">
      <c r="A1443" t="s">
        <v>1517</v>
      </c>
      <c r="B1443" s="3">
        <v>0</v>
      </c>
    </row>
    <row r="1444" spans="1:2" x14ac:dyDescent="0.25">
      <c r="A1444" t="s">
        <v>1518</v>
      </c>
      <c r="B1444" s="3">
        <v>689145723.14999998</v>
      </c>
    </row>
    <row r="1445" spans="1:2" x14ac:dyDescent="0.25">
      <c r="A1445" t="s">
        <v>1519</v>
      </c>
      <c r="B1445" s="3">
        <v>689145723.14999998</v>
      </c>
    </row>
    <row r="1446" spans="1:2" x14ac:dyDescent="0.25">
      <c r="A1446" t="s">
        <v>1520</v>
      </c>
      <c r="B1446" s="3">
        <v>689145723.14999998</v>
      </c>
    </row>
    <row r="1447" spans="1:2" x14ac:dyDescent="0.25">
      <c r="A1447" t="s">
        <v>1521</v>
      </c>
      <c r="B1447" s="3">
        <v>689145723.14999998</v>
      </c>
    </row>
    <row r="1448" spans="1:2" x14ac:dyDescent="0.25">
      <c r="A1448" t="s">
        <v>1522</v>
      </c>
      <c r="B1448" s="3">
        <v>689145723.14999998</v>
      </c>
    </row>
    <row r="1449" spans="1:2" x14ac:dyDescent="0.25">
      <c r="A1449" t="s">
        <v>1523</v>
      </c>
      <c r="B1449" s="3">
        <v>689145723.14999998</v>
      </c>
    </row>
    <row r="1450" spans="1:2" x14ac:dyDescent="0.25">
      <c r="A1450" t="s">
        <v>1524</v>
      </c>
      <c r="B1450" s="3">
        <v>390537532.02999997</v>
      </c>
    </row>
    <row r="1451" spans="1:2" x14ac:dyDescent="0.25">
      <c r="B1451" s="3">
        <v>390537532.02999997</v>
      </c>
    </row>
    <row r="1452" spans="1:2" x14ac:dyDescent="0.25">
      <c r="A1452" t="s">
        <v>1525</v>
      </c>
      <c r="B1452" s="3">
        <v>151134215.55000001</v>
      </c>
    </row>
    <row r="1453" spans="1:2" x14ac:dyDescent="0.25">
      <c r="A1453" t="s">
        <v>1526</v>
      </c>
      <c r="B1453" s="3">
        <v>151134215.55000001</v>
      </c>
    </row>
    <row r="1454" spans="1:2" x14ac:dyDescent="0.25">
      <c r="A1454" t="s">
        <v>1527</v>
      </c>
      <c r="B1454" s="3">
        <v>151134215.55000001</v>
      </c>
    </row>
    <row r="1455" spans="1:2" x14ac:dyDescent="0.25">
      <c r="A1455" t="s">
        <v>1528</v>
      </c>
      <c r="B1455" s="3">
        <v>151134215.55000001</v>
      </c>
    </row>
    <row r="1456" spans="1:2" x14ac:dyDescent="0.25">
      <c r="A1456" t="s">
        <v>1529</v>
      </c>
      <c r="B1456" s="3">
        <v>63570744.829999998</v>
      </c>
    </row>
    <row r="1457" spans="1:2" x14ac:dyDescent="0.25">
      <c r="A1457" t="s">
        <v>1530</v>
      </c>
      <c r="B1457" s="3">
        <v>63570744.829999998</v>
      </c>
    </row>
    <row r="1458" spans="1:2" x14ac:dyDescent="0.25">
      <c r="A1458" t="s">
        <v>1531</v>
      </c>
      <c r="B1458" s="3">
        <v>151821790.19999999</v>
      </c>
    </row>
    <row r="1459" spans="1:2" x14ac:dyDescent="0.25">
      <c r="A1459" t="s">
        <v>1532</v>
      </c>
      <c r="B1459" s="3">
        <v>151821790.19999999</v>
      </c>
    </row>
    <row r="1460" spans="1:2" x14ac:dyDescent="0.25">
      <c r="A1460" t="s">
        <v>1533</v>
      </c>
      <c r="B1460" s="3">
        <v>55034089.479999997</v>
      </c>
    </row>
    <row r="1461" spans="1:2" x14ac:dyDescent="0.25">
      <c r="A1461" t="s">
        <v>1534</v>
      </c>
      <c r="B1461" s="3">
        <v>55034089.479999997</v>
      </c>
    </row>
    <row r="1462" spans="1:2" x14ac:dyDescent="0.25">
      <c r="A1462" t="s">
        <v>1535</v>
      </c>
      <c r="B1462" s="3">
        <v>330706.81</v>
      </c>
    </row>
    <row r="1463" spans="1:2" x14ac:dyDescent="0.25">
      <c r="A1463" t="s">
        <v>1536</v>
      </c>
      <c r="B1463" s="3">
        <v>330706.81</v>
      </c>
    </row>
    <row r="1464" spans="1:2" x14ac:dyDescent="0.25">
      <c r="A1464" t="s">
        <v>1537</v>
      </c>
      <c r="B1464" s="3">
        <v>330706.81</v>
      </c>
    </row>
    <row r="1465" spans="1:2" x14ac:dyDescent="0.25">
      <c r="A1465" t="s">
        <v>1538</v>
      </c>
      <c r="B1465" s="3">
        <v>133736.18302843999</v>
      </c>
    </row>
    <row r="1466" spans="1:2" x14ac:dyDescent="0.25">
      <c r="A1466" t="s">
        <v>1539</v>
      </c>
      <c r="B1466" s="3">
        <v>133736.18302843999</v>
      </c>
    </row>
    <row r="1467" spans="1:2" x14ac:dyDescent="0.25">
      <c r="A1467" t="s">
        <v>1540</v>
      </c>
      <c r="B1467" s="3">
        <v>1492491018.72</v>
      </c>
    </row>
    <row r="1468" spans="1:2" x14ac:dyDescent="0.25">
      <c r="A1468" t="s">
        <v>1541</v>
      </c>
      <c r="B1468" s="3">
        <v>1492491018.72</v>
      </c>
    </row>
    <row r="1469" spans="1:2" x14ac:dyDescent="0.25">
      <c r="A1469" t="s">
        <v>1542</v>
      </c>
      <c r="B1469" s="3">
        <v>31518671.899999999</v>
      </c>
    </row>
    <row r="1470" spans="1:2" x14ac:dyDescent="0.25">
      <c r="A1470" t="s">
        <v>1543</v>
      </c>
      <c r="B1470" s="3">
        <v>31518671.899999999</v>
      </c>
    </row>
    <row r="1471" spans="1:2" x14ac:dyDescent="0.25">
      <c r="A1471" t="s">
        <v>1544</v>
      </c>
      <c r="B1471" s="3">
        <v>31518671.899999999</v>
      </c>
    </row>
    <row r="1472" spans="1:2" x14ac:dyDescent="0.25">
      <c r="A1472" t="s">
        <v>1545</v>
      </c>
      <c r="B1472" s="3">
        <v>31518671.899999999</v>
      </c>
    </row>
    <row r="1473" spans="1:2" x14ac:dyDescent="0.25">
      <c r="A1473" t="s">
        <v>1546</v>
      </c>
    </row>
    <row r="1474" spans="1:2" x14ac:dyDescent="0.25">
      <c r="A1474" t="s">
        <v>1547</v>
      </c>
      <c r="B1474" s="3">
        <v>262496799.00999999</v>
      </c>
    </row>
    <row r="1475" spans="1:2" x14ac:dyDescent="0.25">
      <c r="A1475" t="s">
        <v>1548</v>
      </c>
      <c r="B1475" s="3">
        <v>288040670.48000002</v>
      </c>
    </row>
    <row r="1476" spans="1:2" x14ac:dyDescent="0.25">
      <c r="A1476" t="s">
        <v>1549</v>
      </c>
      <c r="B1476" s="3">
        <v>103519892.607867</v>
      </c>
    </row>
    <row r="1477" spans="1:2" x14ac:dyDescent="0.25">
      <c r="A1477" t="s">
        <v>1550</v>
      </c>
      <c r="B1477" s="3">
        <v>580257014.14999998</v>
      </c>
    </row>
    <row r="1478" spans="1:2" x14ac:dyDescent="0.25">
      <c r="A1478" t="s">
        <v>1551</v>
      </c>
      <c r="B1478" s="3">
        <v>580257014.14999998</v>
      </c>
    </row>
    <row r="1479" spans="1:2" x14ac:dyDescent="0.25">
      <c r="A1479" t="s">
        <v>1552</v>
      </c>
    </row>
    <row r="1480" spans="1:2" x14ac:dyDescent="0.25">
      <c r="A1480" t="s">
        <v>1553</v>
      </c>
      <c r="B1480" s="3">
        <v>10245.56</v>
      </c>
    </row>
    <row r="1481" spans="1:2" x14ac:dyDescent="0.25">
      <c r="A1481" t="s">
        <v>1554</v>
      </c>
      <c r="B1481" s="3">
        <v>2917772.61</v>
      </c>
    </row>
    <row r="1482" spans="1:2" x14ac:dyDescent="0.25">
      <c r="A1482" t="s">
        <v>1555</v>
      </c>
      <c r="B1482" s="3">
        <v>75196850.159999996</v>
      </c>
    </row>
    <row r="1483" spans="1:2" x14ac:dyDescent="0.25">
      <c r="A1483" t="s">
        <v>1556</v>
      </c>
      <c r="B1483" s="3">
        <v>123881751.84901699</v>
      </c>
    </row>
    <row r="1484" spans="1:2" x14ac:dyDescent="0.25">
      <c r="A1484" t="s">
        <v>1557</v>
      </c>
      <c r="B1484" s="3">
        <v>124566525.156091</v>
      </c>
    </row>
    <row r="1485" spans="1:2" x14ac:dyDescent="0.25">
      <c r="A1485" t="s">
        <v>1558</v>
      </c>
      <c r="B1485" s="3">
        <v>126459345.08348601</v>
      </c>
    </row>
    <row r="1486" spans="1:2" x14ac:dyDescent="0.25">
      <c r="A1486" t="s">
        <v>1559</v>
      </c>
    </row>
    <row r="1487" spans="1:2" x14ac:dyDescent="0.25">
      <c r="A1487" t="s">
        <v>1560</v>
      </c>
      <c r="B1487" s="3">
        <v>71129191.549999997</v>
      </c>
    </row>
    <row r="1488" spans="1:2" x14ac:dyDescent="0.25">
      <c r="A1488" t="s">
        <v>1561</v>
      </c>
      <c r="B1488" s="3">
        <v>24323343.629999999</v>
      </c>
    </row>
    <row r="1489" spans="1:2" x14ac:dyDescent="0.25">
      <c r="A1489" t="s">
        <v>1562</v>
      </c>
      <c r="B1489" s="3">
        <v>4100682.66</v>
      </c>
    </row>
    <row r="1490" spans="1:2" x14ac:dyDescent="0.25">
      <c r="A1490" t="s">
        <v>1563</v>
      </c>
      <c r="B1490" s="3">
        <v>12385523.699999999</v>
      </c>
    </row>
    <row r="1491" spans="1:2" x14ac:dyDescent="0.25">
      <c r="A1491" t="s">
        <v>1564</v>
      </c>
      <c r="B1491" s="3">
        <v>14723387.380000001</v>
      </c>
    </row>
    <row r="1492" spans="1:2" x14ac:dyDescent="0.25">
      <c r="A1492" t="s">
        <v>1565</v>
      </c>
      <c r="B1492" s="3">
        <v>39201677.960000001</v>
      </c>
    </row>
    <row r="1493" spans="1:2" x14ac:dyDescent="0.25">
      <c r="A1493" t="s">
        <v>1566</v>
      </c>
      <c r="B1493" s="3">
        <v>49942845.039999999</v>
      </c>
    </row>
    <row r="1494" spans="1:2" x14ac:dyDescent="0.25">
      <c r="A1494" t="s">
        <v>1567</v>
      </c>
      <c r="B1494" s="3">
        <v>177436904.16</v>
      </c>
    </row>
    <row r="1495" spans="1:2" x14ac:dyDescent="0.25">
      <c r="A1495" t="s">
        <v>1568</v>
      </c>
      <c r="B1495" s="3">
        <v>1191088942.77</v>
      </c>
    </row>
    <row r="1496" spans="1:2" x14ac:dyDescent="0.25">
      <c r="A1496" t="s">
        <v>1569</v>
      </c>
      <c r="B1496" s="3">
        <v>13529192.630000001</v>
      </c>
    </row>
    <row r="1497" spans="1:2" x14ac:dyDescent="0.25">
      <c r="A1497" t="s">
        <v>1570</v>
      </c>
    </row>
    <row r="1498" spans="1:2" x14ac:dyDescent="0.25">
      <c r="A1498" t="s">
        <v>1571</v>
      </c>
      <c r="B1498" s="3">
        <v>608076111.22077501</v>
      </c>
    </row>
    <row r="1499" spans="1:2" x14ac:dyDescent="0.25">
      <c r="A1499" t="s">
        <v>1572</v>
      </c>
      <c r="B1499" s="3">
        <v>55528781.770000003</v>
      </c>
    </row>
    <row r="1500" spans="1:2" x14ac:dyDescent="0.25">
      <c r="A1500" t="s">
        <v>1573</v>
      </c>
      <c r="B1500" s="3">
        <v>3766076.2071895599</v>
      </c>
    </row>
    <row r="1501" spans="1:2" x14ac:dyDescent="0.25">
      <c r="B1501" s="3">
        <v>965732544.26333702</v>
      </c>
    </row>
    <row r="1502" spans="1:2" x14ac:dyDescent="0.25">
      <c r="A1502" t="s">
        <v>1574</v>
      </c>
      <c r="B1502" s="3">
        <v>91642897.579999998</v>
      </c>
    </row>
    <row r="1503" spans="1:2" x14ac:dyDescent="0.25">
      <c r="A1503">
        <v>1697959</v>
      </c>
      <c r="B1503" s="3">
        <v>130936788.06999999</v>
      </c>
    </row>
    <row r="1504" spans="1:2" x14ac:dyDescent="0.25">
      <c r="A1504" t="s">
        <v>1575</v>
      </c>
      <c r="B1504" s="3">
        <v>15314107.43</v>
      </c>
    </row>
    <row r="1505" spans="1:2" x14ac:dyDescent="0.25">
      <c r="A1505" t="s">
        <v>1576</v>
      </c>
      <c r="B1505" s="3">
        <v>241661075.31</v>
      </c>
    </row>
    <row r="1506" spans="1:2" x14ac:dyDescent="0.25">
      <c r="A1506" t="s">
        <v>1577</v>
      </c>
      <c r="B1506" s="3">
        <v>226346967.84999999</v>
      </c>
    </row>
    <row r="1507" spans="1:2" x14ac:dyDescent="0.25">
      <c r="A1507" t="s">
        <v>1578</v>
      </c>
      <c r="B1507" s="3">
        <v>6798701.2106646998</v>
      </c>
    </row>
    <row r="1511" spans="1:2" x14ac:dyDescent="0.25">
      <c r="A1511" t="s">
        <v>1579</v>
      </c>
      <c r="B1511" s="3">
        <v>51175638.649999999</v>
      </c>
    </row>
    <row r="1513" spans="1:2" x14ac:dyDescent="0.25">
      <c r="A1513" t="s">
        <v>1580</v>
      </c>
      <c r="B1513" s="3">
        <v>47490980.380000003</v>
      </c>
    </row>
    <row r="1514" spans="1:2" x14ac:dyDescent="0.25">
      <c r="A1514" t="s">
        <v>1581</v>
      </c>
      <c r="B1514" s="3">
        <v>31602807.328625601</v>
      </c>
    </row>
    <row r="1515" spans="1:2" x14ac:dyDescent="0.25">
      <c r="A1515" t="s">
        <v>1582</v>
      </c>
      <c r="B1515" s="3">
        <v>3936891.3845220502</v>
      </c>
    </row>
    <row r="1516" spans="1:2" x14ac:dyDescent="0.25">
      <c r="A1516" t="s">
        <v>1583</v>
      </c>
      <c r="B1516" s="3">
        <v>5122750.3099999996</v>
      </c>
    </row>
    <row r="1517" spans="1:2" x14ac:dyDescent="0.25">
      <c r="A1517" t="s">
        <v>1584</v>
      </c>
      <c r="B1517" s="3">
        <v>488965.59834641998</v>
      </c>
    </row>
    <row r="1518" spans="1:2" x14ac:dyDescent="0.25">
      <c r="A1518" t="s">
        <v>1585</v>
      </c>
      <c r="B1518" s="3">
        <v>32674438.490095899</v>
      </c>
    </row>
    <row r="1519" spans="1:2" x14ac:dyDescent="0.25">
      <c r="A1519" t="s">
        <v>1586</v>
      </c>
      <c r="B1519" s="3">
        <v>26698551.7550737</v>
      </c>
    </row>
    <row r="1520" spans="1:2" x14ac:dyDescent="0.25">
      <c r="A1520" t="s">
        <v>1587</v>
      </c>
      <c r="B1520" s="3">
        <v>89444.35</v>
      </c>
    </row>
    <row r="1521" spans="1:2" x14ac:dyDescent="0.25">
      <c r="A1521" t="s">
        <v>1588</v>
      </c>
      <c r="B1521" s="3">
        <v>631769543.09000003</v>
      </c>
    </row>
    <row r="1522" spans="1:2" x14ac:dyDescent="0.25">
      <c r="A1522" t="s">
        <v>1589</v>
      </c>
      <c r="B1522" s="3">
        <v>631769543.09000003</v>
      </c>
    </row>
    <row r="1523" spans="1:2" x14ac:dyDescent="0.25">
      <c r="A1523" t="s">
        <v>1589</v>
      </c>
      <c r="B1523" s="3">
        <v>631769543.09000003</v>
      </c>
    </row>
    <row r="1524" spans="1:2" x14ac:dyDescent="0.25">
      <c r="A1524" t="s">
        <v>1590</v>
      </c>
      <c r="B1524" s="3">
        <v>631769543.09000003</v>
      </c>
    </row>
    <row r="1525" spans="1:2" x14ac:dyDescent="0.25">
      <c r="A1525" t="s">
        <v>1591</v>
      </c>
      <c r="B1525" s="3">
        <v>631769543.09000003</v>
      </c>
    </row>
    <row r="1526" spans="1:2" x14ac:dyDescent="0.25">
      <c r="A1526" t="s">
        <v>1592</v>
      </c>
      <c r="B1526" s="3">
        <v>631769543.09000003</v>
      </c>
    </row>
    <row r="1527" spans="1:2" x14ac:dyDescent="0.25">
      <c r="A1527" t="s">
        <v>1593</v>
      </c>
      <c r="B1527" s="3">
        <v>631769543.09000003</v>
      </c>
    </row>
    <row r="1528" spans="1:2" x14ac:dyDescent="0.25">
      <c r="A1528" t="s">
        <v>1594</v>
      </c>
      <c r="B1528" s="3">
        <v>631769543.09000003</v>
      </c>
    </row>
    <row r="1529" spans="1:2" x14ac:dyDescent="0.25">
      <c r="A1529" t="s">
        <v>1594</v>
      </c>
      <c r="B1529" s="3">
        <v>631769543.09000003</v>
      </c>
    </row>
    <row r="1530" spans="1:2" x14ac:dyDescent="0.25">
      <c r="A1530" t="s">
        <v>1595</v>
      </c>
      <c r="B1530" s="3">
        <v>631769543.09000003</v>
      </c>
    </row>
    <row r="1531" spans="1:2" x14ac:dyDescent="0.25">
      <c r="A1531" t="s">
        <v>1596</v>
      </c>
      <c r="B1531" s="3">
        <v>631769543.09000003</v>
      </c>
    </row>
    <row r="1532" spans="1:2" x14ac:dyDescent="0.25">
      <c r="A1532" t="s">
        <v>1596</v>
      </c>
      <c r="B1532" s="3">
        <v>631769543.09000003</v>
      </c>
    </row>
    <row r="1533" spans="1:2" x14ac:dyDescent="0.25">
      <c r="A1533" t="s">
        <v>1597</v>
      </c>
      <c r="B1533" s="3">
        <v>631769543.09000003</v>
      </c>
    </row>
    <row r="1534" spans="1:2" x14ac:dyDescent="0.25">
      <c r="A1534" t="s">
        <v>1598</v>
      </c>
      <c r="B1534" s="3">
        <v>631769543.09000003</v>
      </c>
    </row>
    <row r="1535" spans="1:2" x14ac:dyDescent="0.25">
      <c r="A1535" t="s">
        <v>1599</v>
      </c>
      <c r="B1535" s="3">
        <v>50530694.310000002</v>
      </c>
    </row>
    <row r="1536" spans="1:2" x14ac:dyDescent="0.25">
      <c r="A1536" t="s">
        <v>1600</v>
      </c>
      <c r="B1536" s="3">
        <v>1083800861.8299999</v>
      </c>
    </row>
    <row r="1537" spans="1:2" x14ac:dyDescent="0.25">
      <c r="A1537" t="s">
        <v>1601</v>
      </c>
      <c r="B1537" s="3">
        <v>1083800861.8299999</v>
      </c>
    </row>
    <row r="1538" spans="1:2" x14ac:dyDescent="0.25">
      <c r="A1538" t="s">
        <v>1602</v>
      </c>
      <c r="B1538" s="3">
        <v>1083800861.8299999</v>
      </c>
    </row>
    <row r="1539" spans="1:2" x14ac:dyDescent="0.25">
      <c r="A1539" t="s">
        <v>1603</v>
      </c>
      <c r="B1539" s="3">
        <v>1083800861.8299999</v>
      </c>
    </row>
    <row r="1540" spans="1:2" x14ac:dyDescent="0.25">
      <c r="A1540" t="s">
        <v>1604</v>
      </c>
      <c r="B1540" s="3">
        <v>1083800861.8299999</v>
      </c>
    </row>
    <row r="1541" spans="1:2" x14ac:dyDescent="0.25">
      <c r="A1541" t="s">
        <v>1605</v>
      </c>
      <c r="B1541" s="3">
        <v>49818510.473666303</v>
      </c>
    </row>
    <row r="1542" spans="1:2" x14ac:dyDescent="0.25">
      <c r="A1542" t="s">
        <v>1606</v>
      </c>
      <c r="B1542" s="3">
        <v>398319.53839211998</v>
      </c>
    </row>
    <row r="1543" spans="1:2" x14ac:dyDescent="0.25">
      <c r="A1543" t="s">
        <v>1607</v>
      </c>
      <c r="B1543" s="3">
        <v>1083800861.8299999</v>
      </c>
    </row>
    <row r="1544" spans="1:2" x14ac:dyDescent="0.25">
      <c r="A1544" t="s">
        <v>1608</v>
      </c>
      <c r="B1544" s="3">
        <v>1083800861.8299999</v>
      </c>
    </row>
    <row r="1545" spans="1:2" x14ac:dyDescent="0.25">
      <c r="A1545" t="s">
        <v>1609</v>
      </c>
      <c r="B1545" s="3">
        <v>63529878.067986302</v>
      </c>
    </row>
    <row r="1546" spans="1:2" x14ac:dyDescent="0.25">
      <c r="A1546" t="s">
        <v>1610</v>
      </c>
      <c r="B1546" s="3">
        <v>13539946.5</v>
      </c>
    </row>
    <row r="1547" spans="1:2" x14ac:dyDescent="0.25">
      <c r="A1547" t="s">
        <v>1611</v>
      </c>
      <c r="B1547" s="3">
        <v>142107634.622044</v>
      </c>
    </row>
    <row r="1548" spans="1:2" x14ac:dyDescent="0.25">
      <c r="A1548" t="s">
        <v>1612</v>
      </c>
      <c r="B1548" s="3">
        <v>7198665.4199999999</v>
      </c>
    </row>
    <row r="1549" spans="1:2" x14ac:dyDescent="0.25">
      <c r="A1549" t="s">
        <v>1613</v>
      </c>
      <c r="B1549" s="3">
        <v>62791181.200000003</v>
      </c>
    </row>
    <row r="1550" spans="1:2" x14ac:dyDescent="0.25">
      <c r="A1550" t="s">
        <v>1614</v>
      </c>
      <c r="B1550" s="3">
        <v>173536731.06</v>
      </c>
    </row>
    <row r="1551" spans="1:2" x14ac:dyDescent="0.25">
      <c r="A1551" t="s">
        <v>1615</v>
      </c>
      <c r="B1551" s="3">
        <v>17688.988387379999</v>
      </c>
    </row>
    <row r="1552" spans="1:2" x14ac:dyDescent="0.25">
      <c r="A1552" t="s">
        <v>1616</v>
      </c>
      <c r="B1552" s="3">
        <v>20148280.73</v>
      </c>
    </row>
    <row r="1553" spans="1:2" x14ac:dyDescent="0.25">
      <c r="A1553" t="s">
        <v>1617</v>
      </c>
      <c r="B1553" s="3">
        <v>64365818.289999999</v>
      </c>
    </row>
    <row r="1554" spans="1:2" x14ac:dyDescent="0.25">
      <c r="A1554" t="s">
        <v>1618</v>
      </c>
      <c r="B1554" s="3">
        <v>118698171.89</v>
      </c>
    </row>
    <row r="1555" spans="1:2" x14ac:dyDescent="0.25">
      <c r="A1555" t="s">
        <v>1619</v>
      </c>
      <c r="B1555" s="3">
        <v>57726561.419155501</v>
      </c>
    </row>
    <row r="1556" spans="1:2" x14ac:dyDescent="0.25">
      <c r="A1556" t="s">
        <v>1620</v>
      </c>
      <c r="B1556" s="3">
        <v>17260861.170000002</v>
      </c>
    </row>
    <row r="1557" spans="1:2" x14ac:dyDescent="0.25">
      <c r="A1557" t="s">
        <v>1621</v>
      </c>
      <c r="B1557" s="3">
        <v>44308135.321257003</v>
      </c>
    </row>
    <row r="1558" spans="1:2" x14ac:dyDescent="0.25">
      <c r="A1558" t="s">
        <v>1622</v>
      </c>
      <c r="B1558" s="3">
        <v>8233975140.4882898</v>
      </c>
    </row>
    <row r="1559" spans="1:2" x14ac:dyDescent="0.25">
      <c r="A1559" t="s">
        <v>1623</v>
      </c>
      <c r="B1559" s="3">
        <v>150561103.31</v>
      </c>
    </row>
    <row r="1560" spans="1:2" x14ac:dyDescent="0.25">
      <c r="A1560" t="s">
        <v>1624</v>
      </c>
      <c r="B1560" s="3">
        <v>118516848.707359</v>
      </c>
    </row>
    <row r="1561" spans="1:2" x14ac:dyDescent="0.25">
      <c r="A1561" t="s">
        <v>1625</v>
      </c>
      <c r="B1561" s="3">
        <v>31025713.420000002</v>
      </c>
    </row>
    <row r="1562" spans="1:2" x14ac:dyDescent="0.25">
      <c r="B1562" s="3">
        <v>28023490.690000001</v>
      </c>
    </row>
    <row r="1563" spans="1:2" x14ac:dyDescent="0.25">
      <c r="A1563" t="s">
        <v>1626</v>
      </c>
      <c r="B1563" s="3">
        <v>27959116.59</v>
      </c>
    </row>
    <row r="1564" spans="1:2" x14ac:dyDescent="0.25">
      <c r="A1564" t="s">
        <v>1627</v>
      </c>
      <c r="B1564" s="3">
        <v>12161556492.8265</v>
      </c>
    </row>
    <row r="1565" spans="1:2" x14ac:dyDescent="0.25">
      <c r="A1565" t="s">
        <v>1628</v>
      </c>
      <c r="B1565" s="3">
        <v>74588850.049999997</v>
      </c>
    </row>
    <row r="1566" spans="1:2" x14ac:dyDescent="0.25">
      <c r="A1566" t="s">
        <v>1629</v>
      </c>
      <c r="B1566" s="3">
        <v>32893218.690000001</v>
      </c>
    </row>
    <row r="1567" spans="1:2" x14ac:dyDescent="0.25">
      <c r="A1567" t="s">
        <v>1630</v>
      </c>
    </row>
    <row r="1568" spans="1:2" x14ac:dyDescent="0.25">
      <c r="A1568" t="s">
        <v>1631</v>
      </c>
      <c r="B1568" s="3">
        <v>172647957.03</v>
      </c>
    </row>
    <row r="1569" spans="1:2" x14ac:dyDescent="0.25">
      <c r="A1569" t="s">
        <v>1632</v>
      </c>
      <c r="B1569" s="3">
        <v>5609583.4500000002</v>
      </c>
    </row>
    <row r="1570" spans="1:2" x14ac:dyDescent="0.25">
      <c r="A1570" t="s">
        <v>1633</v>
      </c>
      <c r="B1570" s="3">
        <v>55768743.079999998</v>
      </c>
    </row>
    <row r="1571" spans="1:2" x14ac:dyDescent="0.25">
      <c r="A1571" t="s">
        <v>1634</v>
      </c>
      <c r="B1571" s="3">
        <v>77593647.459999993</v>
      </c>
    </row>
    <row r="1572" spans="1:2" x14ac:dyDescent="0.25">
      <c r="A1572" t="s">
        <v>1635</v>
      </c>
      <c r="B1572" s="3">
        <v>76801823.730000004</v>
      </c>
    </row>
    <row r="1573" spans="1:2" x14ac:dyDescent="0.25">
      <c r="A1573" t="s">
        <v>1636</v>
      </c>
      <c r="B1573" s="3">
        <v>30317563.59</v>
      </c>
    </row>
    <row r="1574" spans="1:2" x14ac:dyDescent="0.25">
      <c r="A1574" t="s">
        <v>1637</v>
      </c>
      <c r="B1574" s="3">
        <v>97333368.667601302</v>
      </c>
    </row>
    <row r="1575" spans="1:2" x14ac:dyDescent="0.25">
      <c r="A1575" t="s">
        <v>1638</v>
      </c>
      <c r="B1575" s="3">
        <v>91810633.420000002</v>
      </c>
    </row>
    <row r="1576" spans="1:2" x14ac:dyDescent="0.25">
      <c r="A1576" t="s">
        <v>1639</v>
      </c>
      <c r="B1576" s="3">
        <v>78241567.642606303</v>
      </c>
    </row>
    <row r="1577" spans="1:2" x14ac:dyDescent="0.25">
      <c r="A1577" t="s">
        <v>1640</v>
      </c>
      <c r="B1577" s="3">
        <v>102812537.14</v>
      </c>
    </row>
    <row r="1578" spans="1:2" x14ac:dyDescent="0.25">
      <c r="A1578" t="s">
        <v>1641</v>
      </c>
      <c r="B1578" s="3">
        <v>215587357.53999999</v>
      </c>
    </row>
    <row r="1579" spans="1:2" x14ac:dyDescent="0.25">
      <c r="A1579" t="s">
        <v>1642</v>
      </c>
      <c r="B1579" s="3">
        <v>27062608.780000001</v>
      </c>
    </row>
    <row r="1580" spans="1:2" x14ac:dyDescent="0.25">
      <c r="A1580" t="s">
        <v>1643</v>
      </c>
      <c r="B1580" s="3">
        <v>9.73</v>
      </c>
    </row>
    <row r="1581" spans="1:2" x14ac:dyDescent="0.25">
      <c r="A1581" t="s">
        <v>1644</v>
      </c>
      <c r="B1581" s="3">
        <v>37387990.979999997</v>
      </c>
    </row>
    <row r="1582" spans="1:2" x14ac:dyDescent="0.25">
      <c r="A1582" t="s">
        <v>1645</v>
      </c>
    </row>
    <row r="1583" spans="1:2" x14ac:dyDescent="0.25">
      <c r="A1583" t="s">
        <v>1646</v>
      </c>
      <c r="B1583" s="3">
        <v>106117114.148274</v>
      </c>
    </row>
    <row r="1584" spans="1:2" x14ac:dyDescent="0.25">
      <c r="A1584" t="s">
        <v>1647</v>
      </c>
      <c r="B1584" s="3">
        <v>5611306.2400000002</v>
      </c>
    </row>
    <row r="1585" spans="1:2" x14ac:dyDescent="0.25">
      <c r="A1585" t="s">
        <v>1648</v>
      </c>
      <c r="B1585" s="3">
        <v>59036381.920000002</v>
      </c>
    </row>
    <row r="1586" spans="1:2" x14ac:dyDescent="0.25">
      <c r="A1586" t="s">
        <v>1649</v>
      </c>
      <c r="B1586" s="3">
        <v>15300015.7772064</v>
      </c>
    </row>
    <row r="1587" spans="1:2" x14ac:dyDescent="0.25">
      <c r="A1587" t="s">
        <v>1650</v>
      </c>
    </row>
    <row r="1588" spans="1:2" x14ac:dyDescent="0.25">
      <c r="A1588" t="s">
        <v>1651</v>
      </c>
    </row>
    <row r="1589" spans="1:2" x14ac:dyDescent="0.25">
      <c r="A1589" t="s">
        <v>1652</v>
      </c>
      <c r="B1589" s="3">
        <v>28047307.489999998</v>
      </c>
    </row>
    <row r="1590" spans="1:2" x14ac:dyDescent="0.25">
      <c r="A1590" t="s">
        <v>1653</v>
      </c>
      <c r="B1590" s="3">
        <v>45012427.329999998</v>
      </c>
    </row>
    <row r="1591" spans="1:2" x14ac:dyDescent="0.25">
      <c r="A1591" t="s">
        <v>1654</v>
      </c>
      <c r="B1591" s="3">
        <v>575909965.04997599</v>
      </c>
    </row>
    <row r="1592" spans="1:2" x14ac:dyDescent="0.25">
      <c r="A1592" t="s">
        <v>1655</v>
      </c>
      <c r="B1592" s="3">
        <v>32401844395.1674</v>
      </c>
    </row>
    <row r="1593" spans="1:2" x14ac:dyDescent="0.25">
      <c r="A1593" t="s">
        <v>1656</v>
      </c>
      <c r="B1593" s="3">
        <v>269155629.33446401</v>
      </c>
    </row>
    <row r="1594" spans="1:2" x14ac:dyDescent="0.25">
      <c r="B1594" s="3">
        <v>0</v>
      </c>
    </row>
    <row r="1595" spans="1:2" x14ac:dyDescent="0.25">
      <c r="A1595" t="s">
        <v>1657</v>
      </c>
      <c r="B1595" s="3">
        <v>344641630.90124798</v>
      </c>
    </row>
    <row r="1596" spans="1:2" x14ac:dyDescent="0.25">
      <c r="A1596" t="s">
        <v>1658</v>
      </c>
      <c r="B1596" s="3">
        <v>344641630.90124798</v>
      </c>
    </row>
    <row r="1597" spans="1:2" x14ac:dyDescent="0.25">
      <c r="A1597" t="s">
        <v>1659</v>
      </c>
      <c r="B1597" s="3">
        <v>117337266.442678</v>
      </c>
    </row>
    <row r="1598" spans="1:2" x14ac:dyDescent="0.25">
      <c r="A1598" t="s">
        <v>1660</v>
      </c>
      <c r="B1598" s="3">
        <v>0</v>
      </c>
    </row>
    <row r="1599" spans="1:2" x14ac:dyDescent="0.25">
      <c r="A1599" t="s">
        <v>1661</v>
      </c>
      <c r="B1599" s="3">
        <v>0</v>
      </c>
    </row>
    <row r="1600" spans="1:2" x14ac:dyDescent="0.25">
      <c r="A1600" t="s">
        <v>1662</v>
      </c>
      <c r="B1600" s="3">
        <v>0</v>
      </c>
    </row>
    <row r="1601" spans="1:2" x14ac:dyDescent="0.25">
      <c r="A1601" t="s">
        <v>1663</v>
      </c>
      <c r="B1601" s="3">
        <v>0</v>
      </c>
    </row>
    <row r="1602" spans="1:2" x14ac:dyDescent="0.25">
      <c r="A1602" t="s">
        <v>1664</v>
      </c>
      <c r="B1602" s="3">
        <v>0</v>
      </c>
    </row>
    <row r="1603" spans="1:2" x14ac:dyDescent="0.25">
      <c r="A1603" t="s">
        <v>1665</v>
      </c>
      <c r="B1603" s="3">
        <v>117337266.442678</v>
      </c>
    </row>
    <row r="1604" spans="1:2" x14ac:dyDescent="0.25">
      <c r="A1604" t="s">
        <v>1666</v>
      </c>
      <c r="B1604" s="3">
        <v>117337266.442678</v>
      </c>
    </row>
    <row r="1605" spans="1:2" x14ac:dyDescent="0.25">
      <c r="A1605" t="s">
        <v>1667</v>
      </c>
      <c r="B1605" s="3">
        <v>117337266.442678</v>
      </c>
    </row>
    <row r="1606" spans="1:2" x14ac:dyDescent="0.25">
      <c r="A1606" t="s">
        <v>1668</v>
      </c>
      <c r="B1606" s="3">
        <v>117337266.442678</v>
      </c>
    </row>
    <row r="1607" spans="1:2" x14ac:dyDescent="0.25">
      <c r="A1607" t="s">
        <v>1669</v>
      </c>
      <c r="B1607" s="3">
        <v>45600527.400680996</v>
      </c>
    </row>
    <row r="1608" spans="1:2" x14ac:dyDescent="0.25">
      <c r="A1608" t="s">
        <v>1670</v>
      </c>
      <c r="B1608" s="3">
        <v>45600527.400680996</v>
      </c>
    </row>
    <row r="1609" spans="1:2" x14ac:dyDescent="0.25">
      <c r="A1609" t="s">
        <v>1671</v>
      </c>
      <c r="B1609" s="3">
        <v>62680616.159999996</v>
      </c>
    </row>
    <row r="1610" spans="1:2" x14ac:dyDescent="0.25">
      <c r="A1610" t="s">
        <v>1671</v>
      </c>
      <c r="B1610" s="3">
        <v>62680616.159999996</v>
      </c>
    </row>
    <row r="1611" spans="1:2" x14ac:dyDescent="0.25">
      <c r="A1611" t="s">
        <v>1672</v>
      </c>
      <c r="B1611" s="3">
        <v>3561789369.3200002</v>
      </c>
    </row>
    <row r="1612" spans="1:2" x14ac:dyDescent="0.25">
      <c r="A1612" t="s">
        <v>1673</v>
      </c>
      <c r="B1612" s="3">
        <v>7737655950.8800001</v>
      </c>
    </row>
    <row r="1613" spans="1:2" x14ac:dyDescent="0.25">
      <c r="A1613" t="s">
        <v>1674</v>
      </c>
      <c r="B1613" s="3">
        <v>1846752050.8800001</v>
      </c>
    </row>
    <row r="1614" spans="1:2" x14ac:dyDescent="0.25">
      <c r="A1614" t="s">
        <v>1675</v>
      </c>
      <c r="B1614" s="3">
        <v>5606287720</v>
      </c>
    </row>
    <row r="1615" spans="1:2" x14ac:dyDescent="0.25">
      <c r="A1615" t="s">
        <v>1676</v>
      </c>
      <c r="B1615" s="3">
        <v>701382963.32000005</v>
      </c>
    </row>
    <row r="1616" spans="1:2" x14ac:dyDescent="0.25">
      <c r="A1616" t="s">
        <v>1677</v>
      </c>
      <c r="B1616" s="3">
        <v>926101916.91999996</v>
      </c>
    </row>
    <row r="1617" spans="1:2" x14ac:dyDescent="0.25">
      <c r="B1617" s="3">
        <v>926954169.57000005</v>
      </c>
    </row>
    <row r="1618" spans="1:2" x14ac:dyDescent="0.25">
      <c r="A1618" t="s">
        <v>1678</v>
      </c>
      <c r="B1618" s="3">
        <v>976499885.5</v>
      </c>
    </row>
    <row r="1619" spans="1:2" x14ac:dyDescent="0.25">
      <c r="A1619" t="s">
        <v>1679</v>
      </c>
    </row>
    <row r="1620" spans="1:2" x14ac:dyDescent="0.25">
      <c r="A1620" t="s">
        <v>1680</v>
      </c>
      <c r="B1620" s="3">
        <v>32677748.6020745</v>
      </c>
    </row>
    <row r="1621" spans="1:2" x14ac:dyDescent="0.25">
      <c r="A1621" t="s">
        <v>1681</v>
      </c>
      <c r="B1621" s="3">
        <v>128098756.889669</v>
      </c>
    </row>
    <row r="1622" spans="1:2" x14ac:dyDescent="0.25">
      <c r="A1622" t="s">
        <v>1682</v>
      </c>
      <c r="B1622" s="3">
        <v>100412617.413395</v>
      </c>
    </row>
    <row r="1623" spans="1:2" x14ac:dyDescent="0.25">
      <c r="A1623" t="s">
        <v>1683</v>
      </c>
      <c r="B1623" s="3">
        <v>107020767.32077999</v>
      </c>
    </row>
    <row r="1624" spans="1:2" x14ac:dyDescent="0.25">
      <c r="A1624" t="s">
        <v>1684</v>
      </c>
      <c r="B1624" s="3">
        <v>177793036.27000001</v>
      </c>
    </row>
    <row r="1625" spans="1:2" x14ac:dyDescent="0.25">
      <c r="A1625" t="s">
        <v>1685</v>
      </c>
      <c r="B1625" s="3">
        <v>120014537.05601899</v>
      </c>
    </row>
    <row r="1626" spans="1:2" x14ac:dyDescent="0.25">
      <c r="A1626" t="s">
        <v>1686</v>
      </c>
    </row>
    <row r="1627" spans="1:2" x14ac:dyDescent="0.25">
      <c r="A1627" t="s">
        <v>1687</v>
      </c>
    </row>
    <row r="1628" spans="1:2" x14ac:dyDescent="0.25">
      <c r="A1628" t="s">
        <v>1688</v>
      </c>
      <c r="B1628" s="3">
        <v>58214597.140707403</v>
      </c>
    </row>
    <row r="1629" spans="1:2" x14ac:dyDescent="0.25">
      <c r="A1629" t="s">
        <v>1689</v>
      </c>
      <c r="B1629" s="3">
        <v>154871270.53</v>
      </c>
    </row>
    <row r="1630" spans="1:2" x14ac:dyDescent="0.25">
      <c r="A1630" t="s">
        <v>1690</v>
      </c>
      <c r="B1630" s="3">
        <v>83148386.049999997</v>
      </c>
    </row>
    <row r="1631" spans="1:2" x14ac:dyDescent="0.25">
      <c r="A1631" t="s">
        <v>1691</v>
      </c>
      <c r="B1631" s="3">
        <v>174447452.47076899</v>
      </c>
    </row>
    <row r="1632" spans="1:2" x14ac:dyDescent="0.25">
      <c r="A1632" t="s">
        <v>1692</v>
      </c>
      <c r="B1632" s="3">
        <v>16098917</v>
      </c>
    </row>
    <row r="1633" spans="1:2" x14ac:dyDescent="0.25">
      <c r="A1633" t="s">
        <v>1693</v>
      </c>
    </row>
    <row r="1634" spans="1:2" x14ac:dyDescent="0.25">
      <c r="A1634" t="s">
        <v>1694</v>
      </c>
      <c r="B1634" s="3">
        <v>481033451.523794</v>
      </c>
    </row>
    <row r="1635" spans="1:2" x14ac:dyDescent="0.25">
      <c r="A1635" t="s">
        <v>1695</v>
      </c>
      <c r="B1635" s="3">
        <v>323448372.44</v>
      </c>
    </row>
    <row r="1636" spans="1:2" x14ac:dyDescent="0.25">
      <c r="A1636" t="s">
        <v>1696</v>
      </c>
      <c r="B1636" s="3">
        <v>158592461.201608</v>
      </c>
    </row>
    <row r="1637" spans="1:2" x14ac:dyDescent="0.25">
      <c r="A1637" t="s">
        <v>1697</v>
      </c>
      <c r="B1637" s="3">
        <v>7881687.7241768697</v>
      </c>
    </row>
    <row r="1638" spans="1:2" x14ac:dyDescent="0.25">
      <c r="A1638" t="s">
        <v>1698</v>
      </c>
      <c r="B1638" s="3">
        <v>123687465.93000001</v>
      </c>
    </row>
    <row r="1639" spans="1:2" x14ac:dyDescent="0.25">
      <c r="A1639" t="s">
        <v>1699</v>
      </c>
      <c r="B1639" s="3">
        <v>54845975.608340502</v>
      </c>
    </row>
    <row r="1640" spans="1:2" x14ac:dyDescent="0.25">
      <c r="A1640" t="s">
        <v>1700</v>
      </c>
      <c r="B1640" s="3">
        <v>53285.352798239997</v>
      </c>
    </row>
    <row r="1641" spans="1:2" x14ac:dyDescent="0.25">
      <c r="B1641" s="3">
        <v>147648736.08000001</v>
      </c>
    </row>
    <row r="1642" spans="1:2" x14ac:dyDescent="0.25">
      <c r="B1642" s="3">
        <v>49138045.549999997</v>
      </c>
    </row>
    <row r="1643" spans="1:2" x14ac:dyDescent="0.25">
      <c r="B1643" s="3">
        <v>52653547.770000003</v>
      </c>
    </row>
    <row r="1644" spans="1:2" x14ac:dyDescent="0.25">
      <c r="A1644" t="s">
        <v>1701</v>
      </c>
      <c r="B1644" s="3">
        <v>44095361.154091403</v>
      </c>
    </row>
    <row r="1645" spans="1:2" x14ac:dyDescent="0.25">
      <c r="A1645" t="s">
        <v>1702</v>
      </c>
      <c r="B1645" s="3">
        <v>70055818.764464498</v>
      </c>
    </row>
    <row r="1646" spans="1:2" x14ac:dyDescent="0.25">
      <c r="A1646" t="s">
        <v>1703</v>
      </c>
      <c r="B1646" s="3">
        <v>82439156.676508904</v>
      </c>
    </row>
    <row r="1647" spans="1:2" x14ac:dyDescent="0.25">
      <c r="A1647" t="s">
        <v>1704</v>
      </c>
      <c r="B1647" s="3">
        <v>70904066.304193705</v>
      </c>
    </row>
    <row r="1648" spans="1:2" x14ac:dyDescent="0.25">
      <c r="A1648" t="s">
        <v>1705</v>
      </c>
      <c r="B1648" s="3">
        <v>57896212.093112402</v>
      </c>
    </row>
    <row r="1649" spans="1:2" x14ac:dyDescent="0.25">
      <c r="A1649" t="s">
        <v>1706</v>
      </c>
      <c r="B1649" s="3">
        <v>117131603.820389</v>
      </c>
    </row>
    <row r="1650" spans="1:2" x14ac:dyDescent="0.25">
      <c r="A1650" t="s">
        <v>1707</v>
      </c>
      <c r="B1650" s="3">
        <v>3917647.3917095098</v>
      </c>
    </row>
    <row r="1651" spans="1:2" x14ac:dyDescent="0.25">
      <c r="A1651" t="s">
        <v>1708</v>
      </c>
      <c r="B1651" s="3">
        <v>58577283.901394702</v>
      </c>
    </row>
    <row r="1652" spans="1:2" x14ac:dyDescent="0.25">
      <c r="A1652" t="s">
        <v>1709</v>
      </c>
      <c r="B1652" s="3">
        <v>58626602.534500003</v>
      </c>
    </row>
    <row r="1653" spans="1:2" x14ac:dyDescent="0.25">
      <c r="A1653" t="s">
        <v>1710</v>
      </c>
      <c r="B1653" s="3">
        <v>286765776.78350002</v>
      </c>
    </row>
    <row r="1654" spans="1:2" x14ac:dyDescent="0.25">
      <c r="A1654" t="s">
        <v>1711</v>
      </c>
      <c r="B1654" s="3">
        <v>29372059.818014599</v>
      </c>
    </row>
    <row r="1655" spans="1:2" x14ac:dyDescent="0.25">
      <c r="A1655" t="s">
        <v>1712</v>
      </c>
      <c r="B1655" s="3">
        <v>134712850.85000601</v>
      </c>
    </row>
    <row r="1656" spans="1:2" x14ac:dyDescent="0.25">
      <c r="A1656" t="s">
        <v>1713</v>
      </c>
      <c r="B1656" s="3">
        <v>100699054.86554199</v>
      </c>
    </row>
    <row r="1657" spans="1:2" x14ac:dyDescent="0.25">
      <c r="A1657" t="s">
        <v>1714</v>
      </c>
      <c r="B1657" s="3">
        <v>24322485.295015801</v>
      </c>
    </row>
    <row r="1658" spans="1:2" x14ac:dyDescent="0.25">
      <c r="A1658" t="s">
        <v>1715</v>
      </c>
      <c r="B1658" s="3">
        <v>1424583.9303806</v>
      </c>
    </row>
    <row r="1659" spans="1:2" x14ac:dyDescent="0.25">
      <c r="A1659" t="s">
        <v>1716</v>
      </c>
      <c r="B1659" s="3">
        <v>4183129.1880903398</v>
      </c>
    </row>
    <row r="1660" spans="1:2" x14ac:dyDescent="0.25">
      <c r="A1660" t="s">
        <v>1717</v>
      </c>
      <c r="B1660" s="3">
        <v>4497295.7596909003</v>
      </c>
    </row>
    <row r="1661" spans="1:2" x14ac:dyDescent="0.25">
      <c r="A1661" t="s">
        <v>1718</v>
      </c>
      <c r="B1661" s="3">
        <v>9035439.2753091399</v>
      </c>
    </row>
    <row r="1662" spans="1:2" x14ac:dyDescent="0.25">
      <c r="A1662" t="s">
        <v>1719</v>
      </c>
      <c r="B1662" s="3">
        <v>14168036.2604353</v>
      </c>
    </row>
    <row r="1663" spans="1:2" x14ac:dyDescent="0.25">
      <c r="A1663" t="s">
        <v>1720</v>
      </c>
      <c r="B1663" s="3">
        <v>153849318.36294299</v>
      </c>
    </row>
    <row r="1664" spans="1:2" x14ac:dyDescent="0.25">
      <c r="A1664" t="s">
        <v>1721</v>
      </c>
      <c r="B1664" s="3">
        <v>215440684.92592701</v>
      </c>
    </row>
    <row r="1665" spans="1:2" x14ac:dyDescent="0.25">
      <c r="A1665" t="s">
        <v>1722</v>
      </c>
      <c r="B1665" s="3">
        <v>68867375.109999999</v>
      </c>
    </row>
    <row r="1666" spans="1:2" x14ac:dyDescent="0.25">
      <c r="A1666" t="s">
        <v>1723</v>
      </c>
      <c r="B1666" s="3">
        <v>2231992.65</v>
      </c>
    </row>
    <row r="1667" spans="1:2" x14ac:dyDescent="0.25">
      <c r="A1667" t="s">
        <v>1724</v>
      </c>
      <c r="B1667" s="3">
        <v>24017776.949999999</v>
      </c>
    </row>
    <row r="1668" spans="1:2" x14ac:dyDescent="0.25">
      <c r="A1668" t="s">
        <v>1725</v>
      </c>
      <c r="B1668" s="3">
        <v>26783386.800000001</v>
      </c>
    </row>
    <row r="1669" spans="1:2" x14ac:dyDescent="0.25">
      <c r="A1669" t="s">
        <v>1726</v>
      </c>
      <c r="B1669" s="3">
        <v>15834218.710000001</v>
      </c>
    </row>
    <row r="1670" spans="1:2" x14ac:dyDescent="0.25">
      <c r="A1670" t="s">
        <v>1727</v>
      </c>
      <c r="B1670" s="3">
        <v>68867375.109999999</v>
      </c>
    </row>
    <row r="1671" spans="1:2" x14ac:dyDescent="0.25">
      <c r="A1671" t="s">
        <v>1728</v>
      </c>
      <c r="B1671" s="3">
        <v>103298829.83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0"/>
  <sheetViews>
    <sheetView workbookViewId="0">
      <selection activeCell="C27" sqref="C27"/>
    </sheetView>
  </sheetViews>
  <sheetFormatPr defaultRowHeight="15" x14ac:dyDescent="0.25"/>
  <cols>
    <col min="1" max="1" width="58.42578125" customWidth="1"/>
    <col min="2" max="2" width="15.7109375" style="32" customWidth="1"/>
    <col min="3" max="3" width="19.7109375" style="32" customWidth="1"/>
    <col min="4" max="4" width="24.5703125" bestFit="1" customWidth="1"/>
    <col min="8" max="8" width="40.140625" customWidth="1"/>
    <col min="9" max="9" width="10.42578125" style="32" customWidth="1"/>
    <col min="10" max="10" width="10.28515625" style="32" customWidth="1"/>
  </cols>
  <sheetData>
    <row r="1" spans="1:3" x14ac:dyDescent="0.25">
      <c r="A1" s="10" t="s">
        <v>1852</v>
      </c>
      <c r="B1" s="39" t="s">
        <v>1851</v>
      </c>
      <c r="C1" s="39" t="s">
        <v>1854</v>
      </c>
    </row>
    <row r="2" spans="1:3" ht="11.25" customHeight="1" x14ac:dyDescent="0.25">
      <c r="A2" s="12" t="s">
        <v>1847</v>
      </c>
      <c r="B2" s="39">
        <v>-136.91223576999997</v>
      </c>
      <c r="C2" s="39">
        <v>118.68121780999994</v>
      </c>
    </row>
    <row r="3" spans="1:3" ht="11.25" customHeight="1" x14ac:dyDescent="0.25">
      <c r="A3" s="12" t="s">
        <v>1857</v>
      </c>
      <c r="B3" s="39">
        <v>-14.474433773006133</v>
      </c>
      <c r="C3" s="39">
        <v>-14.474433773006133</v>
      </c>
    </row>
    <row r="4" spans="1:3" ht="11.25" customHeight="1" x14ac:dyDescent="0.25">
      <c r="A4" s="12" t="s">
        <v>270</v>
      </c>
      <c r="B4" s="39">
        <v>-4.4015434198297569</v>
      </c>
      <c r="C4" s="39">
        <v>0.85909411999994512</v>
      </c>
    </row>
    <row r="5" spans="1:3" ht="11.25" customHeight="1" x14ac:dyDescent="0.25">
      <c r="A5" s="12" t="s">
        <v>271</v>
      </c>
      <c r="B5" s="39">
        <v>-6.5852741259017717</v>
      </c>
      <c r="C5" s="39">
        <v>-4.3407969299999474</v>
      </c>
    </row>
    <row r="6" spans="1:3" ht="11.25" customHeight="1" x14ac:dyDescent="0.25">
      <c r="A6" s="12" t="s">
        <v>209</v>
      </c>
      <c r="B6" s="39">
        <v>-1.1998127503379725</v>
      </c>
      <c r="C6" s="39">
        <v>-1.8619050799999981</v>
      </c>
    </row>
    <row r="7" spans="1:3" ht="11.25" customHeight="1" x14ac:dyDescent="0.25">
      <c r="A7" s="12" t="s">
        <v>1834</v>
      </c>
      <c r="B7" s="39">
        <v>0</v>
      </c>
      <c r="C7" s="39">
        <v>0</v>
      </c>
    </row>
    <row r="8" spans="1:3" ht="11.25" customHeight="1" x14ac:dyDescent="0.25">
      <c r="A8" s="12" t="s">
        <v>1835</v>
      </c>
      <c r="B8" s="39">
        <v>0</v>
      </c>
      <c r="C8" s="39">
        <v>0</v>
      </c>
    </row>
    <row r="9" spans="1:3" ht="11.25" customHeight="1" x14ac:dyDescent="0.25">
      <c r="A9" s="12" t="s">
        <v>1849</v>
      </c>
      <c r="B9" s="39">
        <v>-75.897228409999983</v>
      </c>
      <c r="C9" s="39">
        <v>-103.51483618</v>
      </c>
    </row>
    <row r="10" spans="1:3" ht="11.25" customHeight="1" x14ac:dyDescent="0.25">
      <c r="A10" s="12" t="s">
        <v>225</v>
      </c>
      <c r="B10" s="39">
        <v>-15.24702263</v>
      </c>
      <c r="C10" s="39">
        <v>-15.083515999999999</v>
      </c>
    </row>
    <row r="11" spans="1:3" ht="11.25" customHeight="1" x14ac:dyDescent="0.25">
      <c r="A11" s="12" t="s">
        <v>224</v>
      </c>
      <c r="B11" s="39">
        <v>-14.572498070000004</v>
      </c>
      <c r="C11" s="39">
        <v>-15.027385000000001</v>
      </c>
    </row>
    <row r="12" spans="1:3" ht="11.25" customHeight="1" x14ac:dyDescent="0.25">
      <c r="B12"/>
      <c r="C12"/>
    </row>
    <row r="13" spans="1:3" ht="11.25" customHeight="1" x14ac:dyDescent="0.25">
      <c r="B13"/>
      <c r="C13"/>
    </row>
    <row r="14" spans="1:3" ht="11.25" customHeight="1" x14ac:dyDescent="0.25">
      <c r="B14"/>
      <c r="C14"/>
    </row>
    <row r="15" spans="1:3" ht="11.25" customHeight="1" x14ac:dyDescent="0.25">
      <c r="B15"/>
      <c r="C15"/>
    </row>
    <row r="16" spans="1:3" ht="11.25" customHeight="1" x14ac:dyDescent="0.25">
      <c r="B16"/>
      <c r="C16"/>
    </row>
    <row r="17" spans="2:10" ht="11.25" customHeight="1" x14ac:dyDescent="0.25">
      <c r="B17"/>
      <c r="C17"/>
    </row>
    <row r="18" spans="2:10" ht="49.5" customHeight="1" x14ac:dyDescent="0.25">
      <c r="B18"/>
      <c r="C18"/>
      <c r="H18" s="41" t="s">
        <v>1848</v>
      </c>
      <c r="I18" s="37" t="s">
        <v>1861</v>
      </c>
      <c r="J18" s="37" t="s">
        <v>1860</v>
      </c>
    </row>
    <row r="19" spans="2:10" ht="11.25" customHeight="1" x14ac:dyDescent="0.25">
      <c r="B19"/>
      <c r="C19"/>
      <c r="H19" s="12" t="s">
        <v>1847</v>
      </c>
      <c r="I19" s="32">
        <v>611.23308553257993</v>
      </c>
      <c r="J19" s="32">
        <v>617.27510215000007</v>
      </c>
    </row>
    <row r="20" spans="2:10" ht="11.25" customHeight="1" x14ac:dyDescent="0.25">
      <c r="B20"/>
      <c r="C20"/>
      <c r="H20" s="12" t="s">
        <v>1857</v>
      </c>
      <c r="I20" s="32">
        <v>246.90822183088017</v>
      </c>
      <c r="J20" s="32">
        <v>246.90822183088017</v>
      </c>
    </row>
    <row r="21" spans="2:10" ht="11.25" customHeight="1" x14ac:dyDescent="0.25">
      <c r="B21"/>
      <c r="C21"/>
      <c r="H21" s="12" t="s">
        <v>1846</v>
      </c>
      <c r="I21" s="32">
        <v>19.69543718058204</v>
      </c>
      <c r="J21" s="32">
        <v>28.572970790000021</v>
      </c>
    </row>
    <row r="22" spans="2:10" ht="11.25" customHeight="1" x14ac:dyDescent="0.25">
      <c r="B22"/>
      <c r="C22"/>
      <c r="H22" s="12" t="s">
        <v>1858</v>
      </c>
      <c r="I22" s="32">
        <v>40.671091455939596</v>
      </c>
      <c r="J22" s="32">
        <v>48.241026970000028</v>
      </c>
    </row>
    <row r="23" spans="2:10" ht="11.25" customHeight="1" x14ac:dyDescent="0.25">
      <c r="B23"/>
      <c r="C23"/>
      <c r="H23" s="12" t="s">
        <v>1859</v>
      </c>
      <c r="I23" s="32">
        <v>1.0390135339478912</v>
      </c>
      <c r="J23" s="32">
        <v>3.5967358100000171</v>
      </c>
    </row>
    <row r="24" spans="2:10" ht="11.25" customHeight="1" x14ac:dyDescent="0.25">
      <c r="B24"/>
      <c r="C24"/>
      <c r="H24" s="12" t="s">
        <v>1843</v>
      </c>
      <c r="I24" s="32">
        <v>127.79090194999999</v>
      </c>
      <c r="J24" s="32">
        <v>127.79090194999999</v>
      </c>
    </row>
    <row r="25" spans="2:10" ht="11.25" customHeight="1" x14ac:dyDescent="0.25">
      <c r="B25"/>
      <c r="C25"/>
      <c r="H25" s="12" t="s">
        <v>1842</v>
      </c>
      <c r="I25" s="32">
        <v>58.188871649999996</v>
      </c>
      <c r="J25" s="32">
        <v>58.188871649999996</v>
      </c>
    </row>
    <row r="26" spans="2:10" ht="11.25" customHeight="1" x14ac:dyDescent="0.25">
      <c r="B26"/>
      <c r="C26"/>
      <c r="H26" s="12" t="s">
        <v>1849</v>
      </c>
      <c r="I26" s="32">
        <v>1003.42150415</v>
      </c>
      <c r="J26" s="32">
        <v>1003.42150415</v>
      </c>
    </row>
    <row r="27" spans="2:10" ht="11.25" customHeight="1" x14ac:dyDescent="0.25">
      <c r="B27"/>
      <c r="C27"/>
      <c r="H27" s="31" t="s">
        <v>225</v>
      </c>
      <c r="I27" s="33">
        <v>-46.737383910000027</v>
      </c>
      <c r="J27" s="33">
        <v>-43.708387000000002</v>
      </c>
    </row>
    <row r="28" spans="2:10" ht="11.25" customHeight="1" x14ac:dyDescent="0.25">
      <c r="B28"/>
      <c r="C28"/>
      <c r="H28" s="31" t="s">
        <v>224</v>
      </c>
      <c r="I28" s="33">
        <v>-113.70535581</v>
      </c>
      <c r="J28" s="33">
        <v>-116.24129499999999</v>
      </c>
    </row>
    <row r="29" spans="2:10" ht="11.25" customHeight="1" x14ac:dyDescent="0.25">
      <c r="B29"/>
      <c r="C29"/>
      <c r="H29" t="s">
        <v>210</v>
      </c>
      <c r="I29" s="32">
        <v>-36.652796909999999</v>
      </c>
      <c r="J29" s="32">
        <v>-36.425991439999997</v>
      </c>
    </row>
    <row r="30" spans="2:10" ht="11.25" customHeight="1" x14ac:dyDescent="0.25">
      <c r="B30"/>
      <c r="C30"/>
      <c r="H30" s="34" t="s">
        <v>1767</v>
      </c>
      <c r="I30" s="35">
        <f>SUM(I19:I29)</f>
        <v>1911.8525906539298</v>
      </c>
      <c r="J30" s="35">
        <f>SUM(J19:J29)</f>
        <v>1937.6196618608803</v>
      </c>
    </row>
    <row r="31" spans="2:10" ht="11.25" customHeight="1" x14ac:dyDescent="0.25">
      <c r="B31"/>
      <c r="C31"/>
    </row>
    <row r="32" spans="2:10" ht="11.25" customHeight="1" x14ac:dyDescent="0.25">
      <c r="B32"/>
      <c r="C32"/>
    </row>
    <row r="33" spans="2:3" ht="11.25" customHeight="1" x14ac:dyDescent="0.25">
      <c r="B33"/>
      <c r="C33"/>
    </row>
    <row r="34" spans="2:3" ht="11.25" customHeight="1" x14ac:dyDescent="0.25">
      <c r="B34"/>
      <c r="C34"/>
    </row>
    <row r="35" spans="2:3" ht="11.25" customHeight="1" x14ac:dyDescent="0.25">
      <c r="B35"/>
      <c r="C35"/>
    </row>
    <row r="36" spans="2:3" ht="11.25" customHeight="1" x14ac:dyDescent="0.25">
      <c r="B36"/>
      <c r="C36"/>
    </row>
    <row r="37" spans="2:3" ht="11.25" customHeight="1" x14ac:dyDescent="0.25">
      <c r="B37"/>
      <c r="C37"/>
    </row>
    <row r="38" spans="2:3" ht="11.25" customHeight="1" x14ac:dyDescent="0.25">
      <c r="B38"/>
      <c r="C38"/>
    </row>
    <row r="39" spans="2:3" ht="11.25" customHeight="1" x14ac:dyDescent="0.25">
      <c r="B39"/>
      <c r="C39"/>
    </row>
    <row r="40" spans="2:3" ht="11.25" customHeight="1" x14ac:dyDescent="0.25">
      <c r="B40"/>
      <c r="C40"/>
    </row>
    <row r="41" spans="2:3" ht="11.25" customHeight="1" x14ac:dyDescent="0.25">
      <c r="B41"/>
      <c r="C41"/>
    </row>
    <row r="42" spans="2:3" ht="11.25" customHeight="1" x14ac:dyDescent="0.25">
      <c r="B42"/>
      <c r="C42"/>
    </row>
    <row r="43" spans="2:3" ht="11.25" customHeight="1" x14ac:dyDescent="0.25">
      <c r="B43"/>
      <c r="C43"/>
    </row>
    <row r="44" spans="2:3" ht="11.25" hidden="1" customHeight="1" x14ac:dyDescent="0.25">
      <c r="B44"/>
      <c r="C44"/>
    </row>
    <row r="45" spans="2:3" ht="11.25" customHeight="1" x14ac:dyDescent="0.25">
      <c r="B45"/>
      <c r="C45"/>
    </row>
    <row r="46" spans="2:3" ht="11.25" customHeight="1" x14ac:dyDescent="0.25">
      <c r="B46"/>
      <c r="C46"/>
    </row>
    <row r="47" spans="2:3" ht="11.25" customHeight="1" x14ac:dyDescent="0.25">
      <c r="B47"/>
      <c r="C47"/>
    </row>
    <row r="48" spans="2:3" ht="11.25" customHeight="1" x14ac:dyDescent="0.25">
      <c r="B48"/>
      <c r="C48"/>
    </row>
    <row r="49" spans="2:3" ht="11.25" hidden="1" customHeight="1" x14ac:dyDescent="0.25">
      <c r="B49"/>
      <c r="C49"/>
    </row>
    <row r="50" spans="2:3" ht="11.25" customHeight="1" x14ac:dyDescent="0.25">
      <c r="B50"/>
      <c r="C50"/>
    </row>
    <row r="51" spans="2:3" ht="11.25" customHeight="1" x14ac:dyDescent="0.25">
      <c r="B51"/>
      <c r="C51"/>
    </row>
    <row r="52" spans="2:3" ht="11.25" customHeight="1" x14ac:dyDescent="0.25">
      <c r="B52"/>
      <c r="C52"/>
    </row>
    <row r="53" spans="2:3" ht="11.25" customHeight="1" x14ac:dyDescent="0.25">
      <c r="B53"/>
      <c r="C53"/>
    </row>
    <row r="54" spans="2:3" ht="11.25" customHeight="1" x14ac:dyDescent="0.25">
      <c r="B54"/>
      <c r="C54"/>
    </row>
    <row r="55" spans="2:3" ht="11.25" customHeight="1" x14ac:dyDescent="0.25">
      <c r="B55"/>
      <c r="C55"/>
    </row>
    <row r="56" spans="2:3" ht="11.25" customHeight="1" x14ac:dyDescent="0.25">
      <c r="B56"/>
      <c r="C56"/>
    </row>
    <row r="57" spans="2:3" ht="11.25" customHeight="1" x14ac:dyDescent="0.25">
      <c r="B57"/>
      <c r="C57"/>
    </row>
    <row r="58" spans="2:3" ht="11.25" customHeight="1" x14ac:dyDescent="0.25">
      <c r="B58"/>
      <c r="C58"/>
    </row>
    <row r="59" spans="2:3" ht="11.25" customHeight="1" x14ac:dyDescent="0.25">
      <c r="B59"/>
      <c r="C59"/>
    </row>
    <row r="60" spans="2:3" ht="11.25" customHeight="1" x14ac:dyDescent="0.25">
      <c r="B60"/>
      <c r="C60"/>
    </row>
    <row r="61" spans="2:3" ht="11.25" customHeight="1" x14ac:dyDescent="0.25">
      <c r="B61"/>
      <c r="C61"/>
    </row>
    <row r="62" spans="2:3" ht="11.25" customHeight="1" x14ac:dyDescent="0.25">
      <c r="B62"/>
      <c r="C62"/>
    </row>
    <row r="63" spans="2:3" ht="11.25" customHeight="1" x14ac:dyDescent="0.25">
      <c r="B63"/>
      <c r="C63"/>
    </row>
    <row r="64" spans="2:3" ht="11.25" customHeight="1" x14ac:dyDescent="0.25">
      <c r="B64"/>
      <c r="C64"/>
    </row>
    <row r="65" spans="2:3" ht="11.25" customHeight="1" x14ac:dyDescent="0.25">
      <c r="B65"/>
      <c r="C65"/>
    </row>
    <row r="66" spans="2:3" ht="11.25" customHeight="1" x14ac:dyDescent="0.25">
      <c r="B66"/>
      <c r="C66"/>
    </row>
    <row r="67" spans="2:3" ht="11.25" customHeight="1" x14ac:dyDescent="0.25">
      <c r="B67"/>
      <c r="C67"/>
    </row>
    <row r="68" spans="2:3" ht="11.25" customHeight="1" x14ac:dyDescent="0.25">
      <c r="B68"/>
      <c r="C68"/>
    </row>
    <row r="69" spans="2:3" ht="11.25" customHeight="1" x14ac:dyDescent="0.25">
      <c r="B69"/>
      <c r="C69"/>
    </row>
    <row r="70" spans="2:3" ht="11.25" customHeight="1" x14ac:dyDescent="0.25">
      <c r="B70"/>
      <c r="C70"/>
    </row>
    <row r="71" spans="2:3" ht="11.25" customHeight="1" x14ac:dyDescent="0.25">
      <c r="B71"/>
      <c r="C71"/>
    </row>
    <row r="72" spans="2:3" ht="11.25" customHeight="1" x14ac:dyDescent="0.25">
      <c r="B72"/>
      <c r="C72"/>
    </row>
    <row r="73" spans="2:3" ht="11.25" customHeight="1" x14ac:dyDescent="0.25">
      <c r="B73"/>
      <c r="C73"/>
    </row>
    <row r="74" spans="2:3" ht="11.25" customHeight="1" x14ac:dyDescent="0.25">
      <c r="B74"/>
      <c r="C74"/>
    </row>
    <row r="75" spans="2:3" ht="11.25" customHeight="1" x14ac:dyDescent="0.25">
      <c r="B75"/>
      <c r="C75"/>
    </row>
    <row r="76" spans="2:3" ht="11.25" customHeight="1" x14ac:dyDescent="0.25">
      <c r="B76"/>
      <c r="C76"/>
    </row>
    <row r="77" spans="2:3" ht="11.25" customHeight="1" x14ac:dyDescent="0.25">
      <c r="B77"/>
      <c r="C77"/>
    </row>
    <row r="78" spans="2:3" ht="11.25" customHeight="1" x14ac:dyDescent="0.25">
      <c r="B78"/>
      <c r="C78"/>
    </row>
    <row r="79" spans="2:3" ht="11.25" customHeight="1" x14ac:dyDescent="0.25">
      <c r="B79"/>
      <c r="C79"/>
    </row>
    <row r="80" spans="2:3" ht="11.25" customHeight="1" x14ac:dyDescent="0.25">
      <c r="B80"/>
      <c r="C80"/>
    </row>
    <row r="81" spans="2:3" ht="11.25" customHeight="1" x14ac:dyDescent="0.25">
      <c r="B81"/>
      <c r="C81"/>
    </row>
    <row r="82" spans="2:3" ht="11.25" customHeight="1" x14ac:dyDescent="0.25">
      <c r="B82"/>
      <c r="C82"/>
    </row>
    <row r="83" spans="2:3" ht="11.25" customHeight="1" x14ac:dyDescent="0.25">
      <c r="B83"/>
      <c r="C83"/>
    </row>
    <row r="84" spans="2:3" ht="11.25" customHeight="1" x14ac:dyDescent="0.25">
      <c r="B84"/>
      <c r="C84"/>
    </row>
    <row r="85" spans="2:3" ht="11.25" customHeight="1" x14ac:dyDescent="0.25">
      <c r="B85"/>
      <c r="C85"/>
    </row>
    <row r="86" spans="2:3" ht="11.25" customHeight="1" x14ac:dyDescent="0.25">
      <c r="B86"/>
      <c r="C86"/>
    </row>
    <row r="87" spans="2:3" ht="11.25" customHeight="1" x14ac:dyDescent="0.25">
      <c r="B87"/>
      <c r="C87"/>
    </row>
    <row r="88" spans="2:3" ht="11.25" customHeight="1" x14ac:dyDescent="0.25">
      <c r="B88"/>
      <c r="C88"/>
    </row>
    <row r="89" spans="2:3" ht="11.25" customHeight="1" x14ac:dyDescent="0.25">
      <c r="B89"/>
      <c r="C89"/>
    </row>
    <row r="90" spans="2:3" ht="11.25" customHeight="1" x14ac:dyDescent="0.25">
      <c r="B90"/>
      <c r="C90"/>
    </row>
    <row r="91" spans="2:3" ht="11.25" customHeight="1" x14ac:dyDescent="0.25">
      <c r="B91"/>
      <c r="C91"/>
    </row>
    <row r="92" spans="2:3" ht="11.25" customHeight="1" x14ac:dyDescent="0.25">
      <c r="B92"/>
      <c r="C92"/>
    </row>
    <row r="93" spans="2:3" ht="11.25" customHeight="1" x14ac:dyDescent="0.25">
      <c r="B93"/>
      <c r="C93"/>
    </row>
    <row r="94" spans="2:3" ht="11.25" customHeight="1" x14ac:dyDescent="0.25">
      <c r="B94"/>
      <c r="C94"/>
    </row>
    <row r="95" spans="2:3" ht="11.25" customHeight="1" x14ac:dyDescent="0.25">
      <c r="B95"/>
      <c r="C95"/>
    </row>
    <row r="96" spans="2:3" ht="11.25" customHeight="1" x14ac:dyDescent="0.25">
      <c r="B96"/>
      <c r="C96"/>
    </row>
    <row r="97" spans="2:3" ht="11.25" customHeight="1" x14ac:dyDescent="0.25">
      <c r="B97"/>
      <c r="C97"/>
    </row>
    <row r="98" spans="2:3" ht="11.25" customHeight="1" x14ac:dyDescent="0.25">
      <c r="B98"/>
      <c r="C98"/>
    </row>
    <row r="99" spans="2:3" ht="11.25" customHeight="1" x14ac:dyDescent="0.25">
      <c r="B99"/>
      <c r="C99"/>
    </row>
    <row r="100" spans="2:3" ht="11.25" customHeight="1" x14ac:dyDescent="0.25">
      <c r="B100"/>
      <c r="C100"/>
    </row>
    <row r="101" spans="2:3" ht="11.25" customHeight="1" x14ac:dyDescent="0.25">
      <c r="B101"/>
      <c r="C101"/>
    </row>
    <row r="102" spans="2:3" ht="11.25" customHeight="1" x14ac:dyDescent="0.25">
      <c r="B102"/>
      <c r="C102"/>
    </row>
    <row r="103" spans="2:3" ht="11.25" customHeight="1" x14ac:dyDescent="0.25">
      <c r="B103"/>
      <c r="C103"/>
    </row>
    <row r="104" spans="2:3" ht="11.25" customHeight="1" x14ac:dyDescent="0.25">
      <c r="B104"/>
      <c r="C104"/>
    </row>
    <row r="105" spans="2:3" ht="11.25" customHeight="1" x14ac:dyDescent="0.25">
      <c r="B105"/>
      <c r="C105"/>
    </row>
    <row r="106" spans="2:3" ht="11.25" customHeight="1" x14ac:dyDescent="0.25">
      <c r="B106"/>
      <c r="C106"/>
    </row>
    <row r="107" spans="2:3" ht="11.25" customHeight="1" x14ac:dyDescent="0.25">
      <c r="B107"/>
      <c r="C107"/>
    </row>
    <row r="108" spans="2:3" ht="11.25" customHeight="1" x14ac:dyDescent="0.25">
      <c r="B108"/>
      <c r="C108"/>
    </row>
    <row r="109" spans="2:3" ht="11.25" customHeight="1" x14ac:dyDescent="0.25">
      <c r="B109"/>
      <c r="C109"/>
    </row>
    <row r="110" spans="2:3" x14ac:dyDescent="0.25">
      <c r="B110"/>
      <c r="C110"/>
    </row>
  </sheetData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E23"/>
  <sheetViews>
    <sheetView workbookViewId="0">
      <selection activeCell="B28" sqref="B28"/>
    </sheetView>
  </sheetViews>
  <sheetFormatPr defaultRowHeight="15" x14ac:dyDescent="0.25"/>
  <cols>
    <col min="1" max="1" width="29.28515625" bestFit="1" customWidth="1"/>
    <col min="2" max="2" width="38.140625" bestFit="1" customWidth="1"/>
    <col min="3" max="3" width="37.7109375" bestFit="1" customWidth="1"/>
    <col min="5" max="5" width="15.28515625" bestFit="1" customWidth="1"/>
  </cols>
  <sheetData>
    <row r="3" spans="1:1" x14ac:dyDescent="0.25">
      <c r="A3" s="10" t="s">
        <v>1789</v>
      </c>
    </row>
    <row r="4" spans="1:1" x14ac:dyDescent="0.25">
      <c r="A4" s="12" t="s">
        <v>1754</v>
      </c>
    </row>
    <row r="5" spans="1:1" x14ac:dyDescent="0.25">
      <c r="A5" s="13" t="s">
        <v>1756</v>
      </c>
    </row>
    <row r="6" spans="1:1" x14ac:dyDescent="0.25">
      <c r="A6" s="13" t="s">
        <v>1775</v>
      </c>
    </row>
    <row r="7" spans="1:1" x14ac:dyDescent="0.25">
      <c r="A7" s="13" t="s">
        <v>1768</v>
      </c>
    </row>
    <row r="8" spans="1:1" x14ac:dyDescent="0.25">
      <c r="A8" s="13" t="s">
        <v>1769</v>
      </c>
    </row>
    <row r="9" spans="1:1" x14ac:dyDescent="0.25">
      <c r="A9" s="13" t="s">
        <v>1770</v>
      </c>
    </row>
    <row r="10" spans="1:1" x14ac:dyDescent="0.25">
      <c r="A10" s="12" t="s">
        <v>1757</v>
      </c>
    </row>
    <row r="11" spans="1:1" x14ac:dyDescent="0.25">
      <c r="A11" s="13" t="s">
        <v>1771</v>
      </c>
    </row>
    <row r="12" spans="1:1" x14ac:dyDescent="0.25">
      <c r="A12" s="13" t="s">
        <v>1772</v>
      </c>
    </row>
    <row r="13" spans="1:1" x14ac:dyDescent="0.25">
      <c r="A13" s="13" t="s">
        <v>1755</v>
      </c>
    </row>
    <row r="14" spans="1:1" x14ac:dyDescent="0.25">
      <c r="A14" s="13" t="s">
        <v>1773</v>
      </c>
    </row>
    <row r="15" spans="1:1" x14ac:dyDescent="0.25">
      <c r="A15" s="13" t="s">
        <v>1776</v>
      </c>
    </row>
    <row r="16" spans="1:1" x14ac:dyDescent="0.25">
      <c r="A16" s="12" t="s">
        <v>1766</v>
      </c>
    </row>
    <row r="17" spans="1:5" x14ac:dyDescent="0.25">
      <c r="A17" s="13" t="s">
        <v>1774</v>
      </c>
    </row>
    <row r="18" spans="1:5" x14ac:dyDescent="0.25">
      <c r="A18" s="13" t="s">
        <v>1775</v>
      </c>
    </row>
    <row r="19" spans="1:5" x14ac:dyDescent="0.25">
      <c r="A19" s="13" t="s">
        <v>1768</v>
      </c>
    </row>
    <row r="20" spans="1:5" x14ac:dyDescent="0.25">
      <c r="A20" s="13" t="s">
        <v>1755</v>
      </c>
    </row>
    <row r="21" spans="1:5" x14ac:dyDescent="0.25">
      <c r="A21" s="12" t="s">
        <v>1868</v>
      </c>
    </row>
    <row r="22" spans="1:5" x14ac:dyDescent="0.25">
      <c r="A22" s="13" t="s">
        <v>1868</v>
      </c>
      <c r="E22" s="15" t="e">
        <f>GETPIVOTDATA("Sum of AUM from our AUM Nov 2019 file",$A$3)-GETPIVOTDATA("Sum of AUM from our AUM Dec 2019 file",$A$3)</f>
        <v>#REF!</v>
      </c>
    </row>
    <row r="23" spans="1:5" x14ac:dyDescent="0.25">
      <c r="A23" s="12" t="s">
        <v>1767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Startegy Changes Mod or Fun (QT</vt:lpstr>
      <vt:lpstr>Startegy Changes (QTD)</vt:lpstr>
      <vt:lpstr>Total Flows File (QTD)</vt:lpstr>
      <vt:lpstr>Startegy Changes Mod or Fun</vt:lpstr>
      <vt:lpstr>Total Flows File</vt:lpstr>
      <vt:lpstr>Startegy Changes</vt:lpstr>
      <vt:lpstr>Startegy Changes (Model Fund)</vt:lpstr>
      <vt:lpstr>Startegy Changes (List)</vt:lpstr>
      <vt:lpstr>AUM Data Sheet Dublin</vt:lpstr>
      <vt:lpstr>List Sheet</vt:lpstr>
      <vt:lpstr>Sheet3</vt:lpstr>
      <vt:lpstr>List of Portfolios and AUM</vt:lpstr>
      <vt:lpstr>Total AUM Sheet</vt:lpstr>
      <vt:lpstr>This Period AUM by Fund</vt:lpstr>
      <vt:lpstr>AUM by Fund</vt:lpstr>
      <vt:lpstr>AUM by Model</vt:lpstr>
      <vt:lpstr>Startegy Changes (2)</vt:lpstr>
      <vt:lpstr>Fund by Strategy</vt:lpstr>
      <vt:lpstr>Audit AUM File</vt:lpstr>
      <vt:lpstr>Sheet1 (QTD Flows)</vt:lpstr>
      <vt:lpstr>Breakdown by Strategy</vt:lpstr>
      <vt:lpstr>'List of Portfolios and AUM'!Print_Area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Cagny Alexis (AMUNDI)</dc:creator>
  <cp:lastModifiedBy>Annicchini Victoria (AMUNDI.IRL)</cp:lastModifiedBy>
  <cp:lastPrinted>2024-03-21T10:52:22Z</cp:lastPrinted>
  <dcterms:created xsi:type="dcterms:W3CDTF">2019-10-08T09:24:46Z</dcterms:created>
  <dcterms:modified xsi:type="dcterms:W3CDTF">2024-12-23T16:51:46Z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-2100255629</vt:i4>
  </property>
  <property fmtid="{D5CDD505-2E9C-101B-9397-08002B2CF9AE}" pid="3" name="_NewReviewCycle">
    <vt:lpwstr/>
  </property>
  <property fmtid="{D5CDD505-2E9C-101B-9397-08002B2CF9AE}" pid="4" name="_EmailSubject">
    <vt:lpwstr>Audit Assignment Multi Asset Business Line - Documents request</vt:lpwstr>
  </property>
  <property fmtid="{D5CDD505-2E9C-101B-9397-08002B2CF9AE}" pid="5" name="_AuthorEmail">
    <vt:lpwstr>alexis.decagny@amundi.com</vt:lpwstr>
  </property>
  <property fmtid="{D5CDD505-2E9C-101B-9397-08002B2CF9AE}" pid="6" name="_AuthorEmailDisplayName">
    <vt:lpwstr>De Cagny Alexis (AMUNDI)</vt:lpwstr>
  </property>
  <property fmtid="{D5CDD505-2E9C-101B-9397-08002B2CF9AE}" pid="7" name="_ReviewingToolsShownOnce">
    <vt:lpwstr/>
  </property>
  <property fmtid="{D5CDD505-2E9C-101B-9397-08002B2CF9AE}" pid="8" name="MSIP_Label_6ac45191-74e4-40a9-a4c5-ab5c9391e33a_Enabled">
    <vt:lpwstr>true</vt:lpwstr>
  </property>
  <property fmtid="{D5CDD505-2E9C-101B-9397-08002B2CF9AE}" pid="9" name="MSIP_Label_6ac45191-74e4-40a9-a4c5-ab5c9391e33a_SetDate">
    <vt:lpwstr>2022-06-08T13:38:50Z</vt:lpwstr>
  </property>
  <property fmtid="{D5CDD505-2E9C-101B-9397-08002B2CF9AE}" pid="10" name="MSIP_Label_6ac45191-74e4-40a9-a4c5-ab5c9391e33a_Method">
    <vt:lpwstr>Standard</vt:lpwstr>
  </property>
  <property fmtid="{D5CDD505-2E9C-101B-9397-08002B2CF9AE}" pid="11" name="MSIP_Label_6ac45191-74e4-40a9-a4c5-ab5c9391e33a_Name">
    <vt:lpwstr>Internal Data</vt:lpwstr>
  </property>
  <property fmtid="{D5CDD505-2E9C-101B-9397-08002B2CF9AE}" pid="12" name="MSIP_Label_6ac45191-74e4-40a9-a4c5-ab5c9391e33a_SiteId">
    <vt:lpwstr>a5c34232-eadc-4609-bff3-dd6fcdae3fe2</vt:lpwstr>
  </property>
  <property fmtid="{D5CDD505-2E9C-101B-9397-08002B2CF9AE}" pid="13" name="MSIP_Label_6ac45191-74e4-40a9-a4c5-ab5c9391e33a_ActionId">
    <vt:lpwstr>296a790b-7ed0-488d-a614-97fc32782049</vt:lpwstr>
  </property>
  <property fmtid="{D5CDD505-2E9C-101B-9397-08002B2CF9AE}" pid="14" name="MSIP_Label_6ac45191-74e4-40a9-a4c5-ab5c9391e33a_ContentBits">
    <vt:lpwstr>0</vt:lpwstr>
  </property>
</Properties>
</file>