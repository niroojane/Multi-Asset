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P:\Amundi_Multi-Asset\Multi-Asset_Fund_Solutions\Portfolio_Management\Dublin\MAP\Salvatore\Flows Files\"/>
    </mc:Choice>
  </mc:AlternateContent>
  <xr:revisionPtr revIDLastSave="0" documentId="13_ncr:1_{6ABB1AB1-EC0F-4D8D-BAB2-196C12B1E1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ows" sheetId="1" r:id="rId1"/>
    <sheet name="17th Nov - 14th Oct" sheetId="10" r:id="rId2"/>
    <sheet name="Flows Sept" sheetId="8" r:id="rId3"/>
    <sheet name="Q2 Flows" sheetId="9" r:id="rId4"/>
    <sheet name="Sheet1" sheetId="7" r:id="rId5"/>
    <sheet name="Flows July" sheetId="6" r:id="rId6"/>
    <sheet name="Flows Mid June" sheetId="5" r:id="rId7"/>
    <sheet name="Flows End of May" sheetId="4" r:id="rId8"/>
    <sheet name="Flows Mid- May" sheetId="3" r:id="rId9"/>
    <sheet name="Flows (April)" sheetId="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38" i="1"/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3" i="7"/>
  <c r="I30" i="6" l="1"/>
  <c r="D30" i="6"/>
  <c r="F30" i="6" s="1"/>
  <c r="I30" i="5" l="1"/>
  <c r="D30" i="5"/>
  <c r="F30" i="5" s="1"/>
  <c r="D30" i="4" l="1"/>
  <c r="F30" i="4" s="1"/>
  <c r="I30" i="4"/>
  <c r="D30" i="3" l="1"/>
  <c r="F30" i="3" s="1"/>
</calcChain>
</file>

<file path=xl/sharedStrings.xml><?xml version="1.0" encoding="utf-8"?>
<sst xmlns="http://schemas.openxmlformats.org/spreadsheetml/2006/main" count="1127" uniqueCount="224">
  <si>
    <t>E118</t>
  </si>
  <si>
    <t>E119</t>
  </si>
  <si>
    <t>E120</t>
  </si>
  <si>
    <t>PSUKLD1</t>
  </si>
  <si>
    <t>E193</t>
  </si>
  <si>
    <t>E142</t>
  </si>
  <si>
    <t>E143</t>
  </si>
  <si>
    <t>E144</t>
  </si>
  <si>
    <t>U6</t>
  </si>
  <si>
    <t>U13</t>
  </si>
  <si>
    <t>U15</t>
  </si>
  <si>
    <t>U14</t>
  </si>
  <si>
    <t>U1</t>
  </si>
  <si>
    <t>PU3</t>
  </si>
  <si>
    <t>U2</t>
  </si>
  <si>
    <t>E207</t>
  </si>
  <si>
    <t>E208</t>
  </si>
  <si>
    <t>E209</t>
  </si>
  <si>
    <t>E224</t>
  </si>
  <si>
    <t>PF71664</t>
  </si>
  <si>
    <t>PF76580</t>
  </si>
  <si>
    <t>PF78195</t>
  </si>
  <si>
    <t>PF79139</t>
  </si>
  <si>
    <t>PF82304</t>
  </si>
  <si>
    <t>PF80513</t>
  </si>
  <si>
    <t>EUR</t>
  </si>
  <si>
    <t>AMUNDI UNICREDIT PREM PORT- PRUDENTIAL</t>
  </si>
  <si>
    <t>AMUNDI UNICREDIT PREMIUM PORT - DYNAMIC</t>
  </si>
  <si>
    <t>AMUNDI UNICREDIT PREM PORT- MULTI ASSET</t>
  </si>
  <si>
    <t>Pioneer Institutional Solutions- UK Libor Diversified</t>
  </si>
  <si>
    <t>GBP</t>
  </si>
  <si>
    <t>AM FD SOL DIVERSIFIED INC B SELCT</t>
  </si>
  <si>
    <t>AM FD SOL BALANCED</t>
  </si>
  <si>
    <t>AM FD SOL CONSERVATIVE</t>
  </si>
  <si>
    <t>AM FD SOL DIVERSIFIED GROWTH</t>
  </si>
  <si>
    <t>UNICREDIT SOLUZIONE PAESI EMERGENTI</t>
  </si>
  <si>
    <t>REDDITO</t>
  </si>
  <si>
    <t>ECONOMIA REALE</t>
  </si>
  <si>
    <t>TREND</t>
  </si>
  <si>
    <t>UNICREDIT SOLUZIONE 20</t>
  </si>
  <si>
    <t>UNICREDIT SOLUZIONE 70</t>
  </si>
  <si>
    <t>UNICREDIT SOLUZIONE 40</t>
  </si>
  <si>
    <t>AIF - TACTICAL ALLOCAT FUND</t>
  </si>
  <si>
    <t>AIF - TACTICAL ALLOCAT BD FD</t>
  </si>
  <si>
    <t>AIF - DYNAMIC ALLOCATION FUND</t>
  </si>
  <si>
    <t>AIF - TACTICAL ALLOC PILLAR</t>
  </si>
  <si>
    <t>ASI - PROGETTO AZ MEGATREND</t>
  </si>
  <si>
    <t>ASI - PROGETTO AZION MEGATREND II</t>
  </si>
  <si>
    <t>ASI-PROGETTO AZION CAMBIAMENT CLIMATI</t>
  </si>
  <si>
    <t>ASI - PROGETTO AZIONE CAMBIAMENTO II</t>
  </si>
  <si>
    <t>ASI - PROGETTO AZION MILLENNNIALS II</t>
  </si>
  <si>
    <t>ASI - PROGETTO AZION MILLENNIALS</t>
  </si>
  <si>
    <t>Portfolio Code</t>
  </si>
  <si>
    <t>Portfolio Name</t>
  </si>
  <si>
    <t>Portfolio Ccy</t>
  </si>
  <si>
    <t>Flows April</t>
  </si>
  <si>
    <t>Models</t>
  </si>
  <si>
    <t>Flows May</t>
  </si>
  <si>
    <t>Last Month End</t>
  </si>
  <si>
    <t>Row Labels</t>
  </si>
  <si>
    <t>Sum of Amount in Eur.</t>
  </si>
  <si>
    <t>Grand Total</t>
  </si>
  <si>
    <t>Flows June</t>
  </si>
  <si>
    <t xml:space="preserve">E118        </t>
  </si>
  <si>
    <t xml:space="preserve">E119        </t>
  </si>
  <si>
    <t xml:space="preserve">E120        </t>
  </si>
  <si>
    <t xml:space="preserve">E142        </t>
  </si>
  <si>
    <t xml:space="preserve">E143        </t>
  </si>
  <si>
    <t xml:space="preserve">E144        </t>
  </si>
  <si>
    <t xml:space="preserve">E193        </t>
  </si>
  <si>
    <t xml:space="preserve">E207        </t>
  </si>
  <si>
    <t xml:space="preserve">E208        </t>
  </si>
  <si>
    <t xml:space="preserve">E209        </t>
  </si>
  <si>
    <t xml:space="preserve">E224        </t>
  </si>
  <si>
    <t xml:space="preserve">PF71664     </t>
  </si>
  <si>
    <t xml:space="preserve">PF76580     </t>
  </si>
  <si>
    <t xml:space="preserve">PF78195     </t>
  </si>
  <si>
    <t xml:space="preserve">PF79139     </t>
  </si>
  <si>
    <t xml:space="preserve">PF80513     </t>
  </si>
  <si>
    <t xml:space="preserve">PF82304     </t>
  </si>
  <si>
    <t xml:space="preserve">PU3         </t>
  </si>
  <si>
    <t xml:space="preserve">U1          </t>
  </si>
  <si>
    <t xml:space="preserve">U13         </t>
  </si>
  <si>
    <t xml:space="preserve">U14         </t>
  </si>
  <si>
    <t xml:space="preserve">U15         </t>
  </si>
  <si>
    <t xml:space="preserve">U2          </t>
  </si>
  <si>
    <t xml:space="preserve">PACIFAI     </t>
  </si>
  <si>
    <t>1PM</t>
  </si>
  <si>
    <t>1QM</t>
  </si>
  <si>
    <t>1RM</t>
  </si>
  <si>
    <t>2RDIN</t>
  </si>
  <si>
    <t>2RSIC</t>
  </si>
  <si>
    <t>2RTRAN</t>
  </si>
  <si>
    <t>AAPROT80</t>
  </si>
  <si>
    <t>ARSTARS</t>
  </si>
  <si>
    <t>CCRESCITA</t>
  </si>
  <si>
    <t>CNPDYNPR80</t>
  </si>
  <si>
    <t>CNPTHEMPROT</t>
  </si>
  <si>
    <t>CRVDYNPR80</t>
  </si>
  <si>
    <t>CRVTHEMPROT</t>
  </si>
  <si>
    <t>DINAR1TF</t>
  </si>
  <si>
    <t>DINAR2TF</t>
  </si>
  <si>
    <t>DINAR3TF</t>
  </si>
  <si>
    <t>INCSMRT</t>
  </si>
  <si>
    <t>MAA</t>
  </si>
  <si>
    <t>MAB</t>
  </si>
  <si>
    <t>MAC</t>
  </si>
  <si>
    <t>MAD</t>
  </si>
  <si>
    <t>MAE</t>
  </si>
  <si>
    <t>MAF</t>
  </si>
  <si>
    <t>MAG</t>
  </si>
  <si>
    <t>MAH</t>
  </si>
  <si>
    <t>MAI</t>
  </si>
  <si>
    <t>MAL</t>
  </si>
  <si>
    <t>MAM</t>
  </si>
  <si>
    <t>MAN</t>
  </si>
  <si>
    <t>MATRUNIP</t>
  </si>
  <si>
    <t>MDIA2UL</t>
  </si>
  <si>
    <t>MDIA3UL</t>
  </si>
  <si>
    <t>MDIA4UL</t>
  </si>
  <si>
    <t>MEBM</t>
  </si>
  <si>
    <t>MEP</t>
  </si>
  <si>
    <t>MEPF10</t>
  </si>
  <si>
    <t>MEPF2N</t>
  </si>
  <si>
    <t>MEPF4</t>
  </si>
  <si>
    <t>MEPF5</t>
  </si>
  <si>
    <t>MEPF6</t>
  </si>
  <si>
    <t>MEPF8</t>
  </si>
  <si>
    <t>MEUROC</t>
  </si>
  <si>
    <t>MLIFEBND</t>
  </si>
  <si>
    <t>MLINC</t>
  </si>
  <si>
    <t>MLPFLEX</t>
  </si>
  <si>
    <t>MULLI360</t>
  </si>
  <si>
    <t>MULSTEP</t>
  </si>
  <si>
    <t>MULTHEM</t>
  </si>
  <si>
    <t>MUNIP</t>
  </si>
  <si>
    <t>MUSE</t>
  </si>
  <si>
    <t>MUSEST</t>
  </si>
  <si>
    <t>MUSG</t>
  </si>
  <si>
    <t>MUSI</t>
  </si>
  <si>
    <t>PATRIMONIO</t>
  </si>
  <si>
    <t>PLAP</t>
  </si>
  <si>
    <t>PLEBE</t>
  </si>
  <si>
    <t>PLIC</t>
  </si>
  <si>
    <t>PLUSB</t>
  </si>
  <si>
    <t>PP1-3Y</t>
  </si>
  <si>
    <t>PP3Y</t>
  </si>
  <si>
    <t>R1M</t>
  </si>
  <si>
    <t>R2M</t>
  </si>
  <si>
    <t>UDM1</t>
  </si>
  <si>
    <t>UDM10</t>
  </si>
  <si>
    <t>UDM2</t>
  </si>
  <si>
    <t>UDM3</t>
  </si>
  <si>
    <t>UDM5</t>
  </si>
  <si>
    <t>UDM5EX</t>
  </si>
  <si>
    <t>UDM6</t>
  </si>
  <si>
    <t>UDM7</t>
  </si>
  <si>
    <t>UDM8</t>
  </si>
  <si>
    <t>UDM9</t>
  </si>
  <si>
    <t>UEAAL</t>
  </si>
  <si>
    <t>UEAC</t>
  </si>
  <si>
    <t>UEAEEM</t>
  </si>
  <si>
    <t>UEAIN</t>
  </si>
  <si>
    <t>UES20</t>
  </si>
  <si>
    <t>UES30</t>
  </si>
  <si>
    <t>UES40</t>
  </si>
  <si>
    <t>UES50</t>
  </si>
  <si>
    <t>UES70</t>
  </si>
  <si>
    <t>ULACCO</t>
  </si>
  <si>
    <t>ULBIL</t>
  </si>
  <si>
    <t>ULBILPIU</t>
  </si>
  <si>
    <t>ULC</t>
  </si>
  <si>
    <t>ULDIN</t>
  </si>
  <si>
    <t>ULECSTARS</t>
  </si>
  <si>
    <t>ULG4NEW</t>
  </si>
  <si>
    <t>ULP</t>
  </si>
  <si>
    <t>ULPRUD</t>
  </si>
  <si>
    <t xml:space="preserve">PF87100     </t>
  </si>
  <si>
    <t xml:space="preserve">PF87115     </t>
  </si>
  <si>
    <t>AFS SABADELL URQUIJO ACUMULACION</t>
  </si>
  <si>
    <t>AFS SABADELL URQUIJO CRECIMIENTO</t>
  </si>
  <si>
    <t>PF87100</t>
  </si>
  <si>
    <t>PF87115</t>
  </si>
  <si>
    <t>Flows</t>
  </si>
  <si>
    <t xml:space="preserve">PF88524     </t>
  </si>
  <si>
    <t>PACIFICA POCHE AI</t>
  </si>
  <si>
    <t>AMUNDI ELITE THEMATIC MULTI ASSET</t>
  </si>
  <si>
    <t>Amundi Invensys Broad Bond Portfolio</t>
  </si>
  <si>
    <t>PF88524</t>
  </si>
  <si>
    <t xml:space="preserve">PF88300     </t>
  </si>
  <si>
    <t>ASI - PROGETTO AZIONE ENERGY TRANSITION</t>
  </si>
  <si>
    <t xml:space="preserve">PF89408     </t>
  </si>
  <si>
    <t>ASI - PROGETTO AZIONE ENERGY TRANSITION (II)</t>
  </si>
  <si>
    <t>PF88300</t>
  </si>
  <si>
    <t>Paste From File</t>
  </si>
  <si>
    <t>UNGOALS</t>
  </si>
  <si>
    <t>PF89408</t>
  </si>
  <si>
    <t xml:space="preserve">PF92127     </t>
  </si>
  <si>
    <t>ASI - PROGETTO AZION INFRASTRUTTURE SOSTENIBILI</t>
  </si>
  <si>
    <t xml:space="preserve">PF52231     </t>
  </si>
  <si>
    <t xml:space="preserve">PF95239     </t>
  </si>
  <si>
    <t>ASI - PROGETTO AZION INFRASTRUTTURE SOSTENIBILI (II)</t>
  </si>
  <si>
    <t>AMUNDI SENTIERO SOSTENIBILE</t>
  </si>
  <si>
    <t>PF95239</t>
  </si>
  <si>
    <t>PF52231</t>
  </si>
  <si>
    <t>ULMATREND</t>
  </si>
  <si>
    <t xml:space="preserve">ULFTREND </t>
  </si>
  <si>
    <t>CNPPROT80</t>
  </si>
  <si>
    <t>CRVPROT80</t>
  </si>
  <si>
    <t xml:space="preserve">PF101372    </t>
  </si>
  <si>
    <t xml:space="preserve">PF101376    </t>
  </si>
  <si>
    <t xml:space="preserve">PF101380    </t>
  </si>
  <si>
    <t>PF101372</t>
  </si>
  <si>
    <t>PF101376</t>
  </si>
  <si>
    <t>PF101380</t>
  </si>
  <si>
    <t xml:space="preserve">AFS ICAV Planet ESG Dynamic </t>
  </si>
  <si>
    <t xml:space="preserve">AFS ICAV Planet ESG Conservative </t>
  </si>
  <si>
    <t>AFS ICAV Planet ESG Balanced</t>
  </si>
  <si>
    <t xml:space="preserve">PF103025    </t>
  </si>
  <si>
    <t>ASI - PROGETTO AZIONE FUTURO GREEN</t>
  </si>
  <si>
    <t>PF103025</t>
  </si>
  <si>
    <t>PF92127</t>
  </si>
  <si>
    <t>PF115036</t>
  </si>
  <si>
    <t>THE TRUSTHOUSE FDN CPI+4% MULTI-AST PTF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</si>
</sst>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3" fontId="2" fillId="2" borderId="3" xfId="1" applyFont="1" applyFill="1" applyBorder="1"/>
    <xf numFmtId="43" fontId="2" fillId="2" borderId="4" xfId="1" applyFont="1" applyFill="1" applyBorder="1"/>
    <xf numFmtId="43" fontId="0" fillId="0" borderId="0" xfId="1" applyFont="1"/>
    <xf numFmtId="0" fontId="2" fillId="0" borderId="0" xfId="0" applyFont="1"/>
    <xf numFmtId="43" fontId="0" fillId="0" borderId="0" xfId="0" applyNumberFormat="1"/>
    <xf numFmtId="0" fontId="0" fillId="3" borderId="5" xfId="0" applyFill="1" applyBorder="1"/>
    <xf numFmtId="0" fontId="0" fillId="3" borderId="0" xfId="0" applyFill="1" applyBorder="1"/>
    <xf numFmtId="164" fontId="0" fillId="3" borderId="0" xfId="0" applyNumberFormat="1" applyFill="1" applyBorder="1"/>
    <xf numFmtId="0" fontId="0" fillId="3" borderId="6" xfId="0" applyFill="1" applyBorder="1"/>
    <xf numFmtId="0" fontId="0" fillId="3" borderId="7" xfId="0" applyFill="1" applyBorder="1"/>
    <xf numFmtId="164" fontId="0" fillId="3" borderId="8" xfId="0" applyNumberFormat="1" applyFill="1" applyBorder="1"/>
    <xf numFmtId="0" fontId="3" fillId="4" borderId="9" xfId="0" applyFont="1" applyFill="1" applyBorder="1"/>
    <xf numFmtId="43" fontId="3" fillId="4" borderId="9" xfId="1" applyNumberFormat="1" applyFont="1" applyFill="1" applyBorder="1"/>
    <xf numFmtId="0" fontId="0" fillId="0" borderId="0" xfId="0" applyAlignment="1">
      <alignment horizontal="left"/>
    </xf>
    <xf numFmtId="0" fontId="3" fillId="4" borderId="10" xfId="0" applyFont="1" applyFill="1" applyBorder="1" applyAlignment="1">
      <alignment horizontal="left"/>
    </xf>
    <xf numFmtId="43" fontId="3" fillId="4" borderId="10" xfId="1" applyNumberFormat="1" applyFont="1" applyFill="1" applyBorder="1"/>
    <xf numFmtId="43" fontId="3" fillId="4" borderId="9" xfId="1" applyFont="1" applyFill="1" applyBorder="1"/>
    <xf numFmtId="43" fontId="0" fillId="0" borderId="0" xfId="1" applyFont="1" applyAlignment="1">
      <alignment horizontal="left"/>
    </xf>
    <xf numFmtId="0" fontId="4" fillId="4" borderId="9" xfId="0" applyFont="1" applyFill="1" applyBorder="1"/>
    <xf numFmtId="43" fontId="4" fillId="4" borderId="9" xfId="1" applyNumberFormat="1" applyFont="1" applyFill="1" applyBorder="1"/>
    <xf numFmtId="43" fontId="0" fillId="0" borderId="0" xfId="0" applyNumberFormat="1" applyAlignment="1">
      <alignment horizontal="left"/>
    </xf>
    <xf numFmtId="0" fontId="4" fillId="4" borderId="0" xfId="0" applyFont="1" applyFill="1" applyBorder="1"/>
    <xf numFmtId="43" fontId="4" fillId="4" borderId="0" xfId="1" applyNumberFormat="1" applyFont="1" applyFill="1" applyBorder="1"/>
    <xf numFmtId="0" fontId="0" fillId="0" borderId="0" xfId="0" applyAlignment="1">
      <alignment horizontal="right"/>
    </xf>
    <xf numFmtId="43" fontId="0" fillId="0" borderId="0" xfId="1" applyFont="1" applyAlignment="1"/>
    <xf numFmtId="0" fontId="0" fillId="0" borderId="0" xfId="0" applyAlignme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%20Portfolio%20Flows%20Dubl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ublin portfolios"/>
      <sheetName val="Sheet1"/>
      <sheetName val="Sheet4"/>
      <sheetName val="Sheet3"/>
      <sheetName val="Sheet5"/>
    </sheetNames>
    <sheetDataSet>
      <sheetData sheetId="0">
        <row r="2">
          <cell r="A2" t="str">
            <v>DATA_OPERAZIONE</v>
          </cell>
          <cell r="B2" t="str">
            <v>(Multiple Items)</v>
          </cell>
        </row>
        <row r="4">
          <cell r="A4" t="str">
            <v>Row Labels</v>
          </cell>
          <cell r="B4" t="str">
            <v>Sum of Sub/Reds</v>
          </cell>
        </row>
        <row r="5">
          <cell r="A5" t="str">
            <v>1PM</v>
          </cell>
          <cell r="B5">
            <v>-8096631.620000002</v>
          </cell>
        </row>
        <row r="6">
          <cell r="A6" t="str">
            <v>1QM</v>
          </cell>
          <cell r="B6">
            <v>-915885.27000000014</v>
          </cell>
        </row>
        <row r="7">
          <cell r="A7" t="str">
            <v>1RM</v>
          </cell>
          <cell r="B7">
            <v>-567692.13</v>
          </cell>
        </row>
        <row r="8">
          <cell r="A8" t="str">
            <v>2RDIN</v>
          </cell>
          <cell r="B8">
            <v>-47.02</v>
          </cell>
        </row>
        <row r="9">
          <cell r="A9" t="str">
            <v>2RTRAN</v>
          </cell>
          <cell r="B9">
            <v>-142.79000000000002</v>
          </cell>
        </row>
        <row r="10">
          <cell r="A10" t="str">
            <v>AAPROT80</v>
          </cell>
          <cell r="B10">
            <v>-3090101.6899999995</v>
          </cell>
        </row>
        <row r="11">
          <cell r="A11" t="str">
            <v>ARSTARS</v>
          </cell>
          <cell r="B11">
            <v>-37322925.299999975</v>
          </cell>
        </row>
        <row r="12">
          <cell r="A12" t="str">
            <v>CCRESCITA</v>
          </cell>
          <cell r="B12">
            <v>-19473.099999999995</v>
          </cell>
        </row>
        <row r="13">
          <cell r="A13" t="str">
            <v>CNP AZIONARIO INFRASTRUTTURE</v>
          </cell>
          <cell r="B13">
            <v>-434618.75999999989</v>
          </cell>
        </row>
        <row r="14">
          <cell r="A14" t="str">
            <v>CNP MULTIASSET ABSOLUTE</v>
          </cell>
          <cell r="B14">
            <v>-1016770.3700000002</v>
          </cell>
        </row>
        <row r="15">
          <cell r="A15" t="str">
            <v>CNPDYNPR80</v>
          </cell>
          <cell r="B15">
            <v>-16088829.240000004</v>
          </cell>
        </row>
        <row r="16">
          <cell r="A16" t="str">
            <v>CNPPROT80</v>
          </cell>
          <cell r="B16">
            <v>367906.5400000001</v>
          </cell>
        </row>
        <row r="17">
          <cell r="A17" t="str">
            <v>CNPTHEMPROT</v>
          </cell>
          <cell r="B17">
            <v>-10521304.209999999</v>
          </cell>
        </row>
        <row r="18">
          <cell r="A18" t="str">
            <v>CRVDYNPR80</v>
          </cell>
          <cell r="B18">
            <v>-25728394.100000024</v>
          </cell>
        </row>
        <row r="19">
          <cell r="A19" t="str">
            <v>CRVPROT80</v>
          </cell>
          <cell r="B19">
            <v>1020637.6299999998</v>
          </cell>
        </row>
        <row r="20">
          <cell r="A20" t="str">
            <v>CRVTHEMPROT</v>
          </cell>
          <cell r="B20">
            <v>-11494400.819999998</v>
          </cell>
        </row>
        <row r="21">
          <cell r="A21" t="str">
            <v>DINAR1TF</v>
          </cell>
          <cell r="B21">
            <v>-8576.35</v>
          </cell>
        </row>
        <row r="22">
          <cell r="A22" t="str">
            <v>DINAR2TF</v>
          </cell>
          <cell r="B22">
            <v>-155507.10000000009</v>
          </cell>
        </row>
        <row r="23">
          <cell r="A23" t="str">
            <v>DINAR3TF</v>
          </cell>
          <cell r="B23">
            <v>-3761.6500000000005</v>
          </cell>
        </row>
        <row r="24">
          <cell r="A24" t="str">
            <v>INCSMRT</v>
          </cell>
          <cell r="B24">
            <v>-20432842.009999983</v>
          </cell>
        </row>
        <row r="25">
          <cell r="A25" t="str">
            <v>MAA</v>
          </cell>
          <cell r="B25">
            <v>-1958.1100000000001</v>
          </cell>
        </row>
        <row r="26">
          <cell r="A26" t="str">
            <v>MAB</v>
          </cell>
          <cell r="B26">
            <v>-70599.200000000041</v>
          </cell>
        </row>
        <row r="27">
          <cell r="A27" t="str">
            <v>MAC</v>
          </cell>
          <cell r="B27">
            <v>-1740.22</v>
          </cell>
        </row>
        <row r="28">
          <cell r="A28" t="str">
            <v>MAD</v>
          </cell>
          <cell r="B28">
            <v>-2087.83</v>
          </cell>
        </row>
        <row r="29">
          <cell r="A29" t="str">
            <v>MAE</v>
          </cell>
          <cell r="B29">
            <v>-1644.49</v>
          </cell>
        </row>
        <row r="30">
          <cell r="A30" t="str">
            <v>MAF</v>
          </cell>
          <cell r="B30">
            <v>-1505.89</v>
          </cell>
        </row>
        <row r="31">
          <cell r="A31" t="str">
            <v>MAG</v>
          </cell>
          <cell r="B31">
            <v>-1605.7</v>
          </cell>
        </row>
        <row r="32">
          <cell r="A32" t="str">
            <v>MAH</v>
          </cell>
          <cell r="B32">
            <v>-2758.01</v>
          </cell>
        </row>
        <row r="33">
          <cell r="A33" t="str">
            <v>MAI</v>
          </cell>
          <cell r="B33">
            <v>-1475.16</v>
          </cell>
        </row>
        <row r="34">
          <cell r="A34" t="str">
            <v>MAL</v>
          </cell>
          <cell r="B34">
            <v>-1625.16</v>
          </cell>
        </row>
        <row r="35">
          <cell r="A35" t="str">
            <v>MAM</v>
          </cell>
          <cell r="B35">
            <v>-579.68999999999983</v>
          </cell>
        </row>
        <row r="36">
          <cell r="A36" t="str">
            <v>MAN</v>
          </cell>
          <cell r="B36">
            <v>-1209.0000000000002</v>
          </cell>
        </row>
        <row r="37">
          <cell r="A37" t="str">
            <v>MATRUNIP</v>
          </cell>
          <cell r="B37">
            <v>-644373.75999999989</v>
          </cell>
        </row>
        <row r="38">
          <cell r="A38" t="str">
            <v>MDIA2UL</v>
          </cell>
          <cell r="B38">
            <v>-45140.160000000003</v>
          </cell>
        </row>
        <row r="39">
          <cell r="A39" t="str">
            <v>MDIA3UL</v>
          </cell>
          <cell r="B39">
            <v>-125570.52999999998</v>
          </cell>
        </row>
        <row r="40">
          <cell r="A40" t="str">
            <v>MDIA4UL</v>
          </cell>
          <cell r="B40">
            <v>-191358.46000000005</v>
          </cell>
        </row>
        <row r="41">
          <cell r="A41" t="str">
            <v>MEBM</v>
          </cell>
          <cell r="B41">
            <v>-223659.39000000007</v>
          </cell>
        </row>
        <row r="42">
          <cell r="A42" t="str">
            <v>MEP</v>
          </cell>
          <cell r="B42">
            <v>-192176.77999999997</v>
          </cell>
        </row>
        <row r="43">
          <cell r="A43" t="str">
            <v>MEPF10</v>
          </cell>
          <cell r="B43">
            <v>-1323.0099999999998</v>
          </cell>
        </row>
        <row r="44">
          <cell r="A44" t="str">
            <v>MEPF2N</v>
          </cell>
          <cell r="B44">
            <v>-350635.67999999988</v>
          </cell>
        </row>
        <row r="45">
          <cell r="A45" t="str">
            <v>MEPF4</v>
          </cell>
          <cell r="B45">
            <v>-182908.58999999997</v>
          </cell>
        </row>
        <row r="46">
          <cell r="A46" t="str">
            <v>MEPF5</v>
          </cell>
          <cell r="B46">
            <v>-1379157.7200000009</v>
          </cell>
        </row>
        <row r="47">
          <cell r="A47" t="str">
            <v>MEPF6</v>
          </cell>
          <cell r="B47">
            <v>-1481691.5300000005</v>
          </cell>
        </row>
        <row r="48">
          <cell r="A48" t="str">
            <v>MEPF8</v>
          </cell>
          <cell r="B48">
            <v>-2446438.419999999</v>
          </cell>
        </row>
        <row r="49">
          <cell r="A49" t="str">
            <v>MEUROC</v>
          </cell>
          <cell r="B49">
            <v>-3217942.01</v>
          </cell>
        </row>
        <row r="50">
          <cell r="A50" t="str">
            <v>MLIFEBND</v>
          </cell>
          <cell r="B50">
            <v>-4047481.4800000009</v>
          </cell>
        </row>
        <row r="51">
          <cell r="A51" t="str">
            <v>MLINC</v>
          </cell>
          <cell r="B51">
            <v>-15247022.630000001</v>
          </cell>
        </row>
        <row r="52">
          <cell r="A52" t="str">
            <v>MLPFLEX</v>
          </cell>
          <cell r="B52">
            <v>-916591.71999999974</v>
          </cell>
        </row>
        <row r="53">
          <cell r="A53" t="str">
            <v>MULLI360</v>
          </cell>
          <cell r="B53">
            <v>-14572498.070000004</v>
          </cell>
        </row>
        <row r="54">
          <cell r="A54" t="str">
            <v>MULSTEP</v>
          </cell>
          <cell r="B54">
            <v>-334707.83</v>
          </cell>
        </row>
        <row r="55">
          <cell r="A55" t="str">
            <v>MULTHEM</v>
          </cell>
          <cell r="B55">
            <v>-88153187.509999931</v>
          </cell>
        </row>
        <row r="56">
          <cell r="A56" t="str">
            <v>MUNIP</v>
          </cell>
          <cell r="B56">
            <v>-17807.07</v>
          </cell>
        </row>
        <row r="57">
          <cell r="A57" t="str">
            <v>MUSE</v>
          </cell>
          <cell r="B57">
            <v>-5593987.6700000074</v>
          </cell>
        </row>
        <row r="58">
          <cell r="A58" t="str">
            <v>MUSEST</v>
          </cell>
          <cell r="B58">
            <v>-3653577.2099999986</v>
          </cell>
        </row>
        <row r="59">
          <cell r="A59" t="str">
            <v>MUSG</v>
          </cell>
          <cell r="B59">
            <v>-140886179.43999982</v>
          </cell>
        </row>
        <row r="60">
          <cell r="A60" t="str">
            <v>MUSI</v>
          </cell>
          <cell r="B60">
            <v>-24530124.020000018</v>
          </cell>
        </row>
        <row r="61">
          <cell r="A61" t="str">
            <v>PATRIMONIO</v>
          </cell>
          <cell r="B61">
            <v>-4452670.4599999981</v>
          </cell>
        </row>
        <row r="62">
          <cell r="A62" t="str">
            <v>PLAP</v>
          </cell>
          <cell r="B62">
            <v>-763040.60000000009</v>
          </cell>
        </row>
        <row r="63">
          <cell r="A63" t="str">
            <v>PLEBE</v>
          </cell>
          <cell r="B63">
            <v>-9845561.4600000009</v>
          </cell>
        </row>
        <row r="64">
          <cell r="A64" t="str">
            <v>PLIC</v>
          </cell>
          <cell r="B64">
            <v>-373108.55999999994</v>
          </cell>
        </row>
        <row r="65">
          <cell r="A65" t="str">
            <v>PLUSB</v>
          </cell>
          <cell r="B65">
            <v>-9380704.6199999899</v>
          </cell>
        </row>
        <row r="66">
          <cell r="A66" t="str">
            <v>PP1-3Y</v>
          </cell>
          <cell r="B66">
            <v>-4628998.620000001</v>
          </cell>
        </row>
        <row r="67">
          <cell r="A67" t="str">
            <v>PP3Y</v>
          </cell>
          <cell r="B67">
            <v>-188585.52999999974</v>
          </cell>
        </row>
        <row r="68">
          <cell r="A68" t="str">
            <v>R1M</v>
          </cell>
          <cell r="B68">
            <v>-444459.29000000004</v>
          </cell>
        </row>
        <row r="69">
          <cell r="A69" t="str">
            <v>R2M</v>
          </cell>
          <cell r="B69">
            <v>-34928.270000000019</v>
          </cell>
        </row>
        <row r="70">
          <cell r="A70" t="str">
            <v>UAV MULTIASSET ABSOLUTE</v>
          </cell>
          <cell r="B70">
            <v>-867532.9800000001</v>
          </cell>
        </row>
        <row r="71">
          <cell r="A71" t="str">
            <v>UDM10</v>
          </cell>
          <cell r="B71">
            <v>-601.20000000000005</v>
          </cell>
        </row>
        <row r="72">
          <cell r="A72" t="str">
            <v>UDM2</v>
          </cell>
          <cell r="B72">
            <v>-168708.38</v>
          </cell>
        </row>
        <row r="73">
          <cell r="A73" t="str">
            <v>UDM3</v>
          </cell>
          <cell r="B73">
            <v>-46829.119999999995</v>
          </cell>
        </row>
        <row r="74">
          <cell r="A74" t="str">
            <v>UDM5</v>
          </cell>
          <cell r="B74">
            <v>-23964450.97000001</v>
          </cell>
        </row>
        <row r="75">
          <cell r="A75" t="str">
            <v>UDM5EX</v>
          </cell>
          <cell r="B75">
            <v>-175122.56999999992</v>
          </cell>
        </row>
        <row r="76">
          <cell r="A76" t="str">
            <v>UDM6</v>
          </cell>
          <cell r="B76">
            <v>1008111.8999999951</v>
          </cell>
        </row>
        <row r="77">
          <cell r="A77" t="str">
            <v>UDM7</v>
          </cell>
          <cell r="B77">
            <v>-74993.419999999984</v>
          </cell>
        </row>
        <row r="78">
          <cell r="A78" t="str">
            <v>UDM8</v>
          </cell>
          <cell r="B78">
            <v>-10665889.520000003</v>
          </cell>
        </row>
        <row r="79">
          <cell r="A79" t="str">
            <v>UDM9</v>
          </cell>
          <cell r="B79">
            <v>-4429190.5399999972</v>
          </cell>
        </row>
        <row r="80">
          <cell r="A80" t="str">
            <v>UEAAL</v>
          </cell>
          <cell r="B80">
            <v>-86443.800000000032</v>
          </cell>
        </row>
        <row r="81">
          <cell r="A81" t="str">
            <v>UEAC</v>
          </cell>
          <cell r="B81">
            <v>-143446.35999999946</v>
          </cell>
        </row>
        <row r="82">
          <cell r="A82" t="str">
            <v>UEAEEM</v>
          </cell>
          <cell r="B82">
            <v>-112084.45</v>
          </cell>
        </row>
        <row r="83">
          <cell r="A83" t="str">
            <v>UEAIN</v>
          </cell>
          <cell r="B83">
            <v>-940623.65999999968</v>
          </cell>
        </row>
        <row r="84">
          <cell r="A84" t="str">
            <v>UES20</v>
          </cell>
          <cell r="B84">
            <v>-1652714.3599999989</v>
          </cell>
        </row>
        <row r="85">
          <cell r="A85" t="str">
            <v>UES30</v>
          </cell>
          <cell r="B85">
            <v>-17940993.880000018</v>
          </cell>
        </row>
        <row r="86">
          <cell r="A86" t="str">
            <v>UES40</v>
          </cell>
          <cell r="B86">
            <v>-1681571.7899999993</v>
          </cell>
        </row>
        <row r="87">
          <cell r="A87" t="str">
            <v>UES50</v>
          </cell>
          <cell r="B87">
            <v>-66777686.989999987</v>
          </cell>
        </row>
        <row r="88">
          <cell r="A88" t="str">
            <v>UES70</v>
          </cell>
          <cell r="B88">
            <v>-40659051.159999982</v>
          </cell>
        </row>
        <row r="89">
          <cell r="A89" t="str">
            <v>ULACCO</v>
          </cell>
          <cell r="B89">
            <v>-340502.77</v>
          </cell>
        </row>
        <row r="90">
          <cell r="A90" t="str">
            <v>ULBIL</v>
          </cell>
          <cell r="B90">
            <v>-614112.52</v>
          </cell>
        </row>
        <row r="91">
          <cell r="A91" t="str">
            <v>ULBILPIU</v>
          </cell>
          <cell r="B91">
            <v>-514722.49999999988</v>
          </cell>
        </row>
        <row r="92">
          <cell r="A92" t="str">
            <v>ULC</v>
          </cell>
          <cell r="B92">
            <v>-523806.44999999984</v>
          </cell>
        </row>
        <row r="93">
          <cell r="A93" t="str">
            <v>ULDIN</v>
          </cell>
          <cell r="B93">
            <v>-905874.80999999994</v>
          </cell>
        </row>
        <row r="94">
          <cell r="A94" t="str">
            <v>ULECSTARS</v>
          </cell>
          <cell r="B94">
            <v>-32352755.369999997</v>
          </cell>
        </row>
        <row r="95">
          <cell r="A95" t="str">
            <v xml:space="preserve">ULFTREND </v>
          </cell>
          <cell r="B95">
            <v>226891.29000000094</v>
          </cell>
        </row>
        <row r="96">
          <cell r="A96" t="str">
            <v>ULG4NEW</v>
          </cell>
          <cell r="B96">
            <v>-681.71</v>
          </cell>
        </row>
        <row r="97">
          <cell r="A97" t="str">
            <v>ULINFRAS</v>
          </cell>
          <cell r="B97">
            <v>-1131007.8399999999</v>
          </cell>
        </row>
        <row r="98">
          <cell r="A98" t="str">
            <v>ULMATREND</v>
          </cell>
          <cell r="B98">
            <v>6517412.1099999938</v>
          </cell>
        </row>
        <row r="99">
          <cell r="A99" t="str">
            <v>ULP</v>
          </cell>
          <cell r="B99">
            <v>-668763.87000000011</v>
          </cell>
        </row>
        <row r="100">
          <cell r="A100" t="str">
            <v>ULPRUD</v>
          </cell>
          <cell r="B100">
            <v>-673150.85</v>
          </cell>
        </row>
        <row r="101">
          <cell r="A101" t="str">
            <v>UNGOALS</v>
          </cell>
          <cell r="B101">
            <v>8885720.7199999932</v>
          </cell>
        </row>
        <row r="102">
          <cell r="A102" t="str">
            <v>Grand Total</v>
          </cell>
          <cell r="B102">
            <v>-664620923.73999977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zoomScale="85" zoomScaleNormal="85" workbookViewId="0">
      <selection activeCell="A3" sqref="A3:D33"/>
    </sheetView>
  </sheetViews>
  <sheetFormatPr defaultRowHeight="15" x14ac:dyDescent="0.25"/>
  <cols>
    <col min="1" max="1" width="14" bestFit="1" customWidth="1"/>
    <col min="2" max="2" width="53.140625" bestFit="1" customWidth="1"/>
    <col min="3" max="3" width="13.85546875" bestFit="1" customWidth="1"/>
    <col min="4" max="4" width="15.28515625" style="5" bestFit="1" customWidth="1"/>
    <col min="5" max="5" width="15.28515625" bestFit="1" customWidth="1"/>
    <col min="6" max="6" width="18.7109375" customWidth="1"/>
    <col min="7" max="7" width="15.28515625" style="5" bestFit="1" customWidth="1"/>
    <col min="8" max="9" width="15.28515625" style="5" customWidth="1"/>
    <col min="10" max="10" width="15.28515625" bestFit="1" customWidth="1"/>
    <col min="11" max="11" width="15.28515625" style="5" bestFit="1" customWidth="1"/>
    <col min="12" max="12" width="23" style="5" bestFit="1" customWidth="1"/>
    <col min="13" max="13" width="16.28515625" style="5" bestFit="1" customWidth="1"/>
    <col min="14" max="14" width="15.28515625" style="5" bestFit="1" customWidth="1"/>
    <col min="16" max="16" width="10.7109375" bestFit="1" customWidth="1"/>
    <col min="17" max="17" width="14.28515625" style="5" bestFit="1" customWidth="1"/>
  </cols>
  <sheetData>
    <row r="1" spans="1:14" x14ac:dyDescent="0.25">
      <c r="A1" s="1" t="s">
        <v>52</v>
      </c>
      <c r="B1" s="2" t="s">
        <v>53</v>
      </c>
      <c r="C1" s="3" t="s">
        <v>54</v>
      </c>
      <c r="D1" s="4" t="s">
        <v>183</v>
      </c>
      <c r="J1" s="3" t="s">
        <v>194</v>
      </c>
      <c r="K1" s="4"/>
      <c r="L1" s="19"/>
      <c r="M1" s="21" t="s">
        <v>59</v>
      </c>
      <c r="N1" s="22" t="s">
        <v>60</v>
      </c>
    </row>
    <row r="2" spans="1:14" x14ac:dyDescent="0.25">
      <c r="D2" s="27"/>
      <c r="H2"/>
      <c r="J2" s="16" t="s">
        <v>59</v>
      </c>
      <c r="K2" s="5" t="s">
        <v>60</v>
      </c>
      <c r="M2" s="24"/>
      <c r="N2" s="25"/>
    </row>
    <row r="3" spans="1:14" x14ac:dyDescent="0.25">
      <c r="A3" t="s">
        <v>0</v>
      </c>
      <c r="B3" t="s">
        <v>26</v>
      </c>
      <c r="C3" t="s">
        <v>25</v>
      </c>
      <c r="D3" s="27">
        <v>-798922.5844135189</v>
      </c>
      <c r="H3"/>
      <c r="J3" s="16" t="s">
        <v>63</v>
      </c>
      <c r="K3" s="5">
        <v>-1128251.0854118671</v>
      </c>
      <c r="L3" s="20"/>
      <c r="M3" s="5" t="s">
        <v>63</v>
      </c>
      <c r="N3" s="5">
        <v>-101626.42612085961</v>
      </c>
    </row>
    <row r="4" spans="1:14" x14ac:dyDescent="0.25">
      <c r="A4" t="s">
        <v>1</v>
      </c>
      <c r="B4" t="s">
        <v>27</v>
      </c>
      <c r="C4" t="s">
        <v>25</v>
      </c>
      <c r="D4" s="27">
        <v>-1656568.0657256469</v>
      </c>
      <c r="E4" s="16"/>
      <c r="H4"/>
      <c r="J4" s="16" t="s">
        <v>64</v>
      </c>
      <c r="K4" s="5">
        <v>-3140637.1031710254</v>
      </c>
      <c r="L4" s="20"/>
      <c r="M4" s="16" t="s">
        <v>64</v>
      </c>
      <c r="N4" s="5">
        <v>-616289.28785010055</v>
      </c>
    </row>
    <row r="5" spans="1:14" x14ac:dyDescent="0.25">
      <c r="A5" t="s">
        <v>2</v>
      </c>
      <c r="B5" t="s">
        <v>28</v>
      </c>
      <c r="C5" t="s">
        <v>25</v>
      </c>
      <c r="D5" s="27">
        <v>-5424835.5633996008</v>
      </c>
      <c r="E5" s="16"/>
      <c r="H5"/>
      <c r="J5" s="16" t="s">
        <v>65</v>
      </c>
      <c r="K5" s="5">
        <v>-10691333.972602241</v>
      </c>
      <c r="L5" s="20"/>
      <c r="M5" s="16" t="s">
        <v>65</v>
      </c>
      <c r="N5" s="5">
        <v>-1097178.8307672236</v>
      </c>
    </row>
    <row r="6" spans="1:14" x14ac:dyDescent="0.25">
      <c r="A6" t="s">
        <v>5</v>
      </c>
      <c r="B6" t="s">
        <v>32</v>
      </c>
      <c r="C6" t="s">
        <v>25</v>
      </c>
      <c r="D6" s="28">
        <v>-4401543.419829757</v>
      </c>
      <c r="E6" s="16"/>
      <c r="H6"/>
      <c r="J6" s="16" t="s">
        <v>66</v>
      </c>
      <c r="K6" s="5">
        <v>-4544514.6399156321</v>
      </c>
      <c r="L6" s="20"/>
      <c r="M6" s="16" t="s">
        <v>66</v>
      </c>
      <c r="N6" s="5">
        <v>-715583.89734978147</v>
      </c>
    </row>
    <row r="7" spans="1:14" x14ac:dyDescent="0.25">
      <c r="A7" t="s">
        <v>6</v>
      </c>
      <c r="B7" t="s">
        <v>33</v>
      </c>
      <c r="C7" t="s">
        <v>25</v>
      </c>
      <c r="D7" s="28">
        <v>-6585274.1259017717</v>
      </c>
      <c r="E7" s="16"/>
      <c r="H7"/>
      <c r="J7" s="16" t="s">
        <v>67</v>
      </c>
      <c r="K7" s="5">
        <v>-26457035.027588662</v>
      </c>
      <c r="L7" s="20"/>
      <c r="M7" s="16" t="s">
        <v>67</v>
      </c>
      <c r="N7" s="5">
        <v>-1803788.3132410448</v>
      </c>
    </row>
    <row r="8" spans="1:14" x14ac:dyDescent="0.25">
      <c r="A8" t="s">
        <v>7</v>
      </c>
      <c r="B8" t="s">
        <v>34</v>
      </c>
      <c r="C8" t="s">
        <v>25</v>
      </c>
      <c r="D8" s="28">
        <v>-1199812.7503379725</v>
      </c>
      <c r="E8" s="16"/>
      <c r="H8"/>
      <c r="J8" s="16" t="s">
        <v>68</v>
      </c>
      <c r="K8" s="5">
        <v>344160.46273813251</v>
      </c>
      <c r="L8" s="20"/>
      <c r="M8" s="16" t="s">
        <v>68</v>
      </c>
      <c r="N8" s="5">
        <v>-267301.15112115821</v>
      </c>
    </row>
    <row r="9" spans="1:14" x14ac:dyDescent="0.25">
      <c r="A9" t="s">
        <v>4</v>
      </c>
      <c r="B9" t="s">
        <v>31</v>
      </c>
      <c r="C9" t="s">
        <v>25</v>
      </c>
      <c r="D9" s="28">
        <v>-4867464.6900000013</v>
      </c>
      <c r="E9" s="16"/>
      <c r="H9"/>
      <c r="J9" s="16" t="s">
        <v>69</v>
      </c>
      <c r="K9" s="5">
        <v>-9963384.6500000097</v>
      </c>
      <c r="L9" s="20"/>
      <c r="M9" s="16" t="s">
        <v>69</v>
      </c>
      <c r="N9" s="5">
        <v>-732261.55999999982</v>
      </c>
    </row>
    <row r="10" spans="1:14" x14ac:dyDescent="0.25">
      <c r="A10" t="s">
        <v>15</v>
      </c>
      <c r="B10" t="s">
        <v>42</v>
      </c>
      <c r="C10" t="s">
        <v>25</v>
      </c>
      <c r="D10" s="28">
        <v>-446651.58000000013</v>
      </c>
      <c r="E10" s="16"/>
      <c r="H10"/>
      <c r="J10" s="16" t="s">
        <v>70</v>
      </c>
      <c r="K10" s="5">
        <v>-2378918.2899999991</v>
      </c>
      <c r="L10" s="20"/>
      <c r="M10" s="16" t="s">
        <v>70</v>
      </c>
      <c r="N10" s="5">
        <v>-266591.09999999998</v>
      </c>
    </row>
    <row r="11" spans="1:14" x14ac:dyDescent="0.25">
      <c r="A11" t="s">
        <v>16</v>
      </c>
      <c r="B11" t="s">
        <v>43</v>
      </c>
      <c r="C11" t="s">
        <v>25</v>
      </c>
      <c r="D11" s="28">
        <v>-2977460.7300000018</v>
      </c>
      <c r="E11" s="16"/>
      <c r="H11"/>
      <c r="J11" s="16" t="s">
        <v>71</v>
      </c>
      <c r="K11" s="5">
        <v>-4031318.1099999957</v>
      </c>
      <c r="L11" s="20"/>
      <c r="M11" s="16" t="s">
        <v>71</v>
      </c>
      <c r="N11" s="5">
        <v>-224779.82</v>
      </c>
    </row>
    <row r="12" spans="1:14" x14ac:dyDescent="0.25">
      <c r="A12" t="s">
        <v>17</v>
      </c>
      <c r="B12" t="s">
        <v>44</v>
      </c>
      <c r="C12" t="s">
        <v>25</v>
      </c>
      <c r="D12" s="28">
        <v>-26306785.200000003</v>
      </c>
      <c r="E12" s="16"/>
      <c r="H12"/>
      <c r="J12" s="16" t="s">
        <v>72</v>
      </c>
      <c r="K12" s="5">
        <v>1265370.279999997</v>
      </c>
      <c r="L12" s="20"/>
      <c r="M12" s="16" t="s">
        <v>72</v>
      </c>
      <c r="N12" s="5">
        <v>-7185517.9799999986</v>
      </c>
    </row>
    <row r="13" spans="1:14" x14ac:dyDescent="0.25">
      <c r="A13" t="s">
        <v>18</v>
      </c>
      <c r="B13" t="s">
        <v>45</v>
      </c>
      <c r="C13" t="s">
        <v>25</v>
      </c>
      <c r="D13" s="28">
        <v>-6138586.8300000001</v>
      </c>
      <c r="E13" s="16"/>
      <c r="H13"/>
      <c r="J13" s="16" t="s">
        <v>73</v>
      </c>
      <c r="K13" s="5">
        <v>-10145150.350000001</v>
      </c>
      <c r="L13" s="20"/>
      <c r="M13" s="16" t="s">
        <v>73</v>
      </c>
      <c r="N13" s="5">
        <v>-1544891.97</v>
      </c>
    </row>
    <row r="14" spans="1:14" x14ac:dyDescent="0.25">
      <c r="A14" t="s">
        <v>86</v>
      </c>
      <c r="B14" t="s">
        <v>185</v>
      </c>
      <c r="C14" t="s">
        <v>25</v>
      </c>
      <c r="D14" s="27"/>
      <c r="E14" s="16"/>
      <c r="H14"/>
      <c r="J14" s="16" t="s">
        <v>86</v>
      </c>
      <c r="L14" s="20"/>
      <c r="M14" s="16"/>
    </row>
    <row r="15" spans="1:14" x14ac:dyDescent="0.25">
      <c r="A15" t="s">
        <v>212</v>
      </c>
      <c r="B15" t="s">
        <v>216</v>
      </c>
      <c r="C15" t="s">
        <v>25</v>
      </c>
      <c r="D15" s="27"/>
      <c r="E15" s="16"/>
      <c r="H15"/>
      <c r="J15" s="16" t="s">
        <v>209</v>
      </c>
      <c r="L15" s="20"/>
      <c r="M15" s="16"/>
    </row>
    <row r="16" spans="1:14" x14ac:dyDescent="0.25">
      <c r="A16" t="s">
        <v>213</v>
      </c>
      <c r="B16" t="s">
        <v>217</v>
      </c>
      <c r="C16" t="s">
        <v>25</v>
      </c>
      <c r="D16" s="27"/>
      <c r="E16" s="16"/>
      <c r="H16"/>
      <c r="J16" s="16" t="s">
        <v>210</v>
      </c>
      <c r="L16" s="20"/>
      <c r="M16" s="16"/>
    </row>
    <row r="17" spans="1:17" x14ac:dyDescent="0.25">
      <c r="A17" t="s">
        <v>214</v>
      </c>
      <c r="B17" t="s">
        <v>215</v>
      </c>
      <c r="C17" t="s">
        <v>25</v>
      </c>
      <c r="D17" s="27"/>
      <c r="E17" s="16"/>
      <c r="H17"/>
      <c r="J17" s="16" t="s">
        <v>211</v>
      </c>
      <c r="L17" s="20"/>
      <c r="M17" s="16"/>
    </row>
    <row r="18" spans="1:17" x14ac:dyDescent="0.25">
      <c r="A18" t="s">
        <v>220</v>
      </c>
      <c r="B18" t="s">
        <v>219</v>
      </c>
      <c r="C18" t="s">
        <v>25</v>
      </c>
      <c r="D18" s="28">
        <v>-18151357.009999994</v>
      </c>
      <c r="E18" s="16"/>
      <c r="H18"/>
      <c r="J18" s="16" t="s">
        <v>218</v>
      </c>
      <c r="K18" s="5">
        <v>-10832574.890000002</v>
      </c>
      <c r="L18" s="20"/>
      <c r="M18" s="16"/>
    </row>
    <row r="19" spans="1:17" x14ac:dyDescent="0.25">
      <c r="A19" t="s">
        <v>204</v>
      </c>
      <c r="B19" t="s">
        <v>202</v>
      </c>
      <c r="C19" t="s">
        <v>25</v>
      </c>
      <c r="D19" s="27"/>
      <c r="E19" s="16"/>
      <c r="H19"/>
      <c r="J19" s="16" t="s">
        <v>199</v>
      </c>
      <c r="K19" s="5">
        <v>-11193888.140000001</v>
      </c>
      <c r="L19" s="20"/>
      <c r="M19" s="16" t="s">
        <v>218</v>
      </c>
      <c r="N19" s="5">
        <v>-8217839.7400000002</v>
      </c>
    </row>
    <row r="20" spans="1:17" x14ac:dyDescent="0.25">
      <c r="A20" t="s">
        <v>19</v>
      </c>
      <c r="B20" t="s">
        <v>46</v>
      </c>
      <c r="C20" t="s">
        <v>25</v>
      </c>
      <c r="D20" s="28">
        <v>-2520039.62</v>
      </c>
      <c r="E20" s="16"/>
      <c r="H20"/>
      <c r="J20" s="16" t="s">
        <v>74</v>
      </c>
      <c r="K20" s="5">
        <v>-9999994.3500000034</v>
      </c>
      <c r="L20" s="20"/>
      <c r="M20" s="5" t="s">
        <v>199</v>
      </c>
      <c r="N20" s="5">
        <v>-2357979.3899999997</v>
      </c>
    </row>
    <row r="21" spans="1:17" x14ac:dyDescent="0.25">
      <c r="A21" t="s">
        <v>20</v>
      </c>
      <c r="B21" t="s">
        <v>47</v>
      </c>
      <c r="C21" t="s">
        <v>25</v>
      </c>
      <c r="D21" s="28">
        <v>-1251536.6500000001</v>
      </c>
      <c r="H21"/>
      <c r="J21" s="16" t="s">
        <v>75</v>
      </c>
      <c r="K21" s="5">
        <v>-7656690.2099999972</v>
      </c>
      <c r="L21" s="20"/>
      <c r="M21" s="5" t="s">
        <v>74</v>
      </c>
      <c r="N21" s="5">
        <v>-1046747.7299999997</v>
      </c>
    </row>
    <row r="22" spans="1:17" x14ac:dyDescent="0.25">
      <c r="A22" t="s">
        <v>21</v>
      </c>
      <c r="B22" t="s">
        <v>48</v>
      </c>
      <c r="C22" t="s">
        <v>25</v>
      </c>
      <c r="D22" s="28">
        <v>-2202239.33</v>
      </c>
      <c r="H22"/>
      <c r="J22" s="16" t="s">
        <v>76</v>
      </c>
      <c r="K22" s="5">
        <v>-9888962.3900000006</v>
      </c>
      <c r="L22" s="20"/>
      <c r="M22" s="5" t="s">
        <v>75</v>
      </c>
      <c r="N22" s="5">
        <v>-666651.45000000019</v>
      </c>
    </row>
    <row r="23" spans="1:17" x14ac:dyDescent="0.25">
      <c r="A23" t="s">
        <v>22</v>
      </c>
      <c r="B23" t="s">
        <v>49</v>
      </c>
      <c r="C23" t="s">
        <v>25</v>
      </c>
      <c r="D23" s="28">
        <v>-1203484.7799999998</v>
      </c>
      <c r="E23" s="16"/>
      <c r="H23"/>
      <c r="J23" s="16" t="s">
        <v>77</v>
      </c>
      <c r="K23" s="5">
        <v>-7908274.2100000037</v>
      </c>
      <c r="L23" s="20"/>
      <c r="M23" s="5" t="s">
        <v>76</v>
      </c>
      <c r="N23" s="5">
        <v>-1164896.24</v>
      </c>
    </row>
    <row r="24" spans="1:17" x14ac:dyDescent="0.25">
      <c r="A24" t="s">
        <v>24</v>
      </c>
      <c r="B24" t="s">
        <v>51</v>
      </c>
      <c r="C24" t="s">
        <v>25</v>
      </c>
      <c r="D24" s="28">
        <v>-2840809.6</v>
      </c>
      <c r="E24" s="16"/>
      <c r="H24"/>
      <c r="J24" s="16" t="s">
        <v>78</v>
      </c>
      <c r="K24" s="5">
        <v>-13410430.069999993</v>
      </c>
      <c r="L24" s="20"/>
      <c r="M24" s="16" t="s">
        <v>77</v>
      </c>
      <c r="N24" s="5">
        <v>-1398230.66</v>
      </c>
    </row>
    <row r="25" spans="1:17" x14ac:dyDescent="0.25">
      <c r="A25" t="s">
        <v>23</v>
      </c>
      <c r="B25" t="s">
        <v>50</v>
      </c>
      <c r="C25" t="s">
        <v>25</v>
      </c>
      <c r="D25" s="28">
        <v>-2645344.77</v>
      </c>
      <c r="E25" s="16"/>
      <c r="G25" s="16"/>
      <c r="H25"/>
      <c r="J25" s="16" t="s">
        <v>79</v>
      </c>
      <c r="K25" s="5">
        <v>-13490939.619999997</v>
      </c>
      <c r="L25" s="20"/>
      <c r="M25" s="16" t="s">
        <v>78</v>
      </c>
      <c r="N25" s="5">
        <v>-1883091.9100000004</v>
      </c>
    </row>
    <row r="26" spans="1:17" x14ac:dyDescent="0.25">
      <c r="A26" t="s">
        <v>181</v>
      </c>
      <c r="B26" t="s">
        <v>179</v>
      </c>
      <c r="C26" t="s">
        <v>25</v>
      </c>
      <c r="D26" s="28"/>
      <c r="E26" s="5"/>
      <c r="G26" s="16"/>
      <c r="H26" s="26"/>
      <c r="J26" s="16" t="s">
        <v>177</v>
      </c>
      <c r="K26" s="5">
        <v>-9884736.4900000021</v>
      </c>
      <c r="L26" s="20"/>
      <c r="M26" s="16" t="s">
        <v>79</v>
      </c>
      <c r="N26" s="5">
        <v>-1693973.1</v>
      </c>
    </row>
    <row r="27" spans="1:17" x14ac:dyDescent="0.25">
      <c r="A27" t="s">
        <v>182</v>
      </c>
      <c r="B27" t="s">
        <v>180</v>
      </c>
      <c r="C27" t="s">
        <v>25</v>
      </c>
      <c r="D27" s="28"/>
      <c r="E27" s="5"/>
      <c r="G27" s="16"/>
      <c r="H27"/>
      <c r="J27" s="16" t="s">
        <v>178</v>
      </c>
      <c r="K27" s="5">
        <v>-4640614.22</v>
      </c>
      <c r="L27" s="20"/>
      <c r="M27" s="16"/>
    </row>
    <row r="28" spans="1:17" x14ac:dyDescent="0.25">
      <c r="A28" t="s">
        <v>193</v>
      </c>
      <c r="B28" t="s">
        <v>190</v>
      </c>
      <c r="C28" t="s">
        <v>25</v>
      </c>
      <c r="D28" s="28">
        <v>-75897228.409999982</v>
      </c>
      <c r="E28" s="5"/>
      <c r="J28" s="16" t="s">
        <v>189</v>
      </c>
      <c r="K28" s="5">
        <v>-55846036.019999996</v>
      </c>
      <c r="M28" s="16" t="s">
        <v>189</v>
      </c>
      <c r="N28" s="5">
        <v>-25555495.519999996</v>
      </c>
      <c r="P28" s="23"/>
    </row>
    <row r="29" spans="1:17" x14ac:dyDescent="0.25">
      <c r="A29" s="16" t="s">
        <v>188</v>
      </c>
      <c r="B29" t="s">
        <v>186</v>
      </c>
      <c r="C29" t="s">
        <v>25</v>
      </c>
      <c r="D29" s="28">
        <v>-136912235.76999998</v>
      </c>
      <c r="E29" s="5"/>
      <c r="J29" s="16" t="s">
        <v>184</v>
      </c>
      <c r="K29" s="5">
        <v>-188089457.03999984</v>
      </c>
      <c r="L29" s="23"/>
      <c r="M29" s="16" t="s">
        <v>184</v>
      </c>
      <c r="N29" s="5">
        <v>-26722393.650000002</v>
      </c>
      <c r="Q29" s="16"/>
    </row>
    <row r="30" spans="1:17" x14ac:dyDescent="0.25">
      <c r="A30" t="s">
        <v>196</v>
      </c>
      <c r="B30" t="s">
        <v>192</v>
      </c>
      <c r="C30" t="s">
        <v>25</v>
      </c>
      <c r="D30" s="28">
        <v>-47534278.330000006</v>
      </c>
      <c r="E30" s="5"/>
      <c r="J30" s="16" t="s">
        <v>191</v>
      </c>
      <c r="K30" s="5">
        <v>-32437803.200000007</v>
      </c>
      <c r="L30" s="20"/>
      <c r="M30" s="16" t="s">
        <v>191</v>
      </c>
      <c r="N30" s="5">
        <v>-16436370.09</v>
      </c>
    </row>
    <row r="31" spans="1:17" x14ac:dyDescent="0.25">
      <c r="A31" t="s">
        <v>221</v>
      </c>
      <c r="B31" t="s">
        <v>198</v>
      </c>
      <c r="C31" t="s">
        <v>25</v>
      </c>
      <c r="D31" s="28">
        <v>-114988408.88000004</v>
      </c>
      <c r="J31" s="16" t="s">
        <v>197</v>
      </c>
      <c r="K31" s="5">
        <v>-41735452.470000006</v>
      </c>
      <c r="L31" s="20"/>
      <c r="M31" s="16" t="s">
        <v>197</v>
      </c>
      <c r="N31" s="5">
        <v>-25379962.859999996</v>
      </c>
    </row>
    <row r="32" spans="1:17" x14ac:dyDescent="0.25">
      <c r="A32" t="s">
        <v>203</v>
      </c>
      <c r="B32" t="s">
        <v>201</v>
      </c>
      <c r="C32" t="s">
        <v>25</v>
      </c>
      <c r="D32" s="28">
        <v>-68314787.599999979</v>
      </c>
      <c r="J32" s="16" t="s">
        <v>200</v>
      </c>
      <c r="K32" s="5">
        <v>-34689820.68</v>
      </c>
      <c r="L32" s="20"/>
      <c r="M32" s="16" t="s">
        <v>200</v>
      </c>
      <c r="N32" s="5">
        <v>-26428807.229999997</v>
      </c>
    </row>
    <row r="33" spans="1:14" x14ac:dyDescent="0.25">
      <c r="A33" t="s">
        <v>222</v>
      </c>
      <c r="B33" t="s">
        <v>223</v>
      </c>
      <c r="C33" t="s">
        <v>30</v>
      </c>
      <c r="D33" s="28"/>
      <c r="E33" s="5"/>
      <c r="J33" s="16"/>
      <c r="L33" s="20"/>
      <c r="M33" s="16"/>
    </row>
    <row r="34" spans="1:14" x14ac:dyDescent="0.25">
      <c r="E34" s="5"/>
      <c r="J34" s="16"/>
      <c r="L34" s="20"/>
    </row>
    <row r="35" spans="1:14" x14ac:dyDescent="0.25">
      <c r="L35" s="20"/>
    </row>
    <row r="36" spans="1:14" x14ac:dyDescent="0.25">
      <c r="F36" t="s">
        <v>89</v>
      </c>
    </row>
    <row r="37" spans="1:14" x14ac:dyDescent="0.25">
      <c r="A37" t="s">
        <v>3</v>
      </c>
      <c r="B37" t="s">
        <v>187</v>
      </c>
      <c r="C37" t="s">
        <v>30</v>
      </c>
      <c r="D37" s="5">
        <v>0</v>
      </c>
      <c r="F37" t="s">
        <v>90</v>
      </c>
    </row>
    <row r="38" spans="1:14" x14ac:dyDescent="0.25">
      <c r="A38" t="s">
        <v>87</v>
      </c>
      <c r="D38" s="5">
        <f>_xlfn.IFNA(VLOOKUP(A38,[1]Sheet2!$A$1:$B$730,2,0),0)</f>
        <v>-8096631.620000002</v>
      </c>
      <c r="F38" t="s">
        <v>91</v>
      </c>
    </row>
    <row r="39" spans="1:14" x14ac:dyDescent="0.25">
      <c r="A39" t="s">
        <v>88</v>
      </c>
      <c r="D39" s="5">
        <f>_xlfn.IFNA(VLOOKUP(A39,[1]Sheet2!$A$1:$B$730,2,0),0)</f>
        <v>-915885.27000000014</v>
      </c>
      <c r="F39" t="s">
        <v>92</v>
      </c>
    </row>
    <row r="40" spans="1:14" x14ac:dyDescent="0.25">
      <c r="A40" t="s">
        <v>89</v>
      </c>
      <c r="D40" s="5">
        <f>_xlfn.IFNA(VLOOKUP(A40,[1]Sheet2!$A$1:$B$730,2,0),0)</f>
        <v>-567692.13</v>
      </c>
      <c r="F40" t="s">
        <v>93</v>
      </c>
      <c r="M40" s="16"/>
    </row>
    <row r="41" spans="1:14" x14ac:dyDescent="0.25">
      <c r="A41" t="s">
        <v>90</v>
      </c>
      <c r="D41" s="5">
        <f>_xlfn.IFNA(VLOOKUP(A41,[1]Sheet2!$A$1:$B$730,2,0),0)</f>
        <v>-47.02</v>
      </c>
      <c r="F41" t="s">
        <v>94</v>
      </c>
      <c r="M41" s="16"/>
    </row>
    <row r="42" spans="1:14" x14ac:dyDescent="0.25">
      <c r="A42" t="s">
        <v>91</v>
      </c>
      <c r="D42" s="5">
        <f>_xlfn.IFNA(VLOOKUP(A42,[1]Sheet2!$A$1:$B$730,2,0),0)</f>
        <v>0</v>
      </c>
      <c r="F42" t="s">
        <v>95</v>
      </c>
      <c r="M42" s="16"/>
    </row>
    <row r="43" spans="1:14" x14ac:dyDescent="0.25">
      <c r="A43" t="s">
        <v>92</v>
      </c>
      <c r="D43" s="5">
        <f>_xlfn.IFNA(VLOOKUP(A43,[1]Sheet2!$A$1:$B$730,2,0),0)</f>
        <v>-142.79000000000002</v>
      </c>
      <c r="F43" t="s">
        <v>96</v>
      </c>
    </row>
    <row r="44" spans="1:14" x14ac:dyDescent="0.25">
      <c r="A44" t="s">
        <v>93</v>
      </c>
      <c r="D44" s="5">
        <f>_xlfn.IFNA(VLOOKUP(A44,[1]Sheet2!$A$1:$B$730,2,0),0)</f>
        <v>-3090101.6899999995</v>
      </c>
      <c r="F44" t="s">
        <v>97</v>
      </c>
    </row>
    <row r="45" spans="1:14" x14ac:dyDescent="0.25">
      <c r="A45" t="s">
        <v>94</v>
      </c>
      <c r="D45" s="5">
        <f>_xlfn.IFNA(VLOOKUP(A45,[1]Sheet2!$A$1:$B$730,2,0),0)</f>
        <v>-37322925.299999975</v>
      </c>
      <c r="F45" t="s">
        <v>98</v>
      </c>
      <c r="M45" s="23"/>
      <c r="N45" s="7"/>
    </row>
    <row r="46" spans="1:14" x14ac:dyDescent="0.25">
      <c r="A46" t="s">
        <v>95</v>
      </c>
      <c r="D46" s="5">
        <f>_xlfn.IFNA(VLOOKUP(A46,[1]Sheet2!$A$1:$B$730,2,0),0)</f>
        <v>-19473.099999999995</v>
      </c>
      <c r="F46" t="s">
        <v>99</v>
      </c>
    </row>
    <row r="47" spans="1:14" x14ac:dyDescent="0.25">
      <c r="A47" t="s">
        <v>96</v>
      </c>
      <c r="D47" s="5">
        <f>_xlfn.IFNA(VLOOKUP(A47,[1]Sheet2!$A$1:$B$730,2,0),0)</f>
        <v>-16088829.240000004</v>
      </c>
      <c r="F47" t="s">
        <v>100</v>
      </c>
    </row>
    <row r="48" spans="1:14" x14ac:dyDescent="0.25">
      <c r="A48" t="s">
        <v>97</v>
      </c>
      <c r="D48" s="5">
        <f>_xlfn.IFNA(VLOOKUP(A48,[1]Sheet2!$A$1:$B$730,2,0),0)</f>
        <v>-10521304.209999999</v>
      </c>
      <c r="F48" t="s">
        <v>101</v>
      </c>
    </row>
    <row r="49" spans="1:13" x14ac:dyDescent="0.25">
      <c r="A49" t="s">
        <v>98</v>
      </c>
      <c r="D49" s="5">
        <f>_xlfn.IFNA(VLOOKUP(A49,[1]Sheet2!$A$1:$B$730,2,0),0)</f>
        <v>-25728394.100000024</v>
      </c>
      <c r="F49" t="s">
        <v>102</v>
      </c>
    </row>
    <row r="50" spans="1:13" x14ac:dyDescent="0.25">
      <c r="A50" t="s">
        <v>99</v>
      </c>
      <c r="D50" s="5">
        <f>_xlfn.IFNA(VLOOKUP(A50,[1]Sheet2!$A$1:$B$730,2,0),0)</f>
        <v>-11494400.819999998</v>
      </c>
      <c r="F50" t="s">
        <v>103</v>
      </c>
    </row>
    <row r="51" spans="1:13" x14ac:dyDescent="0.25">
      <c r="A51" t="s">
        <v>100</v>
      </c>
      <c r="D51" s="5">
        <f>_xlfn.IFNA(VLOOKUP(A51,[1]Sheet2!$A$1:$B$730,2,0),0)</f>
        <v>-8576.35</v>
      </c>
      <c r="F51" t="s">
        <v>104</v>
      </c>
      <c r="M51" s="16"/>
    </row>
    <row r="52" spans="1:13" x14ac:dyDescent="0.25">
      <c r="A52" t="s">
        <v>101</v>
      </c>
      <c r="D52" s="5">
        <f>_xlfn.IFNA(VLOOKUP(A52,[1]Sheet2!$A$1:$B$730,2,0),0)</f>
        <v>-155507.10000000009</v>
      </c>
      <c r="F52" t="s">
        <v>105</v>
      </c>
      <c r="M52" s="16"/>
    </row>
    <row r="53" spans="1:13" x14ac:dyDescent="0.25">
      <c r="A53" t="s">
        <v>102</v>
      </c>
      <c r="D53" s="5">
        <f>_xlfn.IFNA(VLOOKUP(A53,[1]Sheet2!$A$1:$B$730,2,0),0)</f>
        <v>-3761.6500000000005</v>
      </c>
      <c r="F53" t="s">
        <v>106</v>
      </c>
      <c r="M53" s="16"/>
    </row>
    <row r="54" spans="1:13" x14ac:dyDescent="0.25">
      <c r="A54" t="s">
        <v>103</v>
      </c>
      <c r="D54" s="5">
        <f>_xlfn.IFNA(VLOOKUP(A54,[1]Sheet2!$A$1:$B$730,2,0),0)</f>
        <v>-20432842.009999983</v>
      </c>
      <c r="F54" t="s">
        <v>107</v>
      </c>
    </row>
    <row r="55" spans="1:13" x14ac:dyDescent="0.25">
      <c r="A55" t="s">
        <v>104</v>
      </c>
      <c r="D55" s="5">
        <f>_xlfn.IFNA(VLOOKUP(A55,[1]Sheet2!$A$1:$B$730,2,0),0)</f>
        <v>-1958.1100000000001</v>
      </c>
      <c r="F55" t="s">
        <v>108</v>
      </c>
      <c r="M55" s="16"/>
    </row>
    <row r="56" spans="1:13" x14ac:dyDescent="0.25">
      <c r="A56" t="s">
        <v>105</v>
      </c>
      <c r="D56" s="5">
        <f>_xlfn.IFNA(VLOOKUP(A56,[1]Sheet2!$A$1:$B$730,2,0),0)</f>
        <v>-70599.200000000041</v>
      </c>
      <c r="F56" t="s">
        <v>109</v>
      </c>
      <c r="M56" s="16"/>
    </row>
    <row r="57" spans="1:13" x14ac:dyDescent="0.25">
      <c r="A57" t="s">
        <v>106</v>
      </c>
      <c r="D57" s="5">
        <f>_xlfn.IFNA(VLOOKUP(A57,[1]Sheet2!$A$1:$B$730,2,0),0)</f>
        <v>-1740.22</v>
      </c>
      <c r="F57" t="s">
        <v>110</v>
      </c>
      <c r="M57" s="16"/>
    </row>
    <row r="58" spans="1:13" x14ac:dyDescent="0.25">
      <c r="A58" t="s">
        <v>107</v>
      </c>
      <c r="D58" s="5">
        <f>_xlfn.IFNA(VLOOKUP(A58,[1]Sheet2!$A$1:$B$730,2,0),0)</f>
        <v>-2087.83</v>
      </c>
      <c r="F58" t="s">
        <v>111</v>
      </c>
      <c r="M58" s="16"/>
    </row>
    <row r="59" spans="1:13" x14ac:dyDescent="0.25">
      <c r="A59" t="s">
        <v>108</v>
      </c>
      <c r="D59" s="5">
        <f>_xlfn.IFNA(VLOOKUP(A59,[1]Sheet2!$A$1:$B$730,2,0),0)</f>
        <v>-1644.49</v>
      </c>
      <c r="F59" t="s">
        <v>112</v>
      </c>
      <c r="M59" s="16"/>
    </row>
    <row r="60" spans="1:13" x14ac:dyDescent="0.25">
      <c r="A60" t="s">
        <v>109</v>
      </c>
      <c r="D60" s="5">
        <f>_xlfn.IFNA(VLOOKUP(A60,[1]Sheet2!$A$1:$B$730,2,0),0)</f>
        <v>-1505.89</v>
      </c>
      <c r="F60" t="s">
        <v>113</v>
      </c>
      <c r="M60" s="16"/>
    </row>
    <row r="61" spans="1:13" x14ac:dyDescent="0.25">
      <c r="A61" t="s">
        <v>110</v>
      </c>
      <c r="D61" s="5">
        <f>_xlfn.IFNA(VLOOKUP(A61,[1]Sheet2!$A$1:$B$730,2,0),0)</f>
        <v>-1605.7</v>
      </c>
      <c r="F61" t="s">
        <v>114</v>
      </c>
      <c r="M61" s="16"/>
    </row>
    <row r="62" spans="1:13" x14ac:dyDescent="0.25">
      <c r="A62" t="s">
        <v>111</v>
      </c>
      <c r="D62" s="5">
        <f>_xlfn.IFNA(VLOOKUP(A62,[1]Sheet2!$A$1:$B$730,2,0),0)</f>
        <v>-2758.01</v>
      </c>
      <c r="F62" t="s">
        <v>115</v>
      </c>
      <c r="M62" s="16"/>
    </row>
    <row r="63" spans="1:13" x14ac:dyDescent="0.25">
      <c r="A63" t="s">
        <v>112</v>
      </c>
      <c r="D63" s="5">
        <f>_xlfn.IFNA(VLOOKUP(A63,[1]Sheet2!$A$1:$B$730,2,0),0)</f>
        <v>-1475.16</v>
      </c>
      <c r="F63" t="s">
        <v>116</v>
      </c>
      <c r="M63" s="16"/>
    </row>
    <row r="64" spans="1:13" x14ac:dyDescent="0.25">
      <c r="A64" t="s">
        <v>113</v>
      </c>
      <c r="D64" s="5">
        <f>_xlfn.IFNA(VLOOKUP(A64,[1]Sheet2!$A$1:$B$730,2,0),0)</f>
        <v>-1625.16</v>
      </c>
      <c r="F64" t="s">
        <v>117</v>
      </c>
      <c r="M64" s="16"/>
    </row>
    <row r="65" spans="1:13" x14ac:dyDescent="0.25">
      <c r="A65" t="s">
        <v>114</v>
      </c>
      <c r="D65" s="5">
        <f>_xlfn.IFNA(VLOOKUP(A65,[1]Sheet2!$A$1:$B$730,2,0),0)</f>
        <v>-579.68999999999983</v>
      </c>
      <c r="F65" t="s">
        <v>118</v>
      </c>
      <c r="M65" s="16"/>
    </row>
    <row r="66" spans="1:13" x14ac:dyDescent="0.25">
      <c r="A66" t="s">
        <v>115</v>
      </c>
      <c r="D66" s="5">
        <f>_xlfn.IFNA(VLOOKUP(A66,[1]Sheet2!$A$1:$B$730,2,0),0)</f>
        <v>-1209.0000000000002</v>
      </c>
      <c r="F66" t="s">
        <v>119</v>
      </c>
      <c r="M66" s="16"/>
    </row>
    <row r="67" spans="1:13" x14ac:dyDescent="0.25">
      <c r="A67" t="s">
        <v>116</v>
      </c>
      <c r="D67" s="5">
        <f>_xlfn.IFNA(VLOOKUP(A67,[1]Sheet2!$A$1:$B$730,2,0),0)</f>
        <v>-644373.75999999989</v>
      </c>
      <c r="F67" t="s">
        <v>120</v>
      </c>
      <c r="M67" s="16"/>
    </row>
    <row r="68" spans="1:13" x14ac:dyDescent="0.25">
      <c r="A68" t="s">
        <v>117</v>
      </c>
      <c r="D68" s="5">
        <f>_xlfn.IFNA(VLOOKUP(A68,[1]Sheet2!$A$1:$B$730,2,0),0)</f>
        <v>-45140.160000000003</v>
      </c>
      <c r="F68" t="s">
        <v>121</v>
      </c>
      <c r="M68" s="16"/>
    </row>
    <row r="69" spans="1:13" x14ac:dyDescent="0.25">
      <c r="A69" t="s">
        <v>118</v>
      </c>
      <c r="D69" s="5">
        <f>_xlfn.IFNA(VLOOKUP(A69,[1]Sheet2!$A$1:$B$730,2,0),0)</f>
        <v>-125570.52999999998</v>
      </c>
      <c r="F69" t="s">
        <v>122</v>
      </c>
      <c r="M69" s="16"/>
    </row>
    <row r="70" spans="1:13" x14ac:dyDescent="0.25">
      <c r="A70" t="s">
        <v>119</v>
      </c>
      <c r="D70" s="5">
        <f>_xlfn.IFNA(VLOOKUP(A70,[1]Sheet2!$A$1:$B$730,2,0),0)</f>
        <v>-191358.46000000005</v>
      </c>
      <c r="F70" t="s">
        <v>123</v>
      </c>
      <c r="M70" s="16"/>
    </row>
    <row r="71" spans="1:13" x14ac:dyDescent="0.25">
      <c r="A71" t="s">
        <v>120</v>
      </c>
      <c r="D71" s="5">
        <f>_xlfn.IFNA(VLOOKUP(A71,[1]Sheet2!$A$1:$B$730,2,0),0)</f>
        <v>-223659.39000000007</v>
      </c>
      <c r="F71" t="s">
        <v>124</v>
      </c>
      <c r="M71" s="16"/>
    </row>
    <row r="72" spans="1:13" x14ac:dyDescent="0.25">
      <c r="A72" t="s">
        <v>121</v>
      </c>
      <c r="D72" s="5">
        <f>_xlfn.IFNA(VLOOKUP(A72,[1]Sheet2!$A$1:$B$730,2,0),0)</f>
        <v>-192176.77999999997</v>
      </c>
      <c r="F72" t="s">
        <v>125</v>
      </c>
      <c r="M72" s="16"/>
    </row>
    <row r="73" spans="1:13" x14ac:dyDescent="0.25">
      <c r="A73" t="s">
        <v>122</v>
      </c>
      <c r="D73" s="5">
        <f>_xlfn.IFNA(VLOOKUP(A73,[1]Sheet2!$A$1:$B$730,2,0),0)</f>
        <v>-1323.0099999999998</v>
      </c>
      <c r="F73" t="s">
        <v>126</v>
      </c>
    </row>
    <row r="74" spans="1:13" x14ac:dyDescent="0.25">
      <c r="A74" t="s">
        <v>123</v>
      </c>
      <c r="D74" s="5">
        <f>_xlfn.IFNA(VLOOKUP(A74,[1]Sheet2!$A$1:$B$730,2,0),0)</f>
        <v>-350635.67999999988</v>
      </c>
      <c r="F74" t="s">
        <v>127</v>
      </c>
    </row>
    <row r="75" spans="1:13" x14ac:dyDescent="0.25">
      <c r="A75" t="s">
        <v>124</v>
      </c>
      <c r="D75" s="5">
        <f>_xlfn.IFNA(VLOOKUP(A75,[1]Sheet2!$A$1:$B$730,2,0),0)</f>
        <v>-182908.58999999997</v>
      </c>
      <c r="F75" t="s">
        <v>128</v>
      </c>
    </row>
    <row r="76" spans="1:13" x14ac:dyDescent="0.25">
      <c r="A76" t="s">
        <v>125</v>
      </c>
      <c r="D76" s="5">
        <f>_xlfn.IFNA(VLOOKUP(A76,[1]Sheet2!$A$1:$B$730,2,0),0)</f>
        <v>-1379157.7200000009</v>
      </c>
      <c r="F76" t="s">
        <v>129</v>
      </c>
    </row>
    <row r="77" spans="1:13" x14ac:dyDescent="0.25">
      <c r="A77" t="s">
        <v>126</v>
      </c>
      <c r="D77" s="5">
        <f>_xlfn.IFNA(VLOOKUP(A77,[1]Sheet2!$A$1:$B$730,2,0),0)</f>
        <v>-1481691.5300000005</v>
      </c>
      <c r="F77" t="s">
        <v>130</v>
      </c>
    </row>
    <row r="78" spans="1:13" x14ac:dyDescent="0.25">
      <c r="A78" t="s">
        <v>127</v>
      </c>
      <c r="D78" s="5">
        <f>_xlfn.IFNA(VLOOKUP(A78,[1]Sheet2!$A$1:$B$730,2,0),0)</f>
        <v>-2446438.419999999</v>
      </c>
      <c r="F78" t="s">
        <v>131</v>
      </c>
    </row>
    <row r="79" spans="1:13" x14ac:dyDescent="0.25">
      <c r="A79" t="s">
        <v>128</v>
      </c>
      <c r="D79" s="5">
        <f>_xlfn.IFNA(VLOOKUP(A79,[1]Sheet2!$A$1:$B$730,2,0),0)</f>
        <v>-3217942.01</v>
      </c>
      <c r="F79" t="s">
        <v>132</v>
      </c>
    </row>
    <row r="80" spans="1:13" x14ac:dyDescent="0.25">
      <c r="A80" t="s">
        <v>129</v>
      </c>
      <c r="D80" s="5">
        <f>_xlfn.IFNA(VLOOKUP(A80,[1]Sheet2!$A$1:$B$730,2,0),0)</f>
        <v>-4047481.4800000009</v>
      </c>
      <c r="F80" t="s">
        <v>133</v>
      </c>
    </row>
    <row r="81" spans="1:6" x14ac:dyDescent="0.25">
      <c r="A81" t="s">
        <v>130</v>
      </c>
      <c r="D81" s="5">
        <f>_xlfn.IFNA(VLOOKUP(A81,[1]Sheet2!$A$1:$B$730,2,0),0)</f>
        <v>-15247022.630000001</v>
      </c>
      <c r="F81" t="s">
        <v>134</v>
      </c>
    </row>
    <row r="82" spans="1:6" x14ac:dyDescent="0.25">
      <c r="A82" t="s">
        <v>131</v>
      </c>
      <c r="D82" s="5">
        <f>_xlfn.IFNA(VLOOKUP(A82,[1]Sheet2!$A$1:$B$730,2,0),0)</f>
        <v>-916591.71999999974</v>
      </c>
      <c r="F82" t="s">
        <v>135</v>
      </c>
    </row>
    <row r="83" spans="1:6" x14ac:dyDescent="0.25">
      <c r="A83" t="s">
        <v>132</v>
      </c>
      <c r="D83" s="5">
        <f>_xlfn.IFNA(VLOOKUP(A83,[1]Sheet2!$A$1:$B$730,2,0),0)</f>
        <v>-14572498.070000004</v>
      </c>
      <c r="F83" t="s">
        <v>136</v>
      </c>
    </row>
    <row r="84" spans="1:6" x14ac:dyDescent="0.25">
      <c r="A84" t="s">
        <v>133</v>
      </c>
      <c r="D84" s="5">
        <f>_xlfn.IFNA(VLOOKUP(A84,[1]Sheet2!$A$1:$B$730,2,0),0)</f>
        <v>-334707.83</v>
      </c>
      <c r="F84" t="s">
        <v>137</v>
      </c>
    </row>
    <row r="85" spans="1:6" x14ac:dyDescent="0.25">
      <c r="A85" t="s">
        <v>134</v>
      </c>
      <c r="D85" s="5">
        <f>_xlfn.IFNA(VLOOKUP(A85,[1]Sheet2!$A$1:$B$730,2,0),0)</f>
        <v>-88153187.509999931</v>
      </c>
      <c r="F85" t="s">
        <v>138</v>
      </c>
    </row>
    <row r="86" spans="1:6" x14ac:dyDescent="0.25">
      <c r="A86" t="s">
        <v>135</v>
      </c>
      <c r="D86" s="5">
        <f>_xlfn.IFNA(VLOOKUP(A86,[1]Sheet2!$A$1:$B$730,2,0),0)</f>
        <v>-17807.07</v>
      </c>
      <c r="F86" t="s">
        <v>139</v>
      </c>
    </row>
    <row r="87" spans="1:6" x14ac:dyDescent="0.25">
      <c r="A87" t="s">
        <v>136</v>
      </c>
      <c r="D87" s="5">
        <f>_xlfn.IFNA(VLOOKUP(A87,[1]Sheet2!$A$1:$B$730,2,0),0)</f>
        <v>-5593987.6700000074</v>
      </c>
      <c r="F87" t="s">
        <v>140</v>
      </c>
    </row>
    <row r="88" spans="1:6" x14ac:dyDescent="0.25">
      <c r="A88" t="s">
        <v>137</v>
      </c>
      <c r="D88" s="5">
        <f>_xlfn.IFNA(VLOOKUP(A88,[1]Sheet2!$A$1:$B$730,2,0),0)</f>
        <v>-3653577.2099999986</v>
      </c>
      <c r="F88" t="s">
        <v>141</v>
      </c>
    </row>
    <row r="89" spans="1:6" x14ac:dyDescent="0.25">
      <c r="A89" t="s">
        <v>138</v>
      </c>
      <c r="D89" s="5">
        <f>_xlfn.IFNA(VLOOKUP(A89,[1]Sheet2!$A$1:$B$730,2,0),0)</f>
        <v>-140886179.43999982</v>
      </c>
      <c r="F89" t="s">
        <v>142</v>
      </c>
    </row>
    <row r="90" spans="1:6" x14ac:dyDescent="0.25">
      <c r="A90" t="s">
        <v>139</v>
      </c>
      <c r="D90" s="5">
        <f>_xlfn.IFNA(VLOOKUP(A90,[1]Sheet2!$A$1:$B$730,2,0),0)</f>
        <v>-24530124.020000018</v>
      </c>
      <c r="F90" t="s">
        <v>143</v>
      </c>
    </row>
    <row r="91" spans="1:6" x14ac:dyDescent="0.25">
      <c r="A91" t="s">
        <v>140</v>
      </c>
      <c r="D91" s="5">
        <f>_xlfn.IFNA(VLOOKUP(A91,[1]Sheet2!$A$1:$B$730,2,0),0)</f>
        <v>-4452670.4599999981</v>
      </c>
      <c r="F91" t="s">
        <v>144</v>
      </c>
    </row>
    <row r="92" spans="1:6" x14ac:dyDescent="0.25">
      <c r="A92" t="s">
        <v>141</v>
      </c>
      <c r="D92" s="5">
        <f>_xlfn.IFNA(VLOOKUP(A92,[1]Sheet2!$A$1:$B$730,2,0),0)</f>
        <v>-763040.60000000009</v>
      </c>
      <c r="F92" t="s">
        <v>145</v>
      </c>
    </row>
    <row r="93" spans="1:6" x14ac:dyDescent="0.25">
      <c r="A93" t="s">
        <v>142</v>
      </c>
      <c r="D93" s="5">
        <f>_xlfn.IFNA(VLOOKUP(A93,[1]Sheet2!$A$1:$B$730,2,0),0)</f>
        <v>-9845561.4600000009</v>
      </c>
      <c r="F93" t="s">
        <v>146</v>
      </c>
    </row>
    <row r="94" spans="1:6" x14ac:dyDescent="0.25">
      <c r="A94" t="s">
        <v>143</v>
      </c>
      <c r="D94" s="5">
        <f>_xlfn.IFNA(VLOOKUP(A94,[1]Sheet2!$A$1:$B$730,2,0),0)</f>
        <v>-373108.55999999994</v>
      </c>
      <c r="F94" t="s">
        <v>147</v>
      </c>
    </row>
    <row r="95" spans="1:6" x14ac:dyDescent="0.25">
      <c r="A95" t="s">
        <v>144</v>
      </c>
      <c r="D95" s="5">
        <f>_xlfn.IFNA(VLOOKUP(A95,[1]Sheet2!$A$1:$B$730,2,0),0)</f>
        <v>-9380704.6199999899</v>
      </c>
      <c r="F95" t="s">
        <v>148</v>
      </c>
    </row>
    <row r="96" spans="1:6" x14ac:dyDescent="0.25">
      <c r="A96" t="s">
        <v>145</v>
      </c>
      <c r="D96" s="5">
        <f>_xlfn.IFNA(VLOOKUP(A96,[1]Sheet2!$A$1:$B$730,2,0),0)</f>
        <v>-4628998.620000001</v>
      </c>
      <c r="F96" t="s">
        <v>149</v>
      </c>
    </row>
    <row r="97" spans="1:6" x14ac:dyDescent="0.25">
      <c r="A97" t="s">
        <v>146</v>
      </c>
      <c r="D97" s="5">
        <f>_xlfn.IFNA(VLOOKUP(A97,[1]Sheet2!$A$1:$B$730,2,0),0)</f>
        <v>-188585.52999999974</v>
      </c>
      <c r="F97" t="s">
        <v>150</v>
      </c>
    </row>
    <row r="98" spans="1:6" x14ac:dyDescent="0.25">
      <c r="A98" t="s">
        <v>147</v>
      </c>
      <c r="D98" s="5">
        <f>_xlfn.IFNA(VLOOKUP(A98,[1]Sheet2!$A$1:$B$730,2,0),0)</f>
        <v>-444459.29000000004</v>
      </c>
      <c r="F98" t="s">
        <v>151</v>
      </c>
    </row>
    <row r="99" spans="1:6" x14ac:dyDescent="0.25">
      <c r="A99" t="s">
        <v>148</v>
      </c>
      <c r="D99" s="5">
        <f>_xlfn.IFNA(VLOOKUP(A99,[1]Sheet2!$A$1:$B$730,2,0),0)</f>
        <v>-34928.270000000019</v>
      </c>
      <c r="F99" t="s">
        <v>152</v>
      </c>
    </row>
    <row r="100" spans="1:6" x14ac:dyDescent="0.25">
      <c r="A100" t="s">
        <v>149</v>
      </c>
      <c r="D100" s="5">
        <f>_xlfn.IFNA(VLOOKUP(A100,[1]Sheet2!$A$1:$B$730,2,0),0)</f>
        <v>0</v>
      </c>
      <c r="F100" t="s">
        <v>153</v>
      </c>
    </row>
    <row r="101" spans="1:6" x14ac:dyDescent="0.25">
      <c r="A101" t="s">
        <v>150</v>
      </c>
      <c r="D101" s="5">
        <f>_xlfn.IFNA(VLOOKUP(A101,[1]Sheet2!$A$1:$B$730,2,0),0)</f>
        <v>-601.20000000000005</v>
      </c>
      <c r="F101" t="s">
        <v>154</v>
      </c>
    </row>
    <row r="102" spans="1:6" x14ac:dyDescent="0.25">
      <c r="A102" t="s">
        <v>151</v>
      </c>
      <c r="D102" s="5">
        <f>_xlfn.IFNA(VLOOKUP(A102,[1]Sheet2!$A$1:$B$730,2,0),0)</f>
        <v>-168708.38</v>
      </c>
      <c r="F102" t="s">
        <v>155</v>
      </c>
    </row>
    <row r="103" spans="1:6" x14ac:dyDescent="0.25">
      <c r="A103" t="s">
        <v>152</v>
      </c>
      <c r="D103" s="5">
        <f>_xlfn.IFNA(VLOOKUP(A103,[1]Sheet2!$A$1:$B$730,2,0),0)</f>
        <v>-46829.119999999995</v>
      </c>
      <c r="F103" t="s">
        <v>156</v>
      </c>
    </row>
    <row r="104" spans="1:6" x14ac:dyDescent="0.25">
      <c r="A104" t="s">
        <v>153</v>
      </c>
      <c r="D104" s="5">
        <f>_xlfn.IFNA(VLOOKUP(A104,[1]Sheet2!$A$1:$B$730,2,0),0)</f>
        <v>-23964450.97000001</v>
      </c>
      <c r="F104" t="s">
        <v>157</v>
      </c>
    </row>
    <row r="105" spans="1:6" x14ac:dyDescent="0.25">
      <c r="A105" t="s">
        <v>154</v>
      </c>
      <c r="D105" s="5">
        <f>_xlfn.IFNA(VLOOKUP(A105,[1]Sheet2!$A$1:$B$730,2,0),0)</f>
        <v>-175122.56999999992</v>
      </c>
      <c r="F105" t="s">
        <v>158</v>
      </c>
    </row>
    <row r="106" spans="1:6" x14ac:dyDescent="0.25">
      <c r="A106" t="s">
        <v>155</v>
      </c>
      <c r="D106" s="5">
        <f>_xlfn.IFNA(VLOOKUP(A106,[1]Sheet2!$A$1:$B$730,2,0),0)</f>
        <v>1008111.8999999951</v>
      </c>
      <c r="F106" t="s">
        <v>159</v>
      </c>
    </row>
    <row r="107" spans="1:6" x14ac:dyDescent="0.25">
      <c r="A107" t="s">
        <v>156</v>
      </c>
      <c r="D107" s="5">
        <f>_xlfn.IFNA(VLOOKUP(A107,[1]Sheet2!$A$1:$B$730,2,0),0)</f>
        <v>-74993.419999999984</v>
      </c>
      <c r="F107" t="s">
        <v>160</v>
      </c>
    </row>
    <row r="108" spans="1:6" x14ac:dyDescent="0.25">
      <c r="A108" t="s">
        <v>157</v>
      </c>
      <c r="D108" s="5">
        <f>_xlfn.IFNA(VLOOKUP(A108,[1]Sheet2!$A$1:$B$730,2,0),0)</f>
        <v>-10665889.520000003</v>
      </c>
      <c r="F108" t="s">
        <v>161</v>
      </c>
    </row>
    <row r="109" spans="1:6" x14ac:dyDescent="0.25">
      <c r="A109" t="s">
        <v>158</v>
      </c>
      <c r="D109" s="5">
        <f>_xlfn.IFNA(VLOOKUP(A109,[1]Sheet2!$A$1:$B$730,2,0),0)</f>
        <v>-4429190.5399999972</v>
      </c>
      <c r="F109" t="s">
        <v>162</v>
      </c>
    </row>
    <row r="110" spans="1:6" x14ac:dyDescent="0.25">
      <c r="A110" t="s">
        <v>159</v>
      </c>
      <c r="D110" s="5">
        <f>_xlfn.IFNA(VLOOKUP(A110,[1]Sheet2!$A$1:$B$730,2,0),0)</f>
        <v>-86443.800000000032</v>
      </c>
      <c r="F110" t="s">
        <v>163</v>
      </c>
    </row>
    <row r="111" spans="1:6" x14ac:dyDescent="0.25">
      <c r="A111" t="s">
        <v>160</v>
      </c>
      <c r="D111" s="5">
        <f>_xlfn.IFNA(VLOOKUP(A111,[1]Sheet2!$A$1:$B$730,2,0),0)</f>
        <v>-143446.35999999946</v>
      </c>
      <c r="F111" t="s">
        <v>164</v>
      </c>
    </row>
    <row r="112" spans="1:6" x14ac:dyDescent="0.25">
      <c r="A112" t="s">
        <v>161</v>
      </c>
      <c r="D112" s="5">
        <f>_xlfn.IFNA(VLOOKUP(A112,[1]Sheet2!$A$1:$B$730,2,0),0)</f>
        <v>-112084.45</v>
      </c>
      <c r="F112" t="s">
        <v>165</v>
      </c>
    </row>
    <row r="113" spans="1:6" x14ac:dyDescent="0.25">
      <c r="A113" t="s">
        <v>162</v>
      </c>
      <c r="D113" s="5">
        <f>_xlfn.IFNA(VLOOKUP(A113,[1]Sheet2!$A$1:$B$730,2,0),0)</f>
        <v>-940623.65999999968</v>
      </c>
      <c r="F113" t="s">
        <v>166</v>
      </c>
    </row>
    <row r="114" spans="1:6" x14ac:dyDescent="0.25">
      <c r="A114" t="s">
        <v>163</v>
      </c>
      <c r="D114" s="5">
        <f>_xlfn.IFNA(VLOOKUP(A114,[1]Sheet2!$A$1:$B$730,2,0),0)</f>
        <v>-1652714.3599999989</v>
      </c>
      <c r="F114" t="s">
        <v>167</v>
      </c>
    </row>
    <row r="115" spans="1:6" x14ac:dyDescent="0.25">
      <c r="A115" t="s">
        <v>164</v>
      </c>
      <c r="D115" s="5">
        <f>_xlfn.IFNA(VLOOKUP(A115,[1]Sheet2!$A$1:$B$730,2,0),0)</f>
        <v>-17940993.880000018</v>
      </c>
      <c r="F115" t="s">
        <v>168</v>
      </c>
    </row>
    <row r="116" spans="1:6" x14ac:dyDescent="0.25">
      <c r="A116" t="s">
        <v>165</v>
      </c>
      <c r="D116" s="5">
        <f>_xlfn.IFNA(VLOOKUP(A116,[1]Sheet2!$A$1:$B$730,2,0),0)</f>
        <v>-1681571.7899999993</v>
      </c>
      <c r="F116" t="s">
        <v>169</v>
      </c>
    </row>
    <row r="117" spans="1:6" x14ac:dyDescent="0.25">
      <c r="A117" t="s">
        <v>166</v>
      </c>
      <c r="D117" s="5">
        <f>_xlfn.IFNA(VLOOKUP(A117,[1]Sheet2!$A$1:$B$730,2,0),0)</f>
        <v>-66777686.989999987</v>
      </c>
      <c r="F117" t="s">
        <v>170</v>
      </c>
    </row>
    <row r="118" spans="1:6" x14ac:dyDescent="0.25">
      <c r="A118" t="s">
        <v>167</v>
      </c>
      <c r="D118" s="5">
        <f>_xlfn.IFNA(VLOOKUP(A118,[1]Sheet2!$A$1:$B$730,2,0),0)</f>
        <v>-40659051.159999982</v>
      </c>
      <c r="F118" t="s">
        <v>171</v>
      </c>
    </row>
    <row r="119" spans="1:6" x14ac:dyDescent="0.25">
      <c r="A119" t="s">
        <v>168</v>
      </c>
      <c r="D119" s="5">
        <f>_xlfn.IFNA(VLOOKUP(A119,[1]Sheet2!$A$1:$B$730,2,0),0)</f>
        <v>-340502.77</v>
      </c>
      <c r="F119" t="s">
        <v>172</v>
      </c>
    </row>
    <row r="120" spans="1:6" x14ac:dyDescent="0.25">
      <c r="A120" t="s">
        <v>169</v>
      </c>
      <c r="D120" s="5">
        <f>_xlfn.IFNA(VLOOKUP(A120,[1]Sheet2!$A$1:$B$730,2,0),0)</f>
        <v>-614112.52</v>
      </c>
      <c r="F120" t="s">
        <v>173</v>
      </c>
    </row>
    <row r="121" spans="1:6" x14ac:dyDescent="0.25">
      <c r="A121" t="s">
        <v>170</v>
      </c>
      <c r="D121" s="5">
        <f>_xlfn.IFNA(VLOOKUP(A121,[1]Sheet2!$A$1:$B$730,2,0),0)</f>
        <v>-514722.49999999988</v>
      </c>
      <c r="F121" t="s">
        <v>174</v>
      </c>
    </row>
    <row r="122" spans="1:6" x14ac:dyDescent="0.25">
      <c r="A122" t="s">
        <v>171</v>
      </c>
      <c r="D122" s="5">
        <f>_xlfn.IFNA(VLOOKUP(A122,[1]Sheet2!$A$1:$B$730,2,0),0)</f>
        <v>-523806.44999999984</v>
      </c>
      <c r="F122" t="s">
        <v>175</v>
      </c>
    </row>
    <row r="123" spans="1:6" x14ac:dyDescent="0.25">
      <c r="A123" t="s">
        <v>172</v>
      </c>
      <c r="D123" s="5">
        <f>_xlfn.IFNA(VLOOKUP(A123,[1]Sheet2!$A$1:$B$730,2,0),0)</f>
        <v>-905874.80999999994</v>
      </c>
      <c r="F123" t="s">
        <v>176</v>
      </c>
    </row>
    <row r="124" spans="1:6" x14ac:dyDescent="0.25">
      <c r="A124" t="s">
        <v>173</v>
      </c>
      <c r="D124" s="5">
        <f>_xlfn.IFNA(VLOOKUP(A124,[1]Sheet2!$A$1:$B$730,2,0),0)</f>
        <v>-32352755.369999997</v>
      </c>
      <c r="F124" t="s">
        <v>115</v>
      </c>
    </row>
    <row r="125" spans="1:6" x14ac:dyDescent="0.25">
      <c r="A125" t="s">
        <v>174</v>
      </c>
      <c r="D125" s="5">
        <f>_xlfn.IFNA(VLOOKUP(A125,[1]Sheet2!$A$1:$B$730,2,0),0)</f>
        <v>-681.71</v>
      </c>
    </row>
    <row r="126" spans="1:6" x14ac:dyDescent="0.25">
      <c r="A126" t="s">
        <v>175</v>
      </c>
      <c r="D126" s="5">
        <f>_xlfn.IFNA(VLOOKUP(A126,[1]Sheet2!$A$1:$B$730,2,0),0)</f>
        <v>-668763.87000000011</v>
      </c>
    </row>
    <row r="127" spans="1:6" x14ac:dyDescent="0.25">
      <c r="A127" t="s">
        <v>176</v>
      </c>
      <c r="D127" s="5">
        <f>_xlfn.IFNA(VLOOKUP(A127,[1]Sheet2!$A$1:$B$730,2,0),0)</f>
        <v>-673150.85</v>
      </c>
    </row>
    <row r="128" spans="1:6" x14ac:dyDescent="0.25">
      <c r="A128" t="s">
        <v>195</v>
      </c>
      <c r="D128" s="5">
        <f>_xlfn.IFNA(VLOOKUP(A128,[1]Sheet2!$A$1:$B$730,2,0),0)</f>
        <v>8885720.7199999932</v>
      </c>
    </row>
    <row r="129" spans="1:4" x14ac:dyDescent="0.25">
      <c r="A129" s="16" t="s">
        <v>205</v>
      </c>
      <c r="D129" s="5">
        <f>_xlfn.IFNA(VLOOKUP(A129,[1]Sheet2!$A$1:$B$730,2,0),0)</f>
        <v>6517412.1099999938</v>
      </c>
    </row>
    <row r="130" spans="1:4" x14ac:dyDescent="0.25">
      <c r="A130" s="16" t="s">
        <v>206</v>
      </c>
      <c r="D130" s="5">
        <f>_xlfn.IFNA(VLOOKUP(A130,[1]Sheet2!$A$1:$B$730,2,0),0)</f>
        <v>226891.29000000094</v>
      </c>
    </row>
    <row r="131" spans="1:4" x14ac:dyDescent="0.25">
      <c r="A131" s="16" t="s">
        <v>207</v>
      </c>
      <c r="D131" s="5">
        <f>_xlfn.IFNA(VLOOKUP(A131,[1]Sheet2!$A$1:$B$730,2,0),0)</f>
        <v>367906.5400000001</v>
      </c>
    </row>
    <row r="132" spans="1:4" x14ac:dyDescent="0.25">
      <c r="A132" s="16" t="s">
        <v>208</v>
      </c>
      <c r="D132" s="5">
        <f>_xlfn.IFNA(VLOOKUP(A132,[1]Sheet2!$A$1:$B$730,2,0),0)</f>
        <v>1020637.6299999998</v>
      </c>
    </row>
  </sheetData>
  <sortState xmlns:xlrd2="http://schemas.microsoft.com/office/spreadsheetml/2017/richdata2" ref="A3:D27">
    <sortCondition ref="A3"/>
  </sortState>
  <conditionalFormatting sqref="Q29:R29 G25:H27 H16:H24 D28:D32 D22:D25">
    <cfRule type="duplicateValues" dxfId="1" priority="6"/>
  </conditionalFormatting>
  <conditionalFormatting sqref="D26:D27">
    <cfRule type="duplicateValues" dxfId="0" priority="5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28"/>
  <sheetViews>
    <sheetView topLeftCell="A4" workbookViewId="0">
      <selection activeCell="D40" sqref="D40"/>
    </sheetView>
  </sheetViews>
  <sheetFormatPr defaultRowHeight="15" x14ac:dyDescent="0.25"/>
  <cols>
    <col min="2" max="2" width="11.7109375" bestFit="1" customWidth="1"/>
    <col min="3" max="3" width="23" bestFit="1" customWidth="1"/>
  </cols>
  <sheetData>
    <row r="4" spans="2:3" x14ac:dyDescent="0.25">
      <c r="B4" s="14" t="s">
        <v>59</v>
      </c>
      <c r="C4" s="15" t="s">
        <v>60</v>
      </c>
    </row>
    <row r="5" spans="2:3" x14ac:dyDescent="0.25">
      <c r="B5" s="16" t="s">
        <v>63</v>
      </c>
      <c r="C5" s="5">
        <v>-681383.82803216623</v>
      </c>
    </row>
    <row r="6" spans="2:3" x14ac:dyDescent="0.25">
      <c r="B6" s="16" t="s">
        <v>64</v>
      </c>
      <c r="C6" s="5">
        <v>-2210308.5984768206</v>
      </c>
    </row>
    <row r="7" spans="2:3" x14ac:dyDescent="0.25">
      <c r="B7" s="16" t="s">
        <v>65</v>
      </c>
      <c r="C7" s="5">
        <v>-6799206.7067455025</v>
      </c>
    </row>
    <row r="8" spans="2:3" x14ac:dyDescent="0.25">
      <c r="B8" s="16" t="s">
        <v>66</v>
      </c>
      <c r="C8" s="5">
        <v>109595.08438769331</v>
      </c>
    </row>
    <row r="9" spans="2:3" x14ac:dyDescent="0.25">
      <c r="B9" s="16" t="s">
        <v>67</v>
      </c>
      <c r="C9" s="5">
        <v>448046.8124469085</v>
      </c>
    </row>
    <row r="10" spans="2:3" x14ac:dyDescent="0.25">
      <c r="B10" s="16" t="s">
        <v>68</v>
      </c>
      <c r="C10" s="5">
        <v>-1213100.3744560077</v>
      </c>
    </row>
    <row r="11" spans="2:3" x14ac:dyDescent="0.25">
      <c r="B11" s="16" t="s">
        <v>69</v>
      </c>
      <c r="C11" s="5">
        <v>-7289165.2999999998</v>
      </c>
    </row>
    <row r="12" spans="2:3" x14ac:dyDescent="0.25">
      <c r="B12" s="16" t="s">
        <v>70</v>
      </c>
      <c r="C12" s="5">
        <v>-5992680.1000000006</v>
      </c>
    </row>
    <row r="13" spans="2:3" x14ac:dyDescent="0.25">
      <c r="B13" s="16" t="s">
        <v>71</v>
      </c>
      <c r="C13" s="5">
        <v>-37588882.779999994</v>
      </c>
    </row>
    <row r="14" spans="2:3" x14ac:dyDescent="0.25">
      <c r="B14" s="16" t="s">
        <v>72</v>
      </c>
      <c r="C14" s="5">
        <v>-8656342.299999997</v>
      </c>
    </row>
    <row r="15" spans="2:3" x14ac:dyDescent="0.25">
      <c r="B15" s="16" t="s">
        <v>73</v>
      </c>
      <c r="C15" s="5">
        <v>-17437588.5</v>
      </c>
    </row>
    <row r="16" spans="2:3" x14ac:dyDescent="0.25">
      <c r="B16" s="16" t="s">
        <v>74</v>
      </c>
      <c r="C16" s="5">
        <v>-17677619.499999993</v>
      </c>
    </row>
    <row r="17" spans="2:3" x14ac:dyDescent="0.25">
      <c r="B17" s="16" t="s">
        <v>75</v>
      </c>
      <c r="C17" s="5">
        <v>-8668944.6600000001</v>
      </c>
    </row>
    <row r="18" spans="2:3" x14ac:dyDescent="0.25">
      <c r="B18" s="16" t="s">
        <v>76</v>
      </c>
      <c r="C18" s="5">
        <v>-10139755.549999997</v>
      </c>
    </row>
    <row r="19" spans="2:3" x14ac:dyDescent="0.25">
      <c r="B19" s="16" t="s">
        <v>77</v>
      </c>
      <c r="C19" s="5">
        <v>-4737016.17</v>
      </c>
    </row>
    <row r="20" spans="2:3" x14ac:dyDescent="0.25">
      <c r="B20" s="16" t="s">
        <v>78</v>
      </c>
      <c r="C20" s="5">
        <v>-4449409.26</v>
      </c>
    </row>
    <row r="21" spans="2:3" x14ac:dyDescent="0.25">
      <c r="B21" s="16" t="s">
        <v>79</v>
      </c>
      <c r="C21" s="5">
        <v>-3488776.2399999998</v>
      </c>
    </row>
    <row r="22" spans="2:3" x14ac:dyDescent="0.25">
      <c r="B22" s="16" t="s">
        <v>80</v>
      </c>
      <c r="C22" s="5">
        <v>-1768388.9799999995</v>
      </c>
    </row>
    <row r="23" spans="2:3" x14ac:dyDescent="0.25">
      <c r="B23" s="16" t="s">
        <v>81</v>
      </c>
      <c r="C23" s="5">
        <v>-1598157.3000000003</v>
      </c>
    </row>
    <row r="24" spans="2:3" x14ac:dyDescent="0.25">
      <c r="B24" s="16" t="s">
        <v>82</v>
      </c>
      <c r="C24" s="5">
        <v>-20400399.070000004</v>
      </c>
    </row>
    <row r="25" spans="2:3" x14ac:dyDescent="0.25">
      <c r="B25" s="16" t="s">
        <v>83</v>
      </c>
      <c r="C25" s="5">
        <v>-1270829.0900000001</v>
      </c>
    </row>
    <row r="26" spans="2:3" x14ac:dyDescent="0.25">
      <c r="B26" s="16" t="s">
        <v>84</v>
      </c>
      <c r="C26" s="5">
        <v>-2250540.25</v>
      </c>
    </row>
    <row r="27" spans="2:3" x14ac:dyDescent="0.25">
      <c r="B27" s="16" t="s">
        <v>85</v>
      </c>
      <c r="C27" s="5">
        <v>-3978864.5999999996</v>
      </c>
    </row>
    <row r="28" spans="2:3" x14ac:dyDescent="0.25">
      <c r="B28" s="17" t="s">
        <v>61</v>
      </c>
      <c r="C28" s="18">
        <v>-167739717.26087588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27"/>
  <sheetViews>
    <sheetView topLeftCell="A4" workbookViewId="0">
      <selection activeCell="G38" sqref="G38"/>
    </sheetView>
  </sheetViews>
  <sheetFormatPr defaultRowHeight="15" x14ac:dyDescent="0.25"/>
  <sheetData>
    <row r="4" spans="1:2" x14ac:dyDescent="0.25">
      <c r="A4" t="s">
        <v>63</v>
      </c>
      <c r="B4">
        <v>-209697.53159940106</v>
      </c>
    </row>
    <row r="5" spans="1:2" x14ac:dyDescent="0.25">
      <c r="A5" t="s">
        <v>64</v>
      </c>
      <c r="B5">
        <v>-842299.53361992771</v>
      </c>
    </row>
    <row r="6" spans="1:2" x14ac:dyDescent="0.25">
      <c r="A6" t="s">
        <v>65</v>
      </c>
      <c r="B6">
        <v>-2849254.5374692273</v>
      </c>
    </row>
    <row r="7" spans="1:2" x14ac:dyDescent="0.25">
      <c r="A7" t="s">
        <v>66</v>
      </c>
      <c r="B7">
        <v>373436.27238011506</v>
      </c>
    </row>
    <row r="8" spans="1:2" x14ac:dyDescent="0.25">
      <c r="A8" t="s">
        <v>67</v>
      </c>
      <c r="B8">
        <v>402078.83859554905</v>
      </c>
    </row>
    <row r="9" spans="1:2" x14ac:dyDescent="0.25">
      <c r="A9" t="s">
        <v>68</v>
      </c>
      <c r="B9">
        <v>894955.33971328381</v>
      </c>
    </row>
    <row r="10" spans="1:2" x14ac:dyDescent="0.25">
      <c r="A10" t="s">
        <v>69</v>
      </c>
      <c r="B10">
        <v>-2995605.96</v>
      </c>
    </row>
    <row r="11" spans="1:2" x14ac:dyDescent="0.25">
      <c r="A11" t="s">
        <v>70</v>
      </c>
      <c r="B11">
        <v>-351865.13999999996</v>
      </c>
    </row>
    <row r="12" spans="1:2" x14ac:dyDescent="0.25">
      <c r="A12" t="s">
        <v>71</v>
      </c>
      <c r="B12">
        <v>8701876.9399999995</v>
      </c>
    </row>
    <row r="13" spans="1:2" x14ac:dyDescent="0.25">
      <c r="A13" t="s">
        <v>72</v>
      </c>
      <c r="B13">
        <v>-2900268.4800000014</v>
      </c>
    </row>
    <row r="14" spans="1:2" x14ac:dyDescent="0.25">
      <c r="A14" t="s">
        <v>73</v>
      </c>
      <c r="B14">
        <v>-5690884.7700000014</v>
      </c>
    </row>
    <row r="15" spans="1:2" x14ac:dyDescent="0.25">
      <c r="A15" t="s">
        <v>86</v>
      </c>
      <c r="B15">
        <v>999998.51</v>
      </c>
    </row>
    <row r="16" spans="1:2" x14ac:dyDescent="0.25">
      <c r="A16" t="s">
        <v>74</v>
      </c>
      <c r="B16">
        <v>-5179131.2</v>
      </c>
    </row>
    <row r="17" spans="1:2" x14ac:dyDescent="0.25">
      <c r="A17" t="s">
        <v>75</v>
      </c>
      <c r="B17">
        <v>-2893399.4399999995</v>
      </c>
    </row>
    <row r="18" spans="1:2" x14ac:dyDescent="0.25">
      <c r="A18" t="s">
        <v>76</v>
      </c>
      <c r="B18">
        <v>-3116779.67</v>
      </c>
    </row>
    <row r="19" spans="1:2" x14ac:dyDescent="0.25">
      <c r="A19" t="s">
        <v>77</v>
      </c>
      <c r="B19">
        <v>-1771591.53</v>
      </c>
    </row>
    <row r="20" spans="1:2" x14ac:dyDescent="0.25">
      <c r="A20" t="s">
        <v>78</v>
      </c>
      <c r="B20">
        <v>-1065978.26</v>
      </c>
    </row>
    <row r="21" spans="1:2" x14ac:dyDescent="0.25">
      <c r="A21" t="s">
        <v>79</v>
      </c>
      <c r="B21">
        <v>-1244938.45</v>
      </c>
    </row>
    <row r="22" spans="1:2" x14ac:dyDescent="0.25">
      <c r="A22" t="s">
        <v>80</v>
      </c>
      <c r="B22">
        <v>-652204.74000000011</v>
      </c>
    </row>
    <row r="23" spans="1:2" x14ac:dyDescent="0.25">
      <c r="A23" t="s">
        <v>81</v>
      </c>
      <c r="B23">
        <v>-630397.4099999998</v>
      </c>
    </row>
    <row r="24" spans="1:2" x14ac:dyDescent="0.25">
      <c r="A24" t="s">
        <v>82</v>
      </c>
      <c r="B24">
        <v>-8384377.8300000001</v>
      </c>
    </row>
    <row r="25" spans="1:2" x14ac:dyDescent="0.25">
      <c r="A25" t="s">
        <v>83</v>
      </c>
      <c r="B25">
        <v>-663254.81999999995</v>
      </c>
    </row>
    <row r="26" spans="1:2" x14ac:dyDescent="0.25">
      <c r="A26" t="s">
        <v>84</v>
      </c>
      <c r="B26">
        <v>-784928.55</v>
      </c>
    </row>
    <row r="27" spans="1:2" x14ac:dyDescent="0.25">
      <c r="A27" t="s">
        <v>85</v>
      </c>
      <c r="B27">
        <v>-1354164.5899999999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27"/>
  <sheetViews>
    <sheetView workbookViewId="0">
      <selection activeCell="C16" sqref="C16"/>
    </sheetView>
  </sheetViews>
  <sheetFormatPr defaultRowHeight="15" x14ac:dyDescent="0.25"/>
  <cols>
    <col min="2" max="2" width="11.7109375" bestFit="1" customWidth="1"/>
    <col min="3" max="3" width="23" bestFit="1" customWidth="1"/>
  </cols>
  <sheetData>
    <row r="3" spans="2:3" x14ac:dyDescent="0.25">
      <c r="B3" s="14" t="s">
        <v>59</v>
      </c>
      <c r="C3" s="15" t="s">
        <v>60</v>
      </c>
    </row>
    <row r="4" spans="2:3" x14ac:dyDescent="0.25">
      <c r="B4" s="16" t="s">
        <v>63</v>
      </c>
      <c r="C4" s="5">
        <v>-1136157.4526934624</v>
      </c>
    </row>
    <row r="5" spans="2:3" x14ac:dyDescent="0.25">
      <c r="B5" s="16" t="s">
        <v>64</v>
      </c>
      <c r="C5" s="5">
        <v>-3497858.2477780185</v>
      </c>
    </row>
    <row r="6" spans="2:3" x14ac:dyDescent="0.25">
      <c r="B6" s="16" t="s">
        <v>65</v>
      </c>
      <c r="C6" s="5">
        <v>-11317096.528037194</v>
      </c>
    </row>
    <row r="7" spans="2:3" x14ac:dyDescent="0.25">
      <c r="B7" s="16" t="s">
        <v>66</v>
      </c>
      <c r="C7" s="5">
        <v>3671587.5866008047</v>
      </c>
    </row>
    <row r="8" spans="2:3" x14ac:dyDescent="0.25">
      <c r="B8" s="16" t="s">
        <v>67</v>
      </c>
      <c r="C8" s="5">
        <v>10674883.073828364</v>
      </c>
    </row>
    <row r="9" spans="2:3" x14ac:dyDescent="0.25">
      <c r="B9" s="16" t="s">
        <v>68</v>
      </c>
      <c r="C9" s="5">
        <v>-111369.27554579396</v>
      </c>
    </row>
    <row r="10" spans="2:3" x14ac:dyDescent="0.25">
      <c r="B10" s="16" t="s">
        <v>69</v>
      </c>
      <c r="C10" s="5">
        <v>-14627506.639999986</v>
      </c>
    </row>
    <row r="11" spans="2:3" x14ac:dyDescent="0.25">
      <c r="B11" s="16" t="s">
        <v>70</v>
      </c>
      <c r="C11" s="5">
        <v>-4663032.0699999984</v>
      </c>
    </row>
    <row r="12" spans="2:3" x14ac:dyDescent="0.25">
      <c r="B12" s="16" t="s">
        <v>71</v>
      </c>
      <c r="C12" s="5">
        <v>-17241102.039999999</v>
      </c>
    </row>
    <row r="13" spans="2:3" x14ac:dyDescent="0.25">
      <c r="B13" s="16" t="s">
        <v>72</v>
      </c>
      <c r="C13" s="5">
        <v>-9741094.0100000054</v>
      </c>
    </row>
    <row r="14" spans="2:3" x14ac:dyDescent="0.25">
      <c r="B14" s="16" t="s">
        <v>73</v>
      </c>
      <c r="C14" s="5">
        <v>-42894343.43999999</v>
      </c>
    </row>
    <row r="15" spans="2:3" x14ac:dyDescent="0.25">
      <c r="B15" s="16" t="s">
        <v>74</v>
      </c>
      <c r="C15" s="5">
        <v>-19851981.339999996</v>
      </c>
    </row>
    <row r="16" spans="2:3" x14ac:dyDescent="0.25">
      <c r="B16" s="16" t="s">
        <v>75</v>
      </c>
      <c r="C16" s="5">
        <v>-12167521.269999996</v>
      </c>
    </row>
    <row r="17" spans="2:3" x14ac:dyDescent="0.25">
      <c r="B17" s="16" t="s">
        <v>76</v>
      </c>
      <c r="C17" s="5">
        <v>-13910693.43</v>
      </c>
    </row>
    <row r="18" spans="2:3" x14ac:dyDescent="0.25">
      <c r="B18" s="16" t="s">
        <v>77</v>
      </c>
      <c r="C18" s="5">
        <v>-5369679.4899999993</v>
      </c>
    </row>
    <row r="19" spans="2:3" x14ac:dyDescent="0.25">
      <c r="B19" s="16" t="s">
        <v>78</v>
      </c>
      <c r="C19" s="5">
        <v>-3874854.3800000004</v>
      </c>
    </row>
    <row r="20" spans="2:3" x14ac:dyDescent="0.25">
      <c r="B20" s="16" t="s">
        <v>79</v>
      </c>
      <c r="C20" s="5">
        <v>-5806135.0600000015</v>
      </c>
    </row>
    <row r="21" spans="2:3" x14ac:dyDescent="0.25">
      <c r="B21" s="16" t="s">
        <v>80</v>
      </c>
      <c r="C21" s="5">
        <v>-3172093.8700000024</v>
      </c>
    </row>
    <row r="22" spans="2:3" x14ac:dyDescent="0.25">
      <c r="B22" s="16" t="s">
        <v>81</v>
      </c>
      <c r="C22" s="5">
        <v>-3479256.16</v>
      </c>
    </row>
    <row r="23" spans="2:3" x14ac:dyDescent="0.25">
      <c r="B23" s="16" t="s">
        <v>82</v>
      </c>
      <c r="C23" s="5">
        <v>-44299062.339999996</v>
      </c>
    </row>
    <row r="24" spans="2:3" x14ac:dyDescent="0.25">
      <c r="B24" s="16" t="s">
        <v>83</v>
      </c>
      <c r="C24" s="5">
        <v>-2983690.72</v>
      </c>
    </row>
    <row r="25" spans="2:3" x14ac:dyDescent="0.25">
      <c r="B25" s="16" t="s">
        <v>84</v>
      </c>
      <c r="C25" s="5">
        <v>-4989076.0600000015</v>
      </c>
    </row>
    <row r="26" spans="2:3" x14ac:dyDescent="0.25">
      <c r="B26" s="16" t="s">
        <v>85</v>
      </c>
      <c r="C26" s="5">
        <v>-7512811.1600000001</v>
      </c>
    </row>
    <row r="27" spans="2:3" x14ac:dyDescent="0.25">
      <c r="B27" s="17" t="s">
        <v>61</v>
      </c>
      <c r="C27" s="18">
        <v>-218299944.32362527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8"/>
  <sheetViews>
    <sheetView workbookViewId="0">
      <selection activeCell="C15" sqref="C15"/>
    </sheetView>
  </sheetViews>
  <sheetFormatPr defaultRowHeight="15" x14ac:dyDescent="0.25"/>
  <cols>
    <col min="2" max="2" width="14" bestFit="1" customWidth="1"/>
    <col min="3" max="3" width="47.85546875" bestFit="1" customWidth="1"/>
    <col min="4" max="4" width="12.28515625" bestFit="1" customWidth="1"/>
    <col min="5" max="8" width="15.28515625" bestFit="1" customWidth="1"/>
  </cols>
  <sheetData>
    <row r="2" spans="2:8" x14ac:dyDescent="0.25">
      <c r="B2" t="s">
        <v>52</v>
      </c>
      <c r="C2" t="s">
        <v>53</v>
      </c>
      <c r="D2" t="s">
        <v>54</v>
      </c>
      <c r="E2" t="s">
        <v>55</v>
      </c>
      <c r="F2" t="s">
        <v>57</v>
      </c>
      <c r="G2" t="s">
        <v>62</v>
      </c>
    </row>
    <row r="3" spans="2:8" x14ac:dyDescent="0.25">
      <c r="B3" t="s">
        <v>0</v>
      </c>
      <c r="C3" t="s">
        <v>26</v>
      </c>
      <c r="D3" t="s">
        <v>25</v>
      </c>
      <c r="E3" s="5">
        <v>-45181.288404131548</v>
      </c>
      <c r="F3" s="5">
        <v>-263442.09179361066</v>
      </c>
      <c r="G3" s="5">
        <v>-127897.94085900523</v>
      </c>
      <c r="H3" s="7">
        <f>SUM(E3:G3)</f>
        <v>-436521.32105674746</v>
      </c>
    </row>
    <row r="4" spans="2:8" x14ac:dyDescent="0.25">
      <c r="B4" t="s">
        <v>1</v>
      </c>
      <c r="C4" t="s">
        <v>27</v>
      </c>
      <c r="D4" t="s">
        <v>25</v>
      </c>
      <c r="E4" s="5">
        <v>-58912.377359280246</v>
      </c>
      <c r="F4" s="5">
        <v>-873451.17555359402</v>
      </c>
      <c r="G4" s="5">
        <v>-1254777.2531754123</v>
      </c>
      <c r="H4" s="7">
        <f t="shared" ref="H4:H28" si="0">SUM(E4:G4)</f>
        <v>-2187140.8060882865</v>
      </c>
    </row>
    <row r="5" spans="2:8" x14ac:dyDescent="0.25">
      <c r="B5" t="s">
        <v>2</v>
      </c>
      <c r="C5" t="s">
        <v>28</v>
      </c>
      <c r="D5" t="s">
        <v>25</v>
      </c>
      <c r="E5" s="5">
        <v>-1160085.0076533055</v>
      </c>
      <c r="F5" s="5">
        <v>-2570007.4075459447</v>
      </c>
      <c r="G5" s="5">
        <v>-2849468.574438144</v>
      </c>
      <c r="H5" s="7">
        <f t="shared" si="0"/>
        <v>-6579560.9896373935</v>
      </c>
    </row>
    <row r="6" spans="2:8" x14ac:dyDescent="0.25">
      <c r="B6" t="s">
        <v>3</v>
      </c>
      <c r="C6" t="s">
        <v>29</v>
      </c>
      <c r="D6" t="s">
        <v>30</v>
      </c>
      <c r="E6" s="5">
        <v>0</v>
      </c>
      <c r="F6" s="5">
        <v>0</v>
      </c>
      <c r="G6" s="5">
        <v>0</v>
      </c>
      <c r="H6" s="7">
        <f t="shared" si="0"/>
        <v>0</v>
      </c>
    </row>
    <row r="7" spans="2:8" x14ac:dyDescent="0.25">
      <c r="B7" t="s">
        <v>4</v>
      </c>
      <c r="C7" t="s">
        <v>31</v>
      </c>
      <c r="D7" t="s">
        <v>25</v>
      </c>
      <c r="E7" s="5">
        <v>-209169.31</v>
      </c>
      <c r="F7" s="5">
        <v>-952395.38</v>
      </c>
      <c r="G7" s="5">
        <v>-1464610.3900000001</v>
      </c>
      <c r="H7" s="7">
        <f t="shared" si="0"/>
        <v>-2626175.08</v>
      </c>
    </row>
    <row r="8" spans="2:8" x14ac:dyDescent="0.25">
      <c r="B8" t="s">
        <v>5</v>
      </c>
      <c r="C8" t="s">
        <v>32</v>
      </c>
      <c r="D8" t="s">
        <v>25</v>
      </c>
      <c r="E8" s="5">
        <v>1483935.2928385795</v>
      </c>
      <c r="F8" s="5">
        <v>1288201.1661863739</v>
      </c>
      <c r="G8" s="5">
        <v>2718643.4003226385</v>
      </c>
      <c r="H8" s="7">
        <f t="shared" si="0"/>
        <v>5490779.8593475921</v>
      </c>
    </row>
    <row r="9" spans="2:8" x14ac:dyDescent="0.25">
      <c r="B9" t="s">
        <v>6</v>
      </c>
      <c r="C9" t="s">
        <v>33</v>
      </c>
      <c r="D9" t="s">
        <v>25</v>
      </c>
      <c r="E9" s="5">
        <v>654645.02700083703</v>
      </c>
      <c r="F9" s="5">
        <v>649926.58314971766</v>
      </c>
      <c r="G9" s="5">
        <v>2480464.3807837572</v>
      </c>
      <c r="H9" s="7">
        <f t="shared" si="0"/>
        <v>3785035.9909343119</v>
      </c>
    </row>
    <row r="10" spans="2:8" x14ac:dyDescent="0.25">
      <c r="B10" t="s">
        <v>7</v>
      </c>
      <c r="C10" t="s">
        <v>34</v>
      </c>
      <c r="D10" t="s">
        <v>25</v>
      </c>
      <c r="E10" s="5">
        <v>339429.10171642952</v>
      </c>
      <c r="F10" s="5">
        <v>326506.04870827519</v>
      </c>
      <c r="G10" s="5">
        <v>301520.62714510562</v>
      </c>
      <c r="H10" s="7">
        <f t="shared" si="0"/>
        <v>967455.77756981028</v>
      </c>
    </row>
    <row r="11" spans="2:8" x14ac:dyDescent="0.25">
      <c r="B11" t="s">
        <v>8</v>
      </c>
      <c r="C11" t="s">
        <v>35</v>
      </c>
      <c r="D11" t="s">
        <v>25</v>
      </c>
      <c r="E11" s="5">
        <v>-42338.92</v>
      </c>
      <c r="F11" s="5">
        <v>-63479.48</v>
      </c>
      <c r="G11" s="5">
        <v>-72138.320000000007</v>
      </c>
      <c r="H11" s="7">
        <f t="shared" si="0"/>
        <v>-177956.72</v>
      </c>
    </row>
    <row r="12" spans="2:8" x14ac:dyDescent="0.25">
      <c r="B12" t="s">
        <v>9</v>
      </c>
      <c r="C12" t="s">
        <v>36</v>
      </c>
      <c r="D12" t="s">
        <v>25</v>
      </c>
      <c r="E12" s="5">
        <v>-4332101.66</v>
      </c>
      <c r="F12" s="5">
        <v>-10274035.24</v>
      </c>
      <c r="G12" s="5">
        <v>-16665482.310000001</v>
      </c>
      <c r="H12" s="7">
        <f t="shared" si="0"/>
        <v>-31271619.210000001</v>
      </c>
    </row>
    <row r="13" spans="2:8" x14ac:dyDescent="0.25">
      <c r="B13" t="s">
        <v>10</v>
      </c>
      <c r="C13" t="s">
        <v>37</v>
      </c>
      <c r="D13" t="s">
        <v>25</v>
      </c>
      <c r="E13" s="5">
        <v>-282342.24000000005</v>
      </c>
      <c r="F13" s="5">
        <v>-1212026.5999999999</v>
      </c>
      <c r="G13" s="5">
        <v>-1930609.64</v>
      </c>
      <c r="H13" s="7">
        <f t="shared" si="0"/>
        <v>-3424978.4799999995</v>
      </c>
    </row>
    <row r="14" spans="2:8" x14ac:dyDescent="0.25">
      <c r="B14" t="s">
        <v>11</v>
      </c>
      <c r="C14" t="s">
        <v>38</v>
      </c>
      <c r="D14" t="s">
        <v>25</v>
      </c>
      <c r="E14" s="5">
        <v>-211660.96</v>
      </c>
      <c r="F14" s="5">
        <v>-537139.04</v>
      </c>
      <c r="G14" s="5">
        <v>-1549535.78</v>
      </c>
      <c r="H14" s="7">
        <f t="shared" si="0"/>
        <v>-2298335.7800000003</v>
      </c>
    </row>
    <row r="15" spans="2:8" x14ac:dyDescent="0.25">
      <c r="B15" t="s">
        <v>12</v>
      </c>
      <c r="C15" t="s">
        <v>39</v>
      </c>
      <c r="D15" t="s">
        <v>25</v>
      </c>
      <c r="E15" s="5">
        <v>-211517.89</v>
      </c>
      <c r="F15" s="5">
        <v>-317706.31</v>
      </c>
      <c r="G15" s="5">
        <v>-945396.81</v>
      </c>
      <c r="H15" s="7">
        <f t="shared" si="0"/>
        <v>-1474621.01</v>
      </c>
    </row>
    <row r="16" spans="2:8" x14ac:dyDescent="0.25">
      <c r="B16" t="s">
        <v>13</v>
      </c>
      <c r="C16" t="s">
        <v>40</v>
      </c>
      <c r="D16" t="s">
        <v>25</v>
      </c>
      <c r="E16" s="5">
        <v>-208668.44000000003</v>
      </c>
      <c r="F16" s="5">
        <v>-527248.05999999994</v>
      </c>
      <c r="G16" s="5">
        <v>-1058334.95</v>
      </c>
      <c r="H16" s="7">
        <f t="shared" si="0"/>
        <v>-1794251.45</v>
      </c>
    </row>
    <row r="17" spans="2:8" x14ac:dyDescent="0.25">
      <c r="B17" t="s">
        <v>14</v>
      </c>
      <c r="C17" t="s">
        <v>41</v>
      </c>
      <c r="D17" t="s">
        <v>25</v>
      </c>
      <c r="E17" s="5">
        <v>-353792.77</v>
      </c>
      <c r="F17" s="5">
        <v>-1134875</v>
      </c>
      <c r="G17" s="5">
        <v>-2267678.39</v>
      </c>
      <c r="H17" s="7">
        <f t="shared" si="0"/>
        <v>-3756346.16</v>
      </c>
    </row>
    <row r="18" spans="2:8" x14ac:dyDescent="0.25">
      <c r="B18" t="s">
        <v>15</v>
      </c>
      <c r="C18" t="s">
        <v>42</v>
      </c>
      <c r="D18" t="s">
        <v>25</v>
      </c>
      <c r="E18" s="5">
        <v>-340163.80000000005</v>
      </c>
      <c r="F18" s="5">
        <v>-517329.32000000007</v>
      </c>
      <c r="G18" s="5">
        <v>-1652162.29</v>
      </c>
      <c r="H18" s="7">
        <f t="shared" si="0"/>
        <v>-2509655.41</v>
      </c>
    </row>
    <row r="19" spans="2:8" x14ac:dyDescent="0.25">
      <c r="B19" t="s">
        <v>16</v>
      </c>
      <c r="C19" t="s">
        <v>43</v>
      </c>
      <c r="D19" t="s">
        <v>25</v>
      </c>
      <c r="E19" s="5">
        <v>11603080.189999999</v>
      </c>
      <c r="F19" s="5">
        <v>18316834.629999995</v>
      </c>
      <c r="G19" s="5">
        <v>-9565562.5300000012</v>
      </c>
      <c r="H19" s="7">
        <f t="shared" si="0"/>
        <v>20354352.289999992</v>
      </c>
    </row>
    <row r="20" spans="2:8" x14ac:dyDescent="0.25">
      <c r="B20" t="s">
        <v>17</v>
      </c>
      <c r="C20" t="s">
        <v>44</v>
      </c>
      <c r="D20" t="s">
        <v>25</v>
      </c>
      <c r="E20" s="5">
        <v>5248906.8199999984</v>
      </c>
      <c r="F20" s="5">
        <v>5549701.9799999995</v>
      </c>
      <c r="G20" s="5">
        <v>56571653.81000001</v>
      </c>
      <c r="H20" s="7">
        <f t="shared" si="0"/>
        <v>67370262.610000014</v>
      </c>
    </row>
    <row r="21" spans="2:8" x14ac:dyDescent="0.25">
      <c r="B21" t="s">
        <v>18</v>
      </c>
      <c r="C21" t="s">
        <v>45</v>
      </c>
      <c r="D21" t="s">
        <v>25</v>
      </c>
      <c r="E21" s="5">
        <v>56747563.489999995</v>
      </c>
      <c r="F21" s="5">
        <v>-2035673.8</v>
      </c>
      <c r="G21" s="5">
        <v>-9583913.0900000017</v>
      </c>
      <c r="H21" s="7">
        <f t="shared" si="0"/>
        <v>45127976.599999994</v>
      </c>
    </row>
    <row r="22" spans="2:8" x14ac:dyDescent="0.25">
      <c r="B22" t="s">
        <v>19</v>
      </c>
      <c r="C22" t="s">
        <v>46</v>
      </c>
      <c r="D22" t="s">
        <v>25</v>
      </c>
      <c r="E22" s="5">
        <v>-711966.39</v>
      </c>
      <c r="F22" s="5">
        <v>-2145105.0499999998</v>
      </c>
      <c r="G22" s="5">
        <v>-5083087.0699999994</v>
      </c>
      <c r="H22" s="7">
        <f t="shared" si="0"/>
        <v>-7940158.5099999998</v>
      </c>
    </row>
    <row r="23" spans="2:8" x14ac:dyDescent="0.25">
      <c r="B23" t="s">
        <v>20</v>
      </c>
      <c r="C23" t="s">
        <v>47</v>
      </c>
      <c r="D23" t="s">
        <v>25</v>
      </c>
      <c r="E23" s="5">
        <v>-753917.39</v>
      </c>
      <c r="F23" s="5">
        <v>-1103557.33</v>
      </c>
      <c r="G23" s="5">
        <v>-2841872.84</v>
      </c>
      <c r="H23" s="7">
        <f t="shared" si="0"/>
        <v>-4699347.5600000005</v>
      </c>
    </row>
    <row r="24" spans="2:8" x14ac:dyDescent="0.25">
      <c r="B24" t="s">
        <v>21</v>
      </c>
      <c r="C24" t="s">
        <v>48</v>
      </c>
      <c r="D24" t="s">
        <v>25</v>
      </c>
      <c r="E24" s="5">
        <v>-712621.06</v>
      </c>
      <c r="F24" s="5">
        <v>-1324178.0099999995</v>
      </c>
      <c r="G24" s="5">
        <v>-3536192.39</v>
      </c>
      <c r="H24" s="7">
        <f t="shared" si="0"/>
        <v>-5572991.46</v>
      </c>
    </row>
    <row r="25" spans="2:8" x14ac:dyDescent="0.25">
      <c r="B25" t="s">
        <v>22</v>
      </c>
      <c r="C25" t="s">
        <v>49</v>
      </c>
      <c r="D25" t="s">
        <v>25</v>
      </c>
      <c r="E25" s="5">
        <v>-278633.94999999995</v>
      </c>
      <c r="F25" s="5">
        <v>-441617.54</v>
      </c>
      <c r="G25" s="5">
        <v>-1110489.23</v>
      </c>
      <c r="H25" s="7">
        <f t="shared" si="0"/>
        <v>-1830740.72</v>
      </c>
    </row>
    <row r="26" spans="2:8" x14ac:dyDescent="0.25">
      <c r="B26" t="s">
        <v>23</v>
      </c>
      <c r="C26" t="s">
        <v>50</v>
      </c>
      <c r="D26" t="s">
        <v>25</v>
      </c>
      <c r="E26" s="5">
        <v>-369742.37</v>
      </c>
      <c r="F26" s="5">
        <v>-886660.13</v>
      </c>
      <c r="G26" s="5">
        <v>-1192361.21</v>
      </c>
      <c r="H26" s="7">
        <f t="shared" si="0"/>
        <v>-2448763.71</v>
      </c>
    </row>
    <row r="27" spans="2:8" x14ac:dyDescent="0.25">
      <c r="B27" t="s">
        <v>24</v>
      </c>
      <c r="C27" t="s">
        <v>51</v>
      </c>
      <c r="D27" t="s">
        <v>25</v>
      </c>
      <c r="E27" s="5">
        <v>-258697.84</v>
      </c>
      <c r="F27" s="5">
        <v>-412226.1</v>
      </c>
      <c r="G27" s="5">
        <v>-951727.54</v>
      </c>
      <c r="H27" s="7">
        <f t="shared" si="0"/>
        <v>-1622651.48</v>
      </c>
    </row>
    <row r="28" spans="2:8" x14ac:dyDescent="0.25">
      <c r="C28" t="s">
        <v>56</v>
      </c>
      <c r="E28" s="5">
        <v>428292873.07940316</v>
      </c>
      <c r="F28" s="5">
        <v>-164338860.60796967</v>
      </c>
      <c r="G28" s="5">
        <v>212176271.8595027</v>
      </c>
      <c r="H28" s="7">
        <f t="shared" si="0"/>
        <v>476130284.33093619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selection activeCell="C20" sqref="C20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13.85546875" bestFit="1" customWidth="1"/>
    <col min="4" max="4" width="15.28515625" style="5" bestFit="1" customWidth="1"/>
    <col min="5" max="6" width="15.28515625" bestFit="1" customWidth="1"/>
    <col min="8" max="8" width="4.5703125" bestFit="1" customWidth="1"/>
    <col min="9" max="9" width="14.28515625" bestFit="1" customWidth="1"/>
  </cols>
  <sheetData>
    <row r="1" spans="1:9" x14ac:dyDescent="0.25">
      <c r="A1" s="1" t="s">
        <v>52</v>
      </c>
      <c r="B1" s="2" t="s">
        <v>53</v>
      </c>
      <c r="C1" s="3" t="s">
        <v>54</v>
      </c>
      <c r="D1" s="4" t="s">
        <v>57</v>
      </c>
    </row>
    <row r="2" spans="1:9" x14ac:dyDescent="0.25">
      <c r="F2" t="s">
        <v>58</v>
      </c>
    </row>
    <row r="3" spans="1:9" x14ac:dyDescent="0.25">
      <c r="A3" t="s">
        <v>0</v>
      </c>
      <c r="B3" t="s">
        <v>26</v>
      </c>
      <c r="C3" t="s">
        <v>25</v>
      </c>
      <c r="D3" s="5">
        <v>-110086.74085900524</v>
      </c>
      <c r="E3" s="5"/>
      <c r="F3" s="8" t="s">
        <v>0</v>
      </c>
      <c r="G3" s="9" t="s">
        <v>26</v>
      </c>
      <c r="H3" s="9" t="s">
        <v>25</v>
      </c>
      <c r="I3" s="10">
        <v>-157344.72666549607</v>
      </c>
    </row>
    <row r="4" spans="1:9" x14ac:dyDescent="0.25">
      <c r="A4" t="s">
        <v>1</v>
      </c>
      <c r="B4" t="s">
        <v>27</v>
      </c>
      <c r="C4" t="s">
        <v>25</v>
      </c>
      <c r="D4" s="5">
        <v>-1189139.9568043281</v>
      </c>
      <c r="E4" s="5"/>
      <c r="F4" s="8" t="s">
        <v>1</v>
      </c>
      <c r="G4" s="9" t="s">
        <v>27</v>
      </c>
      <c r="H4" s="9" t="s">
        <v>25</v>
      </c>
      <c r="I4" s="10">
        <v>-468622.25545446971</v>
      </c>
    </row>
    <row r="5" spans="1:9" x14ac:dyDescent="0.25">
      <c r="A5" t="s">
        <v>2</v>
      </c>
      <c r="B5" t="s">
        <v>28</v>
      </c>
      <c r="C5" t="s">
        <v>25</v>
      </c>
      <c r="D5" s="5">
        <v>-2415552.1875856291</v>
      </c>
      <c r="E5" s="5"/>
      <c r="F5" s="8" t="s">
        <v>2</v>
      </c>
      <c r="G5" s="9" t="s">
        <v>28</v>
      </c>
      <c r="H5" s="9" t="s">
        <v>25</v>
      </c>
      <c r="I5" s="10">
        <v>-656087.01346582989</v>
      </c>
    </row>
    <row r="6" spans="1:9" x14ac:dyDescent="0.25">
      <c r="A6" t="s">
        <v>3</v>
      </c>
      <c r="B6" t="s">
        <v>29</v>
      </c>
      <c r="C6" t="s">
        <v>30</v>
      </c>
      <c r="D6" s="5">
        <v>0</v>
      </c>
      <c r="E6" s="5"/>
      <c r="F6" s="8" t="s">
        <v>3</v>
      </c>
      <c r="G6" s="9" t="s">
        <v>29</v>
      </c>
      <c r="H6" s="9" t="s">
        <v>30</v>
      </c>
      <c r="I6" s="10">
        <v>0</v>
      </c>
    </row>
    <row r="7" spans="1:9" x14ac:dyDescent="0.25">
      <c r="A7" t="s">
        <v>4</v>
      </c>
      <c r="B7" t="s">
        <v>31</v>
      </c>
      <c r="C7" t="s">
        <v>25</v>
      </c>
      <c r="D7" s="5">
        <v>-1381374.78</v>
      </c>
      <c r="E7" s="5"/>
      <c r="F7" s="8" t="s">
        <v>4</v>
      </c>
      <c r="G7" s="9" t="s">
        <v>31</v>
      </c>
      <c r="H7" s="9" t="s">
        <v>25</v>
      </c>
      <c r="I7" s="10">
        <v>-746659.77</v>
      </c>
    </row>
    <row r="8" spans="1:9" x14ac:dyDescent="0.25">
      <c r="A8" t="s">
        <v>5</v>
      </c>
      <c r="B8" t="s">
        <v>32</v>
      </c>
      <c r="C8" t="s">
        <v>25</v>
      </c>
      <c r="D8" s="5">
        <v>2492344.8381598294</v>
      </c>
      <c r="E8" s="5"/>
      <c r="F8" s="8" t="s">
        <v>5</v>
      </c>
      <c r="G8" s="9" t="s">
        <v>32</v>
      </c>
      <c r="H8" s="9" t="s">
        <v>25</v>
      </c>
      <c r="I8" s="10">
        <v>759572.85878791404</v>
      </c>
    </row>
    <row r="9" spans="1:9" x14ac:dyDescent="0.25">
      <c r="A9" t="s">
        <v>6</v>
      </c>
      <c r="B9" t="s">
        <v>33</v>
      </c>
      <c r="C9" t="s">
        <v>25</v>
      </c>
      <c r="D9" s="5">
        <v>1772302.9485612421</v>
      </c>
      <c r="E9" s="5"/>
      <c r="F9" s="8" t="s">
        <v>6</v>
      </c>
      <c r="G9" s="9" t="s">
        <v>33</v>
      </c>
      <c r="H9" s="9" t="s">
        <v>25</v>
      </c>
      <c r="I9" s="10">
        <v>587814.4338240464</v>
      </c>
    </row>
    <row r="10" spans="1:9" x14ac:dyDescent="0.25">
      <c r="A10" t="s">
        <v>7</v>
      </c>
      <c r="B10" t="s">
        <v>34</v>
      </c>
      <c r="C10" t="s">
        <v>25</v>
      </c>
      <c r="D10" s="5">
        <v>509294.28551783954</v>
      </c>
      <c r="E10" s="5"/>
      <c r="F10" s="8" t="s">
        <v>7</v>
      </c>
      <c r="G10" s="9" t="s">
        <v>34</v>
      </c>
      <c r="H10" s="9" t="s">
        <v>25</v>
      </c>
      <c r="I10" s="10">
        <v>255469.12625023327</v>
      </c>
    </row>
    <row r="11" spans="1:9" x14ac:dyDescent="0.25">
      <c r="A11" t="s">
        <v>8</v>
      </c>
      <c r="B11" t="s">
        <v>35</v>
      </c>
      <c r="C11" t="s">
        <v>25</v>
      </c>
      <c r="D11" s="5">
        <v>-72138.320000000007</v>
      </c>
      <c r="E11" s="5"/>
      <c r="F11" s="8" t="s">
        <v>8</v>
      </c>
      <c r="G11" s="9" t="s">
        <v>35</v>
      </c>
      <c r="H11" s="9" t="s">
        <v>25</v>
      </c>
      <c r="I11" s="10">
        <v>-49281.47</v>
      </c>
    </row>
    <row r="12" spans="1:9" x14ac:dyDescent="0.25">
      <c r="A12" t="s">
        <v>9</v>
      </c>
      <c r="B12" t="s">
        <v>36</v>
      </c>
      <c r="C12" t="s">
        <v>25</v>
      </c>
      <c r="D12" s="5">
        <v>-15578529.26</v>
      </c>
      <c r="E12" s="5"/>
      <c r="F12" s="8" t="s">
        <v>9</v>
      </c>
      <c r="G12" s="9" t="s">
        <v>36</v>
      </c>
      <c r="H12" s="9" t="s">
        <v>25</v>
      </c>
      <c r="I12" s="10">
        <v>-7463218.3699999992</v>
      </c>
    </row>
    <row r="13" spans="1:9" x14ac:dyDescent="0.25">
      <c r="A13" t="s">
        <v>10</v>
      </c>
      <c r="B13" t="s">
        <v>37</v>
      </c>
      <c r="C13" t="s">
        <v>25</v>
      </c>
      <c r="D13" s="5">
        <v>-1776991.48</v>
      </c>
      <c r="E13" s="5"/>
      <c r="F13" s="8" t="s">
        <v>10</v>
      </c>
      <c r="G13" s="9" t="s">
        <v>37</v>
      </c>
      <c r="H13" s="9" t="s">
        <v>25</v>
      </c>
      <c r="I13" s="10">
        <v>-848280.19</v>
      </c>
    </row>
    <row r="14" spans="1:9" x14ac:dyDescent="0.25">
      <c r="A14" t="s">
        <v>11</v>
      </c>
      <c r="B14" t="s">
        <v>38</v>
      </c>
      <c r="C14" t="s">
        <v>25</v>
      </c>
      <c r="D14" s="5">
        <v>-1450587.79</v>
      </c>
      <c r="E14" s="5"/>
      <c r="F14" s="8" t="s">
        <v>11</v>
      </c>
      <c r="G14" s="9" t="s">
        <v>38</v>
      </c>
      <c r="H14" s="9" t="s">
        <v>25</v>
      </c>
      <c r="I14" s="10">
        <v>-826062.97</v>
      </c>
    </row>
    <row r="15" spans="1:9" x14ac:dyDescent="0.25">
      <c r="A15" t="s">
        <v>12</v>
      </c>
      <c r="B15" t="s">
        <v>39</v>
      </c>
      <c r="C15" t="s">
        <v>25</v>
      </c>
      <c r="D15" s="5">
        <v>-767713.28000000003</v>
      </c>
      <c r="E15" s="5"/>
      <c r="F15" s="8" t="s">
        <v>12</v>
      </c>
      <c r="G15" s="9" t="s">
        <v>39</v>
      </c>
      <c r="H15" s="9" t="s">
        <v>25</v>
      </c>
      <c r="I15" s="10">
        <v>-340161.11</v>
      </c>
    </row>
    <row r="16" spans="1:9" x14ac:dyDescent="0.25">
      <c r="A16" t="s">
        <v>13</v>
      </c>
      <c r="B16" t="s">
        <v>40</v>
      </c>
      <c r="C16" t="s">
        <v>25</v>
      </c>
      <c r="D16" s="5">
        <v>-990303.61999999988</v>
      </c>
      <c r="E16" s="5"/>
      <c r="F16" s="8" t="s">
        <v>13</v>
      </c>
      <c r="G16" s="9" t="s">
        <v>40</v>
      </c>
      <c r="H16" s="9" t="s">
        <v>25</v>
      </c>
      <c r="I16" s="10">
        <v>-377530.74999999994</v>
      </c>
    </row>
    <row r="17" spans="1:9" x14ac:dyDescent="0.25">
      <c r="A17" t="s">
        <v>14</v>
      </c>
      <c r="B17" t="s">
        <v>41</v>
      </c>
      <c r="C17" t="s">
        <v>25</v>
      </c>
      <c r="D17" s="5">
        <v>-2044971.3800000001</v>
      </c>
      <c r="E17" s="5"/>
      <c r="F17" s="8" t="s">
        <v>14</v>
      </c>
      <c r="G17" s="9" t="s">
        <v>41</v>
      </c>
      <c r="H17" s="9" t="s">
        <v>25</v>
      </c>
      <c r="I17" s="10">
        <v>-931378.25</v>
      </c>
    </row>
    <row r="18" spans="1:9" x14ac:dyDescent="0.25">
      <c r="A18" t="s">
        <v>15</v>
      </c>
      <c r="B18" t="s">
        <v>42</v>
      </c>
      <c r="C18" t="s">
        <v>25</v>
      </c>
      <c r="D18" s="5">
        <v>-1006700.2</v>
      </c>
      <c r="E18" s="5"/>
      <c r="F18" s="8" t="s">
        <v>15</v>
      </c>
      <c r="G18" s="9" t="s">
        <v>42</v>
      </c>
      <c r="H18" s="9" t="s">
        <v>25</v>
      </c>
      <c r="I18" s="10">
        <v>-316264.98</v>
      </c>
    </row>
    <row r="19" spans="1:9" x14ac:dyDescent="0.25">
      <c r="A19" t="s">
        <v>16</v>
      </c>
      <c r="B19" t="s">
        <v>43</v>
      </c>
      <c r="C19" t="s">
        <v>25</v>
      </c>
      <c r="D19" s="5">
        <v>-6777894.6500000004</v>
      </c>
      <c r="E19" s="5"/>
      <c r="F19" s="8" t="s">
        <v>16</v>
      </c>
      <c r="G19" s="9" t="s">
        <v>43</v>
      </c>
      <c r="H19" s="9" t="s">
        <v>25</v>
      </c>
      <c r="I19" s="10">
        <v>-6243117.71</v>
      </c>
    </row>
    <row r="20" spans="1:9" x14ac:dyDescent="0.25">
      <c r="A20" t="s">
        <v>17</v>
      </c>
      <c r="B20" t="s">
        <v>44</v>
      </c>
      <c r="C20" t="s">
        <v>25</v>
      </c>
      <c r="D20" s="5">
        <v>56618734.220000006</v>
      </c>
      <c r="E20" s="5"/>
      <c r="F20" s="8" t="s">
        <v>17</v>
      </c>
      <c r="G20" s="9" t="s">
        <v>44</v>
      </c>
      <c r="H20" s="9" t="s">
        <v>25</v>
      </c>
      <c r="I20" s="10">
        <v>58481400.080000006</v>
      </c>
    </row>
    <row r="21" spans="1:9" x14ac:dyDescent="0.25">
      <c r="A21" t="s">
        <v>18</v>
      </c>
      <c r="B21" t="s">
        <v>45</v>
      </c>
      <c r="C21" t="s">
        <v>25</v>
      </c>
      <c r="D21" s="5">
        <v>-7177754.6800000016</v>
      </c>
      <c r="E21" s="5"/>
      <c r="F21" s="8" t="s">
        <v>18</v>
      </c>
      <c r="G21" s="9" t="s">
        <v>45</v>
      </c>
      <c r="H21" s="9" t="s">
        <v>25</v>
      </c>
      <c r="I21" s="10">
        <v>-3025819.41</v>
      </c>
    </row>
    <row r="22" spans="1:9" x14ac:dyDescent="0.25">
      <c r="A22" t="s">
        <v>19</v>
      </c>
      <c r="B22" t="s">
        <v>46</v>
      </c>
      <c r="C22" t="s">
        <v>25</v>
      </c>
      <c r="D22" s="5">
        <v>-4752347.51</v>
      </c>
      <c r="E22" s="5"/>
      <c r="F22" s="8" t="s">
        <v>19</v>
      </c>
      <c r="G22" s="9" t="s">
        <v>46</v>
      </c>
      <c r="H22" s="9" t="s">
        <v>25</v>
      </c>
      <c r="I22" s="10">
        <v>-2155566.7799999998</v>
      </c>
    </row>
    <row r="23" spans="1:9" x14ac:dyDescent="0.25">
      <c r="A23" t="s">
        <v>20</v>
      </c>
      <c r="B23" t="s">
        <v>47</v>
      </c>
      <c r="C23" t="s">
        <v>25</v>
      </c>
      <c r="D23" s="5">
        <v>-2640713.5099999998</v>
      </c>
      <c r="E23" s="5"/>
      <c r="F23" s="8" t="s">
        <v>20</v>
      </c>
      <c r="G23" s="9" t="s">
        <v>47</v>
      </c>
      <c r="H23" s="9" t="s">
        <v>25</v>
      </c>
      <c r="I23" s="10">
        <v>-1236365.53</v>
      </c>
    </row>
    <row r="24" spans="1:9" x14ac:dyDescent="0.25">
      <c r="A24" t="s">
        <v>21</v>
      </c>
      <c r="B24" t="s">
        <v>48</v>
      </c>
      <c r="C24" t="s">
        <v>25</v>
      </c>
      <c r="D24" s="5">
        <v>-3324591.2</v>
      </c>
      <c r="E24" s="5"/>
      <c r="F24" s="8" t="s">
        <v>21</v>
      </c>
      <c r="G24" s="9" t="s">
        <v>48</v>
      </c>
      <c r="H24" s="9" t="s">
        <v>25</v>
      </c>
      <c r="I24" s="10">
        <v>-1458208.44</v>
      </c>
    </row>
    <row r="25" spans="1:9" x14ac:dyDescent="0.25">
      <c r="A25" t="s">
        <v>22</v>
      </c>
      <c r="B25" t="s">
        <v>49</v>
      </c>
      <c r="C25" t="s">
        <v>25</v>
      </c>
      <c r="D25" s="5">
        <v>-1045712.46</v>
      </c>
      <c r="E25" s="5"/>
      <c r="F25" s="8" t="s">
        <v>22</v>
      </c>
      <c r="G25" s="9" t="s">
        <v>49</v>
      </c>
      <c r="H25" s="9" t="s">
        <v>25</v>
      </c>
      <c r="I25" s="10">
        <v>-576206.62999999989</v>
      </c>
    </row>
    <row r="26" spans="1:9" x14ac:dyDescent="0.25">
      <c r="A26" t="s">
        <v>23</v>
      </c>
      <c r="B26" t="s">
        <v>50</v>
      </c>
      <c r="C26" t="s">
        <v>25</v>
      </c>
      <c r="D26" s="5">
        <v>-1064014.18</v>
      </c>
      <c r="E26" s="5"/>
      <c r="F26" s="8" t="s">
        <v>23</v>
      </c>
      <c r="G26" s="9" t="s">
        <v>50</v>
      </c>
      <c r="H26" s="9" t="s">
        <v>25</v>
      </c>
      <c r="I26" s="10">
        <v>-433129.17000000004</v>
      </c>
    </row>
    <row r="27" spans="1:9" ht="15.75" thickBot="1" x14ac:dyDescent="0.3">
      <c r="A27" t="s">
        <v>24</v>
      </c>
      <c r="B27" t="s">
        <v>51</v>
      </c>
      <c r="C27" t="s">
        <v>25</v>
      </c>
      <c r="D27" s="5">
        <v>-917790.92</v>
      </c>
      <c r="E27" s="5"/>
      <c r="F27" s="11" t="s">
        <v>24</v>
      </c>
      <c r="G27" s="12" t="s">
        <v>51</v>
      </c>
      <c r="H27" s="12" t="s">
        <v>25</v>
      </c>
      <c r="I27" s="13">
        <v>-503481.04</v>
      </c>
    </row>
    <row r="28" spans="1:9" x14ac:dyDescent="0.25">
      <c r="A28" s="6" t="s">
        <v>56</v>
      </c>
      <c r="D28" s="5">
        <v>0</v>
      </c>
    </row>
    <row r="30" spans="1:9" x14ac:dyDescent="0.25">
      <c r="D30" s="5">
        <f>SUM(D3:D28)</f>
        <v>4907768.1869899575</v>
      </c>
      <c r="E30" s="5"/>
      <c r="F30" s="7">
        <f>D30-E30</f>
        <v>4907768.1869899575</v>
      </c>
      <c r="I30" s="5">
        <f>SUM(I3:I27)</f>
        <v>31271469.9332764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selection activeCell="F35" sqref="F35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13.85546875" bestFit="1" customWidth="1"/>
    <col min="4" max="4" width="15.28515625" style="5" bestFit="1" customWidth="1"/>
    <col min="5" max="6" width="15.28515625" bestFit="1" customWidth="1"/>
    <col min="8" max="8" width="4.5703125" bestFit="1" customWidth="1"/>
    <col min="9" max="9" width="13.140625" bestFit="1" customWidth="1"/>
  </cols>
  <sheetData>
    <row r="1" spans="1:9" x14ac:dyDescent="0.25">
      <c r="A1" s="1" t="s">
        <v>52</v>
      </c>
      <c r="B1" s="2" t="s">
        <v>53</v>
      </c>
      <c r="C1" s="3" t="s">
        <v>54</v>
      </c>
      <c r="D1" s="4" t="s">
        <v>57</v>
      </c>
    </row>
    <row r="2" spans="1:9" x14ac:dyDescent="0.25">
      <c r="F2" t="s">
        <v>58</v>
      </c>
    </row>
    <row r="3" spans="1:9" x14ac:dyDescent="0.25">
      <c r="A3" t="s">
        <v>0</v>
      </c>
      <c r="B3" t="s">
        <v>26</v>
      </c>
      <c r="C3" t="s">
        <v>25</v>
      </c>
      <c r="D3" s="5">
        <v>-157344.72666549607</v>
      </c>
      <c r="E3" s="5"/>
      <c r="F3" s="8" t="s">
        <v>0</v>
      </c>
      <c r="G3" s="9" t="s">
        <v>26</v>
      </c>
      <c r="H3" s="9" t="s">
        <v>25</v>
      </c>
      <c r="I3" s="10">
        <v>-263442.09179361066</v>
      </c>
    </row>
    <row r="4" spans="1:9" x14ac:dyDescent="0.25">
      <c r="A4" t="s">
        <v>1</v>
      </c>
      <c r="B4" t="s">
        <v>27</v>
      </c>
      <c r="C4" t="s">
        <v>25</v>
      </c>
      <c r="D4" s="5">
        <v>-468622.25545446971</v>
      </c>
      <c r="E4" s="5"/>
      <c r="F4" s="8" t="s">
        <v>1</v>
      </c>
      <c r="G4" s="9" t="s">
        <v>27</v>
      </c>
      <c r="H4" s="9" t="s">
        <v>25</v>
      </c>
      <c r="I4" s="10">
        <v>-873451.17555359402</v>
      </c>
    </row>
    <row r="5" spans="1:9" x14ac:dyDescent="0.25">
      <c r="A5" t="s">
        <v>2</v>
      </c>
      <c r="B5" t="s">
        <v>28</v>
      </c>
      <c r="C5" t="s">
        <v>25</v>
      </c>
      <c r="D5" s="5">
        <v>-656087.01346582989</v>
      </c>
      <c r="E5" s="5"/>
      <c r="F5" s="8" t="s">
        <v>2</v>
      </c>
      <c r="G5" s="9" t="s">
        <v>28</v>
      </c>
      <c r="H5" s="9" t="s">
        <v>25</v>
      </c>
      <c r="I5" s="10">
        <v>-2570007.4075459447</v>
      </c>
    </row>
    <row r="6" spans="1:9" x14ac:dyDescent="0.25">
      <c r="A6" t="s">
        <v>3</v>
      </c>
      <c r="B6" t="s">
        <v>29</v>
      </c>
      <c r="C6" t="s">
        <v>30</v>
      </c>
      <c r="D6" s="5">
        <v>0</v>
      </c>
      <c r="E6" s="5"/>
      <c r="F6" s="8" t="s">
        <v>3</v>
      </c>
      <c r="G6" s="9" t="s">
        <v>29</v>
      </c>
      <c r="H6" s="9" t="s">
        <v>30</v>
      </c>
      <c r="I6" s="10">
        <v>0</v>
      </c>
    </row>
    <row r="7" spans="1:9" x14ac:dyDescent="0.25">
      <c r="A7" t="s">
        <v>4</v>
      </c>
      <c r="B7" t="s">
        <v>31</v>
      </c>
      <c r="C7" t="s">
        <v>25</v>
      </c>
      <c r="D7" s="5">
        <v>-746659.77</v>
      </c>
      <c r="E7" s="5"/>
      <c r="F7" s="8" t="s">
        <v>4</v>
      </c>
      <c r="G7" s="9" t="s">
        <v>31</v>
      </c>
      <c r="H7" s="9" t="s">
        <v>25</v>
      </c>
      <c r="I7" s="10">
        <v>-952395.38</v>
      </c>
    </row>
    <row r="8" spans="1:9" x14ac:dyDescent="0.25">
      <c r="A8" t="s">
        <v>5</v>
      </c>
      <c r="B8" t="s">
        <v>32</v>
      </c>
      <c r="C8" t="s">
        <v>25</v>
      </c>
      <c r="D8" s="5">
        <v>759572.85878791404</v>
      </c>
      <c r="E8" s="5"/>
      <c r="F8" s="8" t="s">
        <v>5</v>
      </c>
      <c r="G8" s="9" t="s">
        <v>32</v>
      </c>
      <c r="H8" s="9" t="s">
        <v>25</v>
      </c>
      <c r="I8" s="10">
        <v>1288201.1661863739</v>
      </c>
    </row>
    <row r="9" spans="1:9" x14ac:dyDescent="0.25">
      <c r="A9" t="s">
        <v>6</v>
      </c>
      <c r="B9" t="s">
        <v>33</v>
      </c>
      <c r="C9" t="s">
        <v>25</v>
      </c>
      <c r="D9" s="5">
        <v>587814.4338240464</v>
      </c>
      <c r="E9" s="5"/>
      <c r="F9" s="8" t="s">
        <v>6</v>
      </c>
      <c r="G9" s="9" t="s">
        <v>33</v>
      </c>
      <c r="H9" s="9" t="s">
        <v>25</v>
      </c>
      <c r="I9" s="10">
        <v>649926.58314971766</v>
      </c>
    </row>
    <row r="10" spans="1:9" x14ac:dyDescent="0.25">
      <c r="A10" t="s">
        <v>7</v>
      </c>
      <c r="B10" t="s">
        <v>34</v>
      </c>
      <c r="C10" t="s">
        <v>25</v>
      </c>
      <c r="D10" s="5">
        <v>255469.12625023327</v>
      </c>
      <c r="E10" s="5"/>
      <c r="F10" s="8" t="s">
        <v>7</v>
      </c>
      <c r="G10" s="9" t="s">
        <v>34</v>
      </c>
      <c r="H10" s="9" t="s">
        <v>25</v>
      </c>
      <c r="I10" s="10">
        <v>326506.04870827519</v>
      </c>
    </row>
    <row r="11" spans="1:9" x14ac:dyDescent="0.25">
      <c r="A11" t="s">
        <v>8</v>
      </c>
      <c r="B11" t="s">
        <v>35</v>
      </c>
      <c r="C11" t="s">
        <v>25</v>
      </c>
      <c r="D11" s="5">
        <v>-49281.47</v>
      </c>
      <c r="E11" s="5"/>
      <c r="F11" s="8" t="s">
        <v>8</v>
      </c>
      <c r="G11" s="9" t="s">
        <v>35</v>
      </c>
      <c r="H11" s="9" t="s">
        <v>25</v>
      </c>
      <c r="I11" s="10">
        <v>-63479.48</v>
      </c>
    </row>
    <row r="12" spans="1:9" x14ac:dyDescent="0.25">
      <c r="A12" t="s">
        <v>9</v>
      </c>
      <c r="B12" t="s">
        <v>36</v>
      </c>
      <c r="C12" t="s">
        <v>25</v>
      </c>
      <c r="D12" s="5">
        <v>-7463218.3699999992</v>
      </c>
      <c r="E12" s="5"/>
      <c r="F12" s="8" t="s">
        <v>9</v>
      </c>
      <c r="G12" s="9" t="s">
        <v>36</v>
      </c>
      <c r="H12" s="9" t="s">
        <v>25</v>
      </c>
      <c r="I12" s="10">
        <v>-10274035.24</v>
      </c>
    </row>
    <row r="13" spans="1:9" x14ac:dyDescent="0.25">
      <c r="A13" t="s">
        <v>10</v>
      </c>
      <c r="B13" t="s">
        <v>37</v>
      </c>
      <c r="C13" t="s">
        <v>25</v>
      </c>
      <c r="D13" s="5">
        <v>-848280.19</v>
      </c>
      <c r="E13" s="5"/>
      <c r="F13" s="8" t="s">
        <v>10</v>
      </c>
      <c r="G13" s="9" t="s">
        <v>37</v>
      </c>
      <c r="H13" s="9" t="s">
        <v>25</v>
      </c>
      <c r="I13" s="10">
        <v>-1212026.5999999999</v>
      </c>
    </row>
    <row r="14" spans="1:9" x14ac:dyDescent="0.25">
      <c r="A14" t="s">
        <v>11</v>
      </c>
      <c r="B14" t="s">
        <v>38</v>
      </c>
      <c r="C14" t="s">
        <v>25</v>
      </c>
      <c r="D14" s="5">
        <v>-826062.97</v>
      </c>
      <c r="E14" s="5"/>
      <c r="F14" s="8" t="s">
        <v>11</v>
      </c>
      <c r="G14" s="9" t="s">
        <v>38</v>
      </c>
      <c r="H14" s="9" t="s">
        <v>25</v>
      </c>
      <c r="I14" s="10">
        <v>-537139.04</v>
      </c>
    </row>
    <row r="15" spans="1:9" x14ac:dyDescent="0.25">
      <c r="A15" t="s">
        <v>12</v>
      </c>
      <c r="B15" t="s">
        <v>39</v>
      </c>
      <c r="C15" t="s">
        <v>25</v>
      </c>
      <c r="D15" s="5">
        <v>-340161.11</v>
      </c>
      <c r="E15" s="5"/>
      <c r="F15" s="8" t="s">
        <v>12</v>
      </c>
      <c r="G15" s="9" t="s">
        <v>39</v>
      </c>
      <c r="H15" s="9" t="s">
        <v>25</v>
      </c>
      <c r="I15" s="10">
        <v>-317706.31</v>
      </c>
    </row>
    <row r="16" spans="1:9" x14ac:dyDescent="0.25">
      <c r="A16" t="s">
        <v>13</v>
      </c>
      <c r="B16" t="s">
        <v>40</v>
      </c>
      <c r="C16" t="s">
        <v>25</v>
      </c>
      <c r="D16" s="5">
        <v>-377530.74999999994</v>
      </c>
      <c r="E16" s="5"/>
      <c r="F16" s="8" t="s">
        <v>13</v>
      </c>
      <c r="G16" s="9" t="s">
        <v>40</v>
      </c>
      <c r="H16" s="9" t="s">
        <v>25</v>
      </c>
      <c r="I16" s="10">
        <v>-527248.05999999994</v>
      </c>
    </row>
    <row r="17" spans="1:9" x14ac:dyDescent="0.25">
      <c r="A17" t="s">
        <v>14</v>
      </c>
      <c r="B17" t="s">
        <v>41</v>
      </c>
      <c r="C17" t="s">
        <v>25</v>
      </c>
      <c r="D17" s="5">
        <v>-931378.25</v>
      </c>
      <c r="E17" s="5"/>
      <c r="F17" s="8" t="s">
        <v>14</v>
      </c>
      <c r="G17" s="9" t="s">
        <v>41</v>
      </c>
      <c r="H17" s="9" t="s">
        <v>25</v>
      </c>
      <c r="I17" s="10">
        <v>-1134875</v>
      </c>
    </row>
    <row r="18" spans="1:9" x14ac:dyDescent="0.25">
      <c r="A18" t="s">
        <v>15</v>
      </c>
      <c r="B18" t="s">
        <v>42</v>
      </c>
      <c r="C18" t="s">
        <v>25</v>
      </c>
      <c r="D18" s="5">
        <v>-316264.98</v>
      </c>
      <c r="E18" s="5"/>
      <c r="F18" s="8" t="s">
        <v>15</v>
      </c>
      <c r="G18" s="9" t="s">
        <v>42</v>
      </c>
      <c r="H18" s="9" t="s">
        <v>25</v>
      </c>
      <c r="I18" s="10">
        <v>-517329.32000000007</v>
      </c>
    </row>
    <row r="19" spans="1:9" x14ac:dyDescent="0.25">
      <c r="A19" t="s">
        <v>16</v>
      </c>
      <c r="B19" t="s">
        <v>43</v>
      </c>
      <c r="C19" t="s">
        <v>25</v>
      </c>
      <c r="D19" s="5">
        <v>-6243117.71</v>
      </c>
      <c r="E19" s="5"/>
      <c r="F19" s="8" t="s">
        <v>16</v>
      </c>
      <c r="G19" s="9" t="s">
        <v>43</v>
      </c>
      <c r="H19" s="9" t="s">
        <v>25</v>
      </c>
      <c r="I19" s="10">
        <v>18316834.629999995</v>
      </c>
    </row>
    <row r="20" spans="1:9" x14ac:dyDescent="0.25">
      <c r="A20" t="s">
        <v>17</v>
      </c>
      <c r="B20" t="s">
        <v>44</v>
      </c>
      <c r="C20" t="s">
        <v>25</v>
      </c>
      <c r="D20" s="5">
        <v>58481400.080000006</v>
      </c>
      <c r="E20" s="5"/>
      <c r="F20" s="8" t="s">
        <v>17</v>
      </c>
      <c r="G20" s="9" t="s">
        <v>44</v>
      </c>
      <c r="H20" s="9" t="s">
        <v>25</v>
      </c>
      <c r="I20" s="10">
        <v>5549701.9799999995</v>
      </c>
    </row>
    <row r="21" spans="1:9" x14ac:dyDescent="0.25">
      <c r="A21" t="s">
        <v>18</v>
      </c>
      <c r="B21" t="s">
        <v>45</v>
      </c>
      <c r="C21" t="s">
        <v>25</v>
      </c>
      <c r="D21" s="5">
        <v>-3025819.41</v>
      </c>
      <c r="E21" s="5"/>
      <c r="F21" s="8" t="s">
        <v>18</v>
      </c>
      <c r="G21" s="9" t="s">
        <v>45</v>
      </c>
      <c r="H21" s="9" t="s">
        <v>25</v>
      </c>
      <c r="I21" s="10">
        <v>-2035673.8</v>
      </c>
    </row>
    <row r="22" spans="1:9" x14ac:dyDescent="0.25">
      <c r="A22" t="s">
        <v>19</v>
      </c>
      <c r="B22" t="s">
        <v>46</v>
      </c>
      <c r="C22" t="s">
        <v>25</v>
      </c>
      <c r="D22" s="5">
        <v>-2155566.7799999998</v>
      </c>
      <c r="E22" s="5"/>
      <c r="F22" s="8" t="s">
        <v>19</v>
      </c>
      <c r="G22" s="9" t="s">
        <v>46</v>
      </c>
      <c r="H22" s="9" t="s">
        <v>25</v>
      </c>
      <c r="I22" s="10">
        <v>-2145105.0499999998</v>
      </c>
    </row>
    <row r="23" spans="1:9" x14ac:dyDescent="0.25">
      <c r="A23" t="s">
        <v>20</v>
      </c>
      <c r="B23" t="s">
        <v>47</v>
      </c>
      <c r="C23" t="s">
        <v>25</v>
      </c>
      <c r="D23" s="5">
        <v>-1236365.53</v>
      </c>
      <c r="E23" s="5"/>
      <c r="F23" s="8" t="s">
        <v>20</v>
      </c>
      <c r="G23" s="9" t="s">
        <v>47</v>
      </c>
      <c r="H23" s="9" t="s">
        <v>25</v>
      </c>
      <c r="I23" s="10">
        <v>-1103557.33</v>
      </c>
    </row>
    <row r="24" spans="1:9" x14ac:dyDescent="0.25">
      <c r="A24" t="s">
        <v>21</v>
      </c>
      <c r="B24" t="s">
        <v>48</v>
      </c>
      <c r="C24" t="s">
        <v>25</v>
      </c>
      <c r="D24" s="5">
        <v>-1458208.44</v>
      </c>
      <c r="E24" s="5"/>
      <c r="F24" s="8" t="s">
        <v>21</v>
      </c>
      <c r="G24" s="9" t="s">
        <v>48</v>
      </c>
      <c r="H24" s="9" t="s">
        <v>25</v>
      </c>
      <c r="I24" s="10">
        <v>-1324178.0099999995</v>
      </c>
    </row>
    <row r="25" spans="1:9" x14ac:dyDescent="0.25">
      <c r="A25" t="s">
        <v>22</v>
      </c>
      <c r="B25" t="s">
        <v>49</v>
      </c>
      <c r="C25" t="s">
        <v>25</v>
      </c>
      <c r="D25" s="5">
        <v>-576206.62999999989</v>
      </c>
      <c r="E25" s="5"/>
      <c r="F25" s="8" t="s">
        <v>22</v>
      </c>
      <c r="G25" s="9" t="s">
        <v>49</v>
      </c>
      <c r="H25" s="9" t="s">
        <v>25</v>
      </c>
      <c r="I25" s="10">
        <v>-441617.54</v>
      </c>
    </row>
    <row r="26" spans="1:9" x14ac:dyDescent="0.25">
      <c r="A26" t="s">
        <v>23</v>
      </c>
      <c r="B26" t="s">
        <v>50</v>
      </c>
      <c r="C26" t="s">
        <v>25</v>
      </c>
      <c r="D26" s="5">
        <v>-433129.17000000004</v>
      </c>
      <c r="E26" s="5"/>
      <c r="F26" s="8" t="s">
        <v>23</v>
      </c>
      <c r="G26" s="9" t="s">
        <v>50</v>
      </c>
      <c r="H26" s="9" t="s">
        <v>25</v>
      </c>
      <c r="I26" s="10">
        <v>-886660.13</v>
      </c>
    </row>
    <row r="27" spans="1:9" ht="15.75" thickBot="1" x14ac:dyDescent="0.3">
      <c r="A27" t="s">
        <v>24</v>
      </c>
      <c r="B27" t="s">
        <v>51</v>
      </c>
      <c r="C27" t="s">
        <v>25</v>
      </c>
      <c r="D27" s="5">
        <v>-503481.04</v>
      </c>
      <c r="E27" s="5"/>
      <c r="F27" s="11" t="s">
        <v>24</v>
      </c>
      <c r="G27" s="12" t="s">
        <v>51</v>
      </c>
      <c r="H27" s="12" t="s">
        <v>25</v>
      </c>
      <c r="I27" s="13">
        <v>-412226.1</v>
      </c>
    </row>
    <row r="28" spans="1:9" x14ac:dyDescent="0.25">
      <c r="A28" s="6" t="s">
        <v>56</v>
      </c>
      <c r="D28" s="5">
        <v>0</v>
      </c>
    </row>
    <row r="30" spans="1:9" x14ac:dyDescent="0.25">
      <c r="D30" s="5">
        <f>SUM(D3:D28)</f>
        <v>31271469.9332764</v>
      </c>
      <c r="E30" s="5"/>
      <c r="F30" s="7">
        <f>D30-E30</f>
        <v>31271469.9332764</v>
      </c>
      <c r="I30" s="5">
        <f>SUM(I3:I27)</f>
        <v>-1460982.6568487873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selection activeCell="H26" sqref="H26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13.85546875" bestFit="1" customWidth="1"/>
    <col min="4" max="4" width="15.28515625" style="5" bestFit="1" customWidth="1"/>
    <col min="5" max="6" width="15.28515625" bestFit="1" customWidth="1"/>
    <col min="8" max="8" width="4.5703125" bestFit="1" customWidth="1"/>
    <col min="9" max="9" width="13.140625" bestFit="1" customWidth="1"/>
  </cols>
  <sheetData>
    <row r="1" spans="1:9" x14ac:dyDescent="0.25">
      <c r="A1" s="1" t="s">
        <v>52</v>
      </c>
      <c r="B1" s="2" t="s">
        <v>53</v>
      </c>
      <c r="C1" s="3" t="s">
        <v>54</v>
      </c>
      <c r="D1" s="4" t="s">
        <v>57</v>
      </c>
    </row>
    <row r="3" spans="1:9" x14ac:dyDescent="0.25">
      <c r="A3" t="s">
        <v>0</v>
      </c>
      <c r="B3" t="s">
        <v>26</v>
      </c>
      <c r="C3" t="s">
        <v>25</v>
      </c>
      <c r="D3" s="5">
        <v>-263442.09179361066</v>
      </c>
      <c r="E3" s="5"/>
      <c r="F3" s="8" t="s">
        <v>0</v>
      </c>
      <c r="G3" s="9" t="s">
        <v>26</v>
      </c>
      <c r="H3" s="9" t="s">
        <v>25</v>
      </c>
      <c r="I3" s="10">
        <v>-251747.07179361064</v>
      </c>
    </row>
    <row r="4" spans="1:9" x14ac:dyDescent="0.25">
      <c r="A4" t="s">
        <v>1</v>
      </c>
      <c r="B4" t="s">
        <v>27</v>
      </c>
      <c r="C4" t="s">
        <v>25</v>
      </c>
      <c r="D4" s="5">
        <v>-873451.17555359402</v>
      </c>
      <c r="E4" s="5"/>
      <c r="F4" s="8" t="s">
        <v>1</v>
      </c>
      <c r="G4" s="9" t="s">
        <v>27</v>
      </c>
      <c r="H4" s="9" t="s">
        <v>25</v>
      </c>
      <c r="I4" s="10">
        <v>-856571.26555359398</v>
      </c>
    </row>
    <row r="5" spans="1:9" x14ac:dyDescent="0.25">
      <c r="A5" t="s">
        <v>2</v>
      </c>
      <c r="B5" t="s">
        <v>28</v>
      </c>
      <c r="C5" t="s">
        <v>25</v>
      </c>
      <c r="D5" s="5">
        <v>-2570007.4075459447</v>
      </c>
      <c r="E5" s="5"/>
      <c r="F5" s="8" t="s">
        <v>2</v>
      </c>
      <c r="G5" s="9" t="s">
        <v>28</v>
      </c>
      <c r="H5" s="9" t="s">
        <v>25</v>
      </c>
      <c r="I5" s="10">
        <v>-2471429.1151982476</v>
      </c>
    </row>
    <row r="6" spans="1:9" x14ac:dyDescent="0.25">
      <c r="A6" t="s">
        <v>3</v>
      </c>
      <c r="B6" t="s">
        <v>29</v>
      </c>
      <c r="C6" t="s">
        <v>30</v>
      </c>
      <c r="D6" s="5">
        <v>0</v>
      </c>
      <c r="E6" s="5"/>
      <c r="F6" s="8" t="s">
        <v>3</v>
      </c>
      <c r="G6" s="9" t="s">
        <v>29</v>
      </c>
      <c r="H6" s="9" t="s">
        <v>30</v>
      </c>
      <c r="I6" s="10">
        <v>0</v>
      </c>
    </row>
    <row r="7" spans="1:9" x14ac:dyDescent="0.25">
      <c r="A7" t="s">
        <v>4</v>
      </c>
      <c r="B7" t="s">
        <v>31</v>
      </c>
      <c r="C7" t="s">
        <v>25</v>
      </c>
      <c r="D7" s="5">
        <v>-952395.38</v>
      </c>
      <c r="E7" s="5"/>
      <c r="F7" s="8" t="s">
        <v>4</v>
      </c>
      <c r="G7" s="9" t="s">
        <v>31</v>
      </c>
      <c r="H7" s="9" t="s">
        <v>25</v>
      </c>
      <c r="I7" s="10">
        <v>-776613.54</v>
      </c>
    </row>
    <row r="8" spans="1:9" x14ac:dyDescent="0.25">
      <c r="A8" t="s">
        <v>5</v>
      </c>
      <c r="B8" t="s">
        <v>32</v>
      </c>
      <c r="C8" t="s">
        <v>25</v>
      </c>
      <c r="D8" s="5">
        <v>1288201.1661863739</v>
      </c>
      <c r="E8" s="5"/>
      <c r="F8" s="8" t="s">
        <v>5</v>
      </c>
      <c r="G8" s="9" t="s">
        <v>32</v>
      </c>
      <c r="H8" s="9" t="s">
        <v>25</v>
      </c>
      <c r="I8" s="10">
        <v>1341375.5850742625</v>
      </c>
    </row>
    <row r="9" spans="1:9" x14ac:dyDescent="0.25">
      <c r="A9" t="s">
        <v>6</v>
      </c>
      <c r="B9" t="s">
        <v>33</v>
      </c>
      <c r="C9" t="s">
        <v>25</v>
      </c>
      <c r="D9" s="5">
        <v>649926.58314971766</v>
      </c>
      <c r="E9" s="5"/>
      <c r="F9" s="8" t="s">
        <v>6</v>
      </c>
      <c r="G9" s="9" t="s">
        <v>33</v>
      </c>
      <c r="H9" s="9" t="s">
        <v>25</v>
      </c>
      <c r="I9" s="10">
        <v>768845.56627776986</v>
      </c>
    </row>
    <row r="10" spans="1:9" x14ac:dyDescent="0.25">
      <c r="A10" t="s">
        <v>7</v>
      </c>
      <c r="B10" t="s">
        <v>34</v>
      </c>
      <c r="C10" t="s">
        <v>25</v>
      </c>
      <c r="D10" s="5">
        <v>326506.04870827519</v>
      </c>
      <c r="E10" s="5"/>
      <c r="F10" s="8" t="s">
        <v>7</v>
      </c>
      <c r="G10" s="9" t="s">
        <v>34</v>
      </c>
      <c r="H10" s="9" t="s">
        <v>25</v>
      </c>
      <c r="I10" s="10">
        <v>319114.19943635841</v>
      </c>
    </row>
    <row r="11" spans="1:9" x14ac:dyDescent="0.25">
      <c r="A11" t="s">
        <v>8</v>
      </c>
      <c r="B11" t="s">
        <v>35</v>
      </c>
      <c r="C11" t="s">
        <v>25</v>
      </c>
      <c r="D11" s="5">
        <v>-63479.48</v>
      </c>
      <c r="E11" s="5"/>
      <c r="F11" s="8" t="s">
        <v>8</v>
      </c>
      <c r="G11" s="9" t="s">
        <v>35</v>
      </c>
      <c r="H11" s="9" t="s">
        <v>25</v>
      </c>
      <c r="I11" s="10">
        <v>-62271.8</v>
      </c>
    </row>
    <row r="12" spans="1:9" x14ac:dyDescent="0.25">
      <c r="A12" t="s">
        <v>9</v>
      </c>
      <c r="B12" t="s">
        <v>36</v>
      </c>
      <c r="C12" t="s">
        <v>25</v>
      </c>
      <c r="D12" s="5">
        <v>-10274035.24</v>
      </c>
      <c r="E12" s="5"/>
      <c r="F12" s="8" t="s">
        <v>9</v>
      </c>
      <c r="G12" s="9" t="s">
        <v>36</v>
      </c>
      <c r="H12" s="9" t="s">
        <v>25</v>
      </c>
      <c r="I12" s="10">
        <v>-9764960.3399999999</v>
      </c>
    </row>
    <row r="13" spans="1:9" x14ac:dyDescent="0.25">
      <c r="A13" t="s">
        <v>10</v>
      </c>
      <c r="B13" t="s">
        <v>37</v>
      </c>
      <c r="C13" t="s">
        <v>25</v>
      </c>
      <c r="D13" s="5">
        <v>-1212026.5999999999</v>
      </c>
      <c r="E13" s="5"/>
      <c r="F13" s="8" t="s">
        <v>10</v>
      </c>
      <c r="G13" s="9" t="s">
        <v>37</v>
      </c>
      <c r="H13" s="9" t="s">
        <v>25</v>
      </c>
      <c r="I13" s="10">
        <v>-1195534.1299999999</v>
      </c>
    </row>
    <row r="14" spans="1:9" x14ac:dyDescent="0.25">
      <c r="A14" t="s">
        <v>11</v>
      </c>
      <c r="B14" t="s">
        <v>38</v>
      </c>
      <c r="C14" t="s">
        <v>25</v>
      </c>
      <c r="D14" s="5">
        <v>-537139.04</v>
      </c>
      <c r="E14" s="5"/>
      <c r="F14" s="8" t="s">
        <v>11</v>
      </c>
      <c r="G14" s="9" t="s">
        <v>38</v>
      </c>
      <c r="H14" s="9" t="s">
        <v>25</v>
      </c>
      <c r="I14" s="10">
        <v>-476106.68</v>
      </c>
    </row>
    <row r="15" spans="1:9" x14ac:dyDescent="0.25">
      <c r="A15" t="s">
        <v>12</v>
      </c>
      <c r="B15" t="s">
        <v>39</v>
      </c>
      <c r="C15" t="s">
        <v>25</v>
      </c>
      <c r="D15" s="5">
        <v>-317706.31</v>
      </c>
      <c r="E15" s="5"/>
      <c r="F15" s="8" t="s">
        <v>12</v>
      </c>
      <c r="G15" s="9" t="s">
        <v>39</v>
      </c>
      <c r="H15" s="9" t="s">
        <v>25</v>
      </c>
      <c r="I15" s="10">
        <v>-313227.38</v>
      </c>
    </row>
    <row r="16" spans="1:9" x14ac:dyDescent="0.25">
      <c r="A16" t="s">
        <v>13</v>
      </c>
      <c r="B16" t="s">
        <v>40</v>
      </c>
      <c r="C16" t="s">
        <v>25</v>
      </c>
      <c r="D16" s="5">
        <v>-527248.05999999994</v>
      </c>
      <c r="E16" s="5"/>
      <c r="F16" s="8" t="s">
        <v>13</v>
      </c>
      <c r="G16" s="9" t="s">
        <v>40</v>
      </c>
      <c r="H16" s="9" t="s">
        <v>25</v>
      </c>
      <c r="I16" s="10">
        <v>-490206.97</v>
      </c>
    </row>
    <row r="17" spans="1:9" x14ac:dyDescent="0.25">
      <c r="A17" t="s">
        <v>14</v>
      </c>
      <c r="B17" t="s">
        <v>41</v>
      </c>
      <c r="C17" t="s">
        <v>25</v>
      </c>
      <c r="D17" s="5">
        <v>-1134875</v>
      </c>
      <c r="E17" s="5"/>
      <c r="F17" s="8" t="s">
        <v>14</v>
      </c>
      <c r="G17" s="9" t="s">
        <v>41</v>
      </c>
      <c r="H17" s="9" t="s">
        <v>25</v>
      </c>
      <c r="I17" s="10">
        <v>-1028640.9800000001</v>
      </c>
    </row>
    <row r="18" spans="1:9" x14ac:dyDescent="0.25">
      <c r="A18" t="s">
        <v>15</v>
      </c>
      <c r="B18" t="s">
        <v>42</v>
      </c>
      <c r="C18" t="s">
        <v>25</v>
      </c>
      <c r="D18" s="5">
        <v>-517329.32000000007</v>
      </c>
      <c r="E18" s="5"/>
      <c r="F18" s="8" t="s">
        <v>15</v>
      </c>
      <c r="G18" s="9" t="s">
        <v>42</v>
      </c>
      <c r="H18" s="9" t="s">
        <v>25</v>
      </c>
      <c r="I18" s="10">
        <v>-497136.51000000007</v>
      </c>
    </row>
    <row r="19" spans="1:9" x14ac:dyDescent="0.25">
      <c r="A19" t="s">
        <v>16</v>
      </c>
      <c r="B19" t="s">
        <v>43</v>
      </c>
      <c r="C19" t="s">
        <v>25</v>
      </c>
      <c r="D19" s="5">
        <v>18316834.629999995</v>
      </c>
      <c r="E19" s="5"/>
      <c r="F19" s="8" t="s">
        <v>16</v>
      </c>
      <c r="G19" s="9" t="s">
        <v>43</v>
      </c>
      <c r="H19" s="9" t="s">
        <v>25</v>
      </c>
      <c r="I19" s="10">
        <v>15564078.409999996</v>
      </c>
    </row>
    <row r="20" spans="1:9" x14ac:dyDescent="0.25">
      <c r="A20" t="s">
        <v>17</v>
      </c>
      <c r="B20" t="s">
        <v>44</v>
      </c>
      <c r="C20" t="s">
        <v>25</v>
      </c>
      <c r="D20" s="5">
        <v>5549701.9799999995</v>
      </c>
      <c r="E20" s="5"/>
      <c r="F20" s="8" t="s">
        <v>17</v>
      </c>
      <c r="G20" s="9" t="s">
        <v>44</v>
      </c>
      <c r="H20" s="9" t="s">
        <v>25</v>
      </c>
      <c r="I20" s="10">
        <v>4832475.7399999993</v>
      </c>
    </row>
    <row r="21" spans="1:9" x14ac:dyDescent="0.25">
      <c r="A21" t="s">
        <v>18</v>
      </c>
      <c r="B21" t="s">
        <v>45</v>
      </c>
      <c r="C21" t="s">
        <v>25</v>
      </c>
      <c r="D21" s="5">
        <v>-2035673.8</v>
      </c>
      <c r="E21" s="5"/>
      <c r="F21" s="8" t="s">
        <v>18</v>
      </c>
      <c r="G21" s="9" t="s">
        <v>45</v>
      </c>
      <c r="H21" s="9" t="s">
        <v>25</v>
      </c>
      <c r="I21" s="10">
        <v>-1723894.96</v>
      </c>
    </row>
    <row r="22" spans="1:9" x14ac:dyDescent="0.25">
      <c r="A22" t="s">
        <v>19</v>
      </c>
      <c r="B22" t="s">
        <v>46</v>
      </c>
      <c r="C22" t="s">
        <v>25</v>
      </c>
      <c r="D22" s="5">
        <v>-2145105.0499999998</v>
      </c>
      <c r="E22" s="5"/>
      <c r="F22" s="8" t="s">
        <v>19</v>
      </c>
      <c r="G22" s="9" t="s">
        <v>46</v>
      </c>
      <c r="H22" s="9" t="s">
        <v>25</v>
      </c>
      <c r="I22" s="10">
        <v>-2082974.18</v>
      </c>
    </row>
    <row r="23" spans="1:9" x14ac:dyDescent="0.25">
      <c r="A23" t="s">
        <v>20</v>
      </c>
      <c r="B23" t="s">
        <v>47</v>
      </c>
      <c r="C23" t="s">
        <v>25</v>
      </c>
      <c r="D23" s="5">
        <v>-1103557.33</v>
      </c>
      <c r="E23" s="5"/>
      <c r="F23" s="8" t="s">
        <v>20</v>
      </c>
      <c r="G23" s="9" t="s">
        <v>47</v>
      </c>
      <c r="H23" s="9" t="s">
        <v>25</v>
      </c>
      <c r="I23" s="10">
        <v>-1038344.89</v>
      </c>
    </row>
    <row r="24" spans="1:9" x14ac:dyDescent="0.25">
      <c r="A24" t="s">
        <v>21</v>
      </c>
      <c r="B24" t="s">
        <v>48</v>
      </c>
      <c r="C24" t="s">
        <v>25</v>
      </c>
      <c r="D24" s="5">
        <v>-1324178.0099999995</v>
      </c>
      <c r="E24" s="5"/>
      <c r="F24" s="8" t="s">
        <v>21</v>
      </c>
      <c r="G24" s="9" t="s">
        <v>48</v>
      </c>
      <c r="H24" s="9" t="s">
        <v>25</v>
      </c>
      <c r="I24" s="10">
        <v>-1283461.6499999994</v>
      </c>
    </row>
    <row r="25" spans="1:9" x14ac:dyDescent="0.25">
      <c r="A25" t="s">
        <v>22</v>
      </c>
      <c r="B25" t="s">
        <v>49</v>
      </c>
      <c r="C25" t="s">
        <v>25</v>
      </c>
      <c r="D25" s="5">
        <v>-441617.54</v>
      </c>
      <c r="E25" s="5"/>
      <c r="F25" s="8" t="s">
        <v>22</v>
      </c>
      <c r="G25" s="9" t="s">
        <v>49</v>
      </c>
      <c r="H25" s="9" t="s">
        <v>25</v>
      </c>
      <c r="I25" s="10">
        <v>-355007.6</v>
      </c>
    </row>
    <row r="26" spans="1:9" x14ac:dyDescent="0.25">
      <c r="A26" t="s">
        <v>23</v>
      </c>
      <c r="B26" t="s">
        <v>50</v>
      </c>
      <c r="C26" t="s">
        <v>25</v>
      </c>
      <c r="D26" s="5">
        <v>-886660.13</v>
      </c>
      <c r="E26" s="5"/>
      <c r="F26" s="8" t="s">
        <v>23</v>
      </c>
      <c r="G26" s="9" t="s">
        <v>50</v>
      </c>
      <c r="H26" s="9" t="s">
        <v>25</v>
      </c>
      <c r="I26" s="10">
        <v>-839487.29</v>
      </c>
    </row>
    <row r="27" spans="1:9" ht="15.75" thickBot="1" x14ac:dyDescent="0.3">
      <c r="A27" t="s">
        <v>24</v>
      </c>
      <c r="B27" t="s">
        <v>51</v>
      </c>
      <c r="C27" t="s">
        <v>25</v>
      </c>
      <c r="D27" s="5">
        <v>-412226.1</v>
      </c>
      <c r="E27" s="5"/>
      <c r="F27" s="11" t="s">
        <v>24</v>
      </c>
      <c r="G27" s="12" t="s">
        <v>51</v>
      </c>
      <c r="H27" s="12" t="s">
        <v>25</v>
      </c>
      <c r="I27" s="13">
        <v>-387292.07</v>
      </c>
    </row>
    <row r="28" spans="1:9" x14ac:dyDescent="0.25">
      <c r="A28" s="6" t="s">
        <v>56</v>
      </c>
      <c r="D28" s="5">
        <v>0</v>
      </c>
    </row>
    <row r="30" spans="1:9" x14ac:dyDescent="0.25">
      <c r="D30" s="5">
        <f>SUM(D3:D27)</f>
        <v>-1460982.6568487873</v>
      </c>
      <c r="E30" s="5"/>
      <c r="F30" s="7">
        <f>D30-E30</f>
        <v>-1460982.6568487873</v>
      </c>
      <c r="I30" s="5">
        <f>SUM(I3:I27)</f>
        <v>-3069018.9217570643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workbookViewId="0">
      <selection activeCell="K30" sqref="K30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13.85546875" bestFit="1" customWidth="1"/>
    <col min="4" max="4" width="15.28515625" style="5" bestFit="1" customWidth="1"/>
    <col min="5" max="6" width="15.28515625" bestFit="1" customWidth="1"/>
  </cols>
  <sheetData>
    <row r="1" spans="1:5" x14ac:dyDescent="0.25">
      <c r="A1" s="1" t="s">
        <v>52</v>
      </c>
      <c r="B1" s="2" t="s">
        <v>53</v>
      </c>
      <c r="C1" s="3" t="s">
        <v>54</v>
      </c>
      <c r="D1" s="4" t="s">
        <v>57</v>
      </c>
    </row>
    <row r="3" spans="1:5" x14ac:dyDescent="0.25">
      <c r="A3" t="s">
        <v>0</v>
      </c>
      <c r="B3" t="s">
        <v>26</v>
      </c>
      <c r="C3" t="s">
        <v>25</v>
      </c>
      <c r="D3" s="5">
        <v>-96146.229674970775</v>
      </c>
      <c r="E3" s="5"/>
    </row>
    <row r="4" spans="1:5" x14ac:dyDescent="0.25">
      <c r="A4" t="s">
        <v>1</v>
      </c>
      <c r="B4" t="s">
        <v>27</v>
      </c>
      <c r="C4" t="s">
        <v>25</v>
      </c>
      <c r="D4" s="5">
        <v>-566309.48555970134</v>
      </c>
      <c r="E4" s="5"/>
    </row>
    <row r="5" spans="1:5" x14ac:dyDescent="0.25">
      <c r="A5" t="s">
        <v>2</v>
      </c>
      <c r="B5" t="s">
        <v>28</v>
      </c>
      <c r="C5" t="s">
        <v>25</v>
      </c>
      <c r="D5" s="5">
        <v>-1462348.138896706</v>
      </c>
      <c r="E5" s="5"/>
    </row>
    <row r="6" spans="1:5" x14ac:dyDescent="0.25">
      <c r="A6" t="s">
        <v>3</v>
      </c>
      <c r="B6" t="s">
        <v>29</v>
      </c>
      <c r="C6" t="s">
        <v>30</v>
      </c>
      <c r="D6" s="5">
        <v>0</v>
      </c>
      <c r="E6" s="5"/>
    </row>
    <row r="7" spans="1:5" x14ac:dyDescent="0.25">
      <c r="A7" t="s">
        <v>4</v>
      </c>
      <c r="B7" t="s">
        <v>31</v>
      </c>
      <c r="C7" t="s">
        <v>25</v>
      </c>
      <c r="D7" s="5">
        <v>-296322.61000000004</v>
      </c>
      <c r="E7" s="5"/>
    </row>
    <row r="8" spans="1:5" x14ac:dyDescent="0.25">
      <c r="A8" t="s">
        <v>5</v>
      </c>
      <c r="B8" t="s">
        <v>32</v>
      </c>
      <c r="C8" t="s">
        <v>25</v>
      </c>
      <c r="D8" s="5">
        <v>552439.5510973921</v>
      </c>
      <c r="E8" s="5"/>
    </row>
    <row r="9" spans="1:5" x14ac:dyDescent="0.25">
      <c r="A9" t="s">
        <v>6</v>
      </c>
      <c r="B9" t="s">
        <v>33</v>
      </c>
      <c r="C9" t="s">
        <v>25</v>
      </c>
      <c r="D9" s="5">
        <v>526116.70570298471</v>
      </c>
      <c r="E9" s="5"/>
    </row>
    <row r="10" spans="1:5" x14ac:dyDescent="0.25">
      <c r="A10" t="s">
        <v>7</v>
      </c>
      <c r="B10" t="s">
        <v>34</v>
      </c>
      <c r="C10" t="s">
        <v>25</v>
      </c>
      <c r="D10" s="5">
        <v>201055.27001942456</v>
      </c>
      <c r="E10" s="5"/>
    </row>
    <row r="11" spans="1:5" x14ac:dyDescent="0.25">
      <c r="A11" t="s">
        <v>8</v>
      </c>
      <c r="B11" t="s">
        <v>35</v>
      </c>
      <c r="C11" t="s">
        <v>25</v>
      </c>
      <c r="D11" s="5">
        <v>-46847.11</v>
      </c>
      <c r="E11" s="5"/>
    </row>
    <row r="12" spans="1:5" x14ac:dyDescent="0.25">
      <c r="A12" t="s">
        <v>9</v>
      </c>
      <c r="B12" t="s">
        <v>36</v>
      </c>
      <c r="C12" t="s">
        <v>25</v>
      </c>
      <c r="D12" s="5">
        <v>-4021219.59</v>
      </c>
      <c r="E12" s="5"/>
    </row>
    <row r="13" spans="1:5" x14ac:dyDescent="0.25">
      <c r="A13" t="s">
        <v>10</v>
      </c>
      <c r="B13" t="s">
        <v>37</v>
      </c>
      <c r="C13" t="s">
        <v>25</v>
      </c>
      <c r="D13" s="5">
        <v>-619271.56999999995</v>
      </c>
      <c r="E13" s="5"/>
    </row>
    <row r="14" spans="1:5" x14ac:dyDescent="0.25">
      <c r="A14" t="s">
        <v>11</v>
      </c>
      <c r="B14" t="s">
        <v>38</v>
      </c>
      <c r="C14" t="s">
        <v>25</v>
      </c>
      <c r="D14" s="5">
        <v>-206682.43</v>
      </c>
      <c r="E14" s="5"/>
    </row>
    <row r="15" spans="1:5" x14ac:dyDescent="0.25">
      <c r="A15" t="s">
        <v>12</v>
      </c>
      <c r="B15" t="s">
        <v>39</v>
      </c>
      <c r="C15" t="s">
        <v>25</v>
      </c>
      <c r="D15" s="5">
        <v>20334.99000000002</v>
      </c>
      <c r="E15" s="5"/>
    </row>
    <row r="16" spans="1:5" x14ac:dyDescent="0.25">
      <c r="A16" t="s">
        <v>13</v>
      </c>
      <c r="B16" t="s">
        <v>40</v>
      </c>
      <c r="C16" t="s">
        <v>25</v>
      </c>
      <c r="D16" s="5">
        <v>-295779.88</v>
      </c>
      <c r="E16" s="5"/>
    </row>
    <row r="17" spans="1:6" x14ac:dyDescent="0.25">
      <c r="A17" t="s">
        <v>14</v>
      </c>
      <c r="B17" t="s">
        <v>41</v>
      </c>
      <c r="C17" t="s">
        <v>25</v>
      </c>
      <c r="D17" s="5">
        <v>-335437.19000000006</v>
      </c>
      <c r="E17" s="5"/>
    </row>
    <row r="18" spans="1:6" x14ac:dyDescent="0.25">
      <c r="A18" t="s">
        <v>15</v>
      </c>
      <c r="B18" t="s">
        <v>42</v>
      </c>
      <c r="C18" t="s">
        <v>25</v>
      </c>
      <c r="D18" s="5">
        <v>-228336.12</v>
      </c>
      <c r="E18" s="5"/>
    </row>
    <row r="19" spans="1:6" x14ac:dyDescent="0.25">
      <c r="A19" t="s">
        <v>16</v>
      </c>
      <c r="B19" t="s">
        <v>43</v>
      </c>
      <c r="C19" t="s">
        <v>25</v>
      </c>
      <c r="D19" s="5">
        <v>7129427.4699999988</v>
      </c>
      <c r="E19" s="5"/>
    </row>
    <row r="20" spans="1:6" x14ac:dyDescent="0.25">
      <c r="A20" t="s">
        <v>17</v>
      </c>
      <c r="B20" t="s">
        <v>44</v>
      </c>
      <c r="C20" t="s">
        <v>25</v>
      </c>
      <c r="D20" s="5">
        <v>3549314.5899999994</v>
      </c>
      <c r="E20" s="5"/>
    </row>
    <row r="21" spans="1:6" x14ac:dyDescent="0.25">
      <c r="A21" t="s">
        <v>18</v>
      </c>
      <c r="B21" t="s">
        <v>45</v>
      </c>
      <c r="C21" t="s">
        <v>25</v>
      </c>
      <c r="D21" s="5">
        <v>-558329.51</v>
      </c>
      <c r="E21" s="5"/>
    </row>
    <row r="22" spans="1:6" x14ac:dyDescent="0.25">
      <c r="A22" t="s">
        <v>19</v>
      </c>
      <c r="B22" t="s">
        <v>46</v>
      </c>
      <c r="C22" t="s">
        <v>25</v>
      </c>
      <c r="D22" s="5">
        <v>-1326761.07</v>
      </c>
      <c r="E22" s="5"/>
    </row>
    <row r="23" spans="1:6" x14ac:dyDescent="0.25">
      <c r="A23" t="s">
        <v>20</v>
      </c>
      <c r="B23" t="s">
        <v>47</v>
      </c>
      <c r="C23" t="s">
        <v>25</v>
      </c>
      <c r="D23" s="5">
        <v>-846679.68</v>
      </c>
      <c r="E23" s="5"/>
    </row>
    <row r="24" spans="1:6" x14ac:dyDescent="0.25">
      <c r="A24" t="s">
        <v>21</v>
      </c>
      <c r="B24" t="s">
        <v>48</v>
      </c>
      <c r="C24" t="s">
        <v>25</v>
      </c>
      <c r="D24" s="5">
        <v>-866569.11999999988</v>
      </c>
      <c r="E24" s="5"/>
    </row>
    <row r="25" spans="1:6" x14ac:dyDescent="0.25">
      <c r="A25" t="s">
        <v>22</v>
      </c>
      <c r="B25" t="s">
        <v>49</v>
      </c>
      <c r="C25" t="s">
        <v>25</v>
      </c>
      <c r="D25" s="5">
        <v>-177058.64</v>
      </c>
      <c r="E25" s="5"/>
    </row>
    <row r="26" spans="1:6" x14ac:dyDescent="0.25">
      <c r="A26" t="s">
        <v>23</v>
      </c>
      <c r="B26" t="s">
        <v>50</v>
      </c>
      <c r="C26" t="s">
        <v>25</v>
      </c>
      <c r="D26" s="5">
        <v>-558079.66</v>
      </c>
      <c r="E26" s="5"/>
    </row>
    <row r="27" spans="1:6" x14ac:dyDescent="0.25">
      <c r="A27" t="s">
        <v>24</v>
      </c>
      <c r="B27" t="s">
        <v>51</v>
      </c>
      <c r="C27" t="s">
        <v>25</v>
      </c>
      <c r="D27" s="5">
        <v>-192240.03</v>
      </c>
      <c r="E27" s="5"/>
    </row>
    <row r="28" spans="1:6" x14ac:dyDescent="0.25">
      <c r="A28" s="6" t="s">
        <v>56</v>
      </c>
    </row>
    <row r="30" spans="1:6" x14ac:dyDescent="0.25">
      <c r="D30" s="5">
        <f>SUM(D3:D28)</f>
        <v>-721729.48731157905</v>
      </c>
      <c r="E30" s="5"/>
      <c r="F30" s="7">
        <f>D30-E30</f>
        <v>-721729.48731157905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7"/>
  <sheetViews>
    <sheetView workbookViewId="0">
      <selection activeCell="A2" sqref="A2:D2"/>
    </sheetView>
  </sheetViews>
  <sheetFormatPr defaultRowHeight="15" x14ac:dyDescent="0.25"/>
  <cols>
    <col min="1" max="1" width="14" bestFit="1" customWidth="1"/>
    <col min="2" max="2" width="47.85546875" bestFit="1" customWidth="1"/>
    <col min="3" max="3" width="13.85546875" bestFit="1" customWidth="1"/>
    <col min="4" max="4" width="14.28515625" style="5" bestFit="1" customWidth="1"/>
  </cols>
  <sheetData>
    <row r="1" spans="1:4" x14ac:dyDescent="0.25">
      <c r="A1" s="1" t="s">
        <v>52</v>
      </c>
      <c r="B1" s="2" t="s">
        <v>53</v>
      </c>
      <c r="C1" s="3" t="s">
        <v>54</v>
      </c>
      <c r="D1" s="4" t="s">
        <v>55</v>
      </c>
    </row>
    <row r="3" spans="1:4" x14ac:dyDescent="0.25">
      <c r="A3" t="s">
        <v>0</v>
      </c>
      <c r="B3" t="s">
        <v>26</v>
      </c>
      <c r="C3" t="s">
        <v>25</v>
      </c>
      <c r="D3" s="5">
        <v>-45181.288404131548</v>
      </c>
    </row>
    <row r="4" spans="1:4" x14ac:dyDescent="0.25">
      <c r="A4" t="s">
        <v>1</v>
      </c>
      <c r="B4" t="s">
        <v>27</v>
      </c>
      <c r="C4" t="s">
        <v>25</v>
      </c>
      <c r="D4" s="5">
        <v>-58912.377359280246</v>
      </c>
    </row>
    <row r="5" spans="1:4" x14ac:dyDescent="0.25">
      <c r="A5" t="s">
        <v>2</v>
      </c>
      <c r="B5" t="s">
        <v>28</v>
      </c>
      <c r="C5" t="s">
        <v>25</v>
      </c>
      <c r="D5" s="5">
        <v>-1160085.0076533055</v>
      </c>
    </row>
    <row r="6" spans="1:4" x14ac:dyDescent="0.25">
      <c r="A6" t="s">
        <v>3</v>
      </c>
      <c r="B6" t="s">
        <v>29</v>
      </c>
      <c r="C6" t="s">
        <v>30</v>
      </c>
      <c r="D6" s="5">
        <v>0</v>
      </c>
    </row>
    <row r="7" spans="1:4" x14ac:dyDescent="0.25">
      <c r="A7" t="s">
        <v>4</v>
      </c>
      <c r="B7" t="s">
        <v>31</v>
      </c>
      <c r="C7" t="s">
        <v>25</v>
      </c>
      <c r="D7" s="5">
        <v>-209169.31</v>
      </c>
    </row>
    <row r="8" spans="1:4" x14ac:dyDescent="0.25">
      <c r="A8" t="s">
        <v>5</v>
      </c>
      <c r="B8" t="s">
        <v>32</v>
      </c>
      <c r="C8" t="s">
        <v>25</v>
      </c>
      <c r="D8" s="5">
        <v>1483935.2928385795</v>
      </c>
    </row>
    <row r="9" spans="1:4" x14ac:dyDescent="0.25">
      <c r="A9" t="s">
        <v>6</v>
      </c>
      <c r="B9" t="s">
        <v>33</v>
      </c>
      <c r="C9" t="s">
        <v>25</v>
      </c>
      <c r="D9" s="5">
        <v>654645.02700083703</v>
      </c>
    </row>
    <row r="10" spans="1:4" x14ac:dyDescent="0.25">
      <c r="A10" t="s">
        <v>7</v>
      </c>
      <c r="B10" t="s">
        <v>34</v>
      </c>
      <c r="C10" t="s">
        <v>25</v>
      </c>
      <c r="D10" s="5">
        <v>339429.10171642952</v>
      </c>
    </row>
    <row r="11" spans="1:4" x14ac:dyDescent="0.25">
      <c r="A11" t="s">
        <v>8</v>
      </c>
      <c r="B11" t="s">
        <v>35</v>
      </c>
      <c r="C11" t="s">
        <v>25</v>
      </c>
      <c r="D11" s="5">
        <v>-42338.92</v>
      </c>
    </row>
    <row r="12" spans="1:4" x14ac:dyDescent="0.25">
      <c r="A12" t="s">
        <v>9</v>
      </c>
      <c r="B12" t="s">
        <v>36</v>
      </c>
      <c r="C12" t="s">
        <v>25</v>
      </c>
      <c r="D12" s="5">
        <v>-4332101.66</v>
      </c>
    </row>
    <row r="13" spans="1:4" x14ac:dyDescent="0.25">
      <c r="A13" t="s">
        <v>10</v>
      </c>
      <c r="B13" t="s">
        <v>37</v>
      </c>
      <c r="C13" t="s">
        <v>25</v>
      </c>
      <c r="D13" s="5">
        <v>-282342.24000000005</v>
      </c>
    </row>
    <row r="14" spans="1:4" x14ac:dyDescent="0.25">
      <c r="A14" t="s">
        <v>11</v>
      </c>
      <c r="B14" t="s">
        <v>38</v>
      </c>
      <c r="C14" t="s">
        <v>25</v>
      </c>
      <c r="D14" s="5">
        <v>-211660.96</v>
      </c>
    </row>
    <row r="15" spans="1:4" x14ac:dyDescent="0.25">
      <c r="A15" t="s">
        <v>12</v>
      </c>
      <c r="B15" t="s">
        <v>39</v>
      </c>
      <c r="C15" t="s">
        <v>25</v>
      </c>
      <c r="D15" s="5">
        <v>-211517.89</v>
      </c>
    </row>
    <row r="16" spans="1:4" x14ac:dyDescent="0.25">
      <c r="A16" t="s">
        <v>13</v>
      </c>
      <c r="B16" t="s">
        <v>40</v>
      </c>
      <c r="C16" t="s">
        <v>25</v>
      </c>
      <c r="D16" s="5">
        <v>-208668.44000000003</v>
      </c>
    </row>
    <row r="17" spans="1:4" x14ac:dyDescent="0.25">
      <c r="A17" t="s">
        <v>14</v>
      </c>
      <c r="B17" t="s">
        <v>41</v>
      </c>
      <c r="C17" t="s">
        <v>25</v>
      </c>
      <c r="D17" s="5">
        <v>-353792.77</v>
      </c>
    </row>
    <row r="18" spans="1:4" x14ac:dyDescent="0.25">
      <c r="A18" t="s">
        <v>15</v>
      </c>
      <c r="B18" t="s">
        <v>42</v>
      </c>
      <c r="C18" t="s">
        <v>25</v>
      </c>
      <c r="D18" s="5">
        <v>-340163.80000000005</v>
      </c>
    </row>
    <row r="19" spans="1:4" x14ac:dyDescent="0.25">
      <c r="A19" t="s">
        <v>16</v>
      </c>
      <c r="B19" t="s">
        <v>43</v>
      </c>
      <c r="C19" t="s">
        <v>25</v>
      </c>
      <c r="D19" s="5">
        <v>11603080.189999999</v>
      </c>
    </row>
    <row r="20" spans="1:4" x14ac:dyDescent="0.25">
      <c r="A20" t="s">
        <v>17</v>
      </c>
      <c r="B20" t="s">
        <v>44</v>
      </c>
      <c r="C20" t="s">
        <v>25</v>
      </c>
      <c r="D20" s="5">
        <v>5248906.8199999984</v>
      </c>
    </row>
    <row r="21" spans="1:4" x14ac:dyDescent="0.25">
      <c r="A21" t="s">
        <v>18</v>
      </c>
      <c r="B21" t="s">
        <v>45</v>
      </c>
      <c r="C21" t="s">
        <v>25</v>
      </c>
      <c r="D21" s="5">
        <v>56747563.489999995</v>
      </c>
    </row>
    <row r="22" spans="1:4" x14ac:dyDescent="0.25">
      <c r="A22" t="s">
        <v>19</v>
      </c>
      <c r="B22" t="s">
        <v>46</v>
      </c>
      <c r="C22" t="s">
        <v>25</v>
      </c>
      <c r="D22" s="5">
        <v>-711966.39</v>
      </c>
    </row>
    <row r="23" spans="1:4" x14ac:dyDescent="0.25">
      <c r="A23" t="s">
        <v>20</v>
      </c>
      <c r="B23" t="s">
        <v>47</v>
      </c>
      <c r="C23" t="s">
        <v>25</v>
      </c>
      <c r="D23" s="5">
        <v>-753917.39</v>
      </c>
    </row>
    <row r="24" spans="1:4" x14ac:dyDescent="0.25">
      <c r="A24" t="s">
        <v>21</v>
      </c>
      <c r="B24" t="s">
        <v>48</v>
      </c>
      <c r="C24" t="s">
        <v>25</v>
      </c>
      <c r="D24" s="5">
        <v>-712621.06</v>
      </c>
    </row>
    <row r="25" spans="1:4" x14ac:dyDescent="0.25">
      <c r="A25" t="s">
        <v>22</v>
      </c>
      <c r="B25" t="s">
        <v>49</v>
      </c>
      <c r="C25" t="s">
        <v>25</v>
      </c>
      <c r="D25" s="5">
        <v>-278633.94999999995</v>
      </c>
    </row>
    <row r="26" spans="1:4" x14ac:dyDescent="0.25">
      <c r="A26" t="s">
        <v>23</v>
      </c>
      <c r="B26" t="s">
        <v>50</v>
      </c>
      <c r="C26" t="s">
        <v>25</v>
      </c>
      <c r="D26" s="5">
        <v>-369742.37</v>
      </c>
    </row>
    <row r="27" spans="1:4" x14ac:dyDescent="0.25">
      <c r="A27" t="s">
        <v>24</v>
      </c>
      <c r="B27" t="s">
        <v>51</v>
      </c>
      <c r="C27" t="s">
        <v>25</v>
      </c>
      <c r="D27" s="5">
        <v>-258697.84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Flows</vt:lpstr>
      <vt:lpstr>17th Nov - 14th Oct</vt:lpstr>
      <vt:lpstr>Flows Sept</vt:lpstr>
      <vt:lpstr>Q2 Flows</vt:lpstr>
      <vt:lpstr>Sheet1</vt:lpstr>
      <vt:lpstr>Flows July</vt:lpstr>
      <vt:lpstr>Flows Mid June</vt:lpstr>
      <vt:lpstr>Flows End of May</vt:lpstr>
      <vt:lpstr>Flows Mid- May</vt:lpstr>
      <vt:lpstr>Flows (April)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 Craig (AMUNDI.IRL)</dc:creator>
  <cp:lastModifiedBy>Annicchini Victoria (AMUNDI.IRL)</cp:lastModifiedBy>
  <dcterms:created xsi:type="dcterms:W3CDTF">2020-05-06T18:47:36Z</dcterms:created>
  <dcterms:modified xsi:type="dcterms:W3CDTF">2024-12-23T16:52:08Z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2022-06-08T10:35:43Z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6c20488b-f997-4163-92f2-b1da455129b7</vt:lpwstr>
  </property>
  <property fmtid="{D5CDD505-2E9C-101B-9397-08002B2CF9AE}" pid="8" name="MSIP_Label_6ac45191-74e4-40a9-a4c5-ab5c9391e33a_ContentBits">
    <vt:lpwstr>0</vt:lpwstr>
  </property>
</Properties>
</file>